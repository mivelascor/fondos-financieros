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<sst xmlns="http://schemas.openxmlformats.org/spreadsheetml/2006/main" count="246" uniqueCount="72">
  <si>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</si>
  <si>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</si>
  <si>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</si>
  <si>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</si>
  <si>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</si>
  <si>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</si>
  <si>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</si>
  <si>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</si>
  <si>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</si>
  <si>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</si>
  <si>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</si>
  <si>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</si>
  <si>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</si>
  <si>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</si>
  <si>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</si>
  <si>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</si>
  <si>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</si>
  <si>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</si>
  <si>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</si>
  <si>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Activa</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</si>
  <si>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</si>
  <si>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</si>
  <si>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</si>
  <si>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</si>
  <si>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</si>
  <si>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</si>
  <si>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</si>
  <si>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Activa</t>
  </si>
  <si>
    <t xml:space="preserve">(*) Acum a Mar</t>
  </si>
  <si>
    <t xml:space="preserve">FONDO LIQUIDEZ ACTIVA</t>
  </si>
  <si>
    <t xml:space="preserve">-</t>
  </si>
  <si>
    <t xml:space="preserve">ACTIVA</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</si>
  <si>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</si>
  <si>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</si>
  <si>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</si>
  <si>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</si>
  <si>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</si>
  <si>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</si>
  <si>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</si>
  <si>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ACTIVA</t>
  </si>
  <si>
    <t xml:space="preserve">Año</t>
  </si>
  <si>
    <t xml:space="preserve">Fondo</t>
  </si>
  <si>
    <t xml:space="preserve">DIVIDENDO 2016</t>
  </si>
  <si>
    <t xml:space="preserve">Dividendo 2017</t>
  </si>
  <si>
    <t xml:space="preserve">Dividendo 2018</t>
  </si>
  <si>
    <t xml:space="preserve">Dividendo 2021</t>
  </si>
  <si>
    <t xml:space="preserve">Dividendo 2022</t>
  </si>
  <si>
    <t xml:space="preserve">Acum
2026 (*)</t>
  </si>
  <si>
    <t xml:space="preserve">ICP (Benchmark)</t>
  </si>
  <si>
    <t xml:space="preserve">Total
Año</t>
  </si>
  <si>
    <t xml:space="preserve">FIP LIQUIDEZ Continua</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</si>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</sst>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5">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_ * #,##0.00_ ;_ * \-#,##0.00_ ;_ * \-_ ;_ @_ "/>
    <numFmt numFmtId="176" formatCode="0.000%"/>
    <numFmt numFmtId="177" formatCode="_ * #,##0.000_ ;_ * \-#,##0.000_ ;_ * \-_ ;_ @_ "/>
    <numFmt numFmtId="178" formatCode="#,##0"/>
  </numFmts>
  <fonts count="43">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20"/>
      <color rgb="FF000000"/>
      <name val="Be Vietnam Pro Medium"/>
      <family val="2"/>
    </font>
    <font>
      <sz val="12"/>
      <color rgb="FF000000"/>
      <name val="Be Vietnam Pro Light"/>
      <family val="2"/>
    </font>
    <font>
      <sz val="10"/>
      <color rgb="FF595959"/>
      <name val="Calibri"/>
      <family val="2"/>
    </font>
    <font>
      <sz val="18"/>
      <color rgb="FF000000"/>
      <name val="Be Vietnam Pro Light"/>
      <family val="2"/>
    </font>
    <font>
      <sz val="9"/>
      <color theme="1"/>
      <name val="Be Vietnam Pro Medium"/>
      <family val="0"/>
      <charset val="1"/>
    </font>
    <font>
      <sz val="11"/>
      <color theme="1"/>
      <name val="Aileron"/>
      <family val="3"/>
      <charset val="1"/>
    </font>
    <font>
      <b val="true"/>
      <sz val="11"/>
      <color theme="1"/>
      <name val="Aileron"/>
      <family val="3"/>
      <charset val="1"/>
    </font>
    <font>
      <sz val="11"/>
      <color theme="1"/>
      <name val="Be Vietnam Pro Light"/>
      <family val="0"/>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u val="single"/>
      <sz val="11"/>
      <color theme="1"/>
      <name val="Calibri"/>
      <family val="2"/>
      <charset val="1"/>
    </font>
  </fonts>
  <fills count="11">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theme="9" tint="0.7999"/>
        <bgColor rgb="FFDAF2D0"/>
      </patternFill>
    </fill>
    <fill>
      <patternFill patternType="solid">
        <fgColor rgb="FFF8F8F8"/>
        <bgColor rgb="FFF2F2F2"/>
      </patternFill>
    </fill>
    <fill>
      <patternFill patternType="solid">
        <fgColor rgb="FFDAF2D0"/>
        <bgColor rgb="FFE2F0D9"/>
      </patternFill>
    </fill>
    <fill>
      <patternFill patternType="solid">
        <fgColor theme="1"/>
        <bgColor rgb="FF003300"/>
      </patternFill>
    </fill>
  </fills>
  <borders count="5">
    <border diagonalUp="false" diagonalDown="false">
      <left/>
      <right/>
      <top/>
      <bottom/>
      <diagonal/>
    </border>
    <border diagonalUp="false" diagonalDown="false">
      <left style="thin"/>
      <right/>
      <top/>
      <bottom/>
      <diagonal/>
    </border>
    <border diagonalUp="false" diagonalDown="false">
      <left/>
      <right/>
      <top style="thin">
        <color theme="9" tint="0.3999"/>
      </top>
      <bottom style="thin">
        <color theme="9" tint="0.3999"/>
      </bottom>
      <diagonal/>
    </border>
    <border diagonalUp="false" diagonalDown="false">
      <left style="thick">
        <color rgb="FFFFFFFF"/>
      </left>
      <right style="thick">
        <color rgb="FFFFFFFF"/>
      </right>
      <top style="thick">
        <color rgb="FFFFFFFF"/>
      </top>
      <bottom style="thick">
        <color rgb="FFD4D4D4"/>
      </bottom>
      <diagonal/>
    </border>
    <border diagonalUp="false" diagonalDown="false">
      <left/>
      <right/>
      <top style="thin">
        <color rgb="FF8ED973"/>
      </top>
      <bottom style="thin">
        <color rgb="FF8ED973"/>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21" applyFont="true" applyBorder="false" applyAlignment="false" applyProtection="false">
      <alignment horizontal="general" vertical="bottom" textRotation="0" wrapText="false" indent="0" shrinkToFit="false"/>
      <protection locked="true" hidden="false"/>
    </xf>
    <xf numFmtId="167" fontId="7" fillId="0" borderId="0" xfId="21" applyFont="true" applyBorder="false" applyAlignment="false" applyProtection="false">
      <alignment horizontal="general" vertical="bottom" textRotation="0" wrapText="false" indent="0" shrinkToFit="false"/>
      <protection locked="true" hidden="false"/>
    </xf>
    <xf numFmtId="168" fontId="7" fillId="0"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false" applyProtection="false">
      <alignment horizontal="general" vertical="bottom" textRotation="0" wrapText="false" indent="0" shrinkToFit="false"/>
      <protection locked="true" hidden="false"/>
    </xf>
    <xf numFmtId="164" fontId="9" fillId="3" borderId="0" xfId="21" applyFont="true" applyBorder="false" applyAlignment="true" applyProtection="false">
      <alignment horizontal="center" vertical="bottom" textRotation="0" wrapText="false" indent="0" shrinkToFit="false"/>
      <protection locked="true" hidden="false"/>
    </xf>
    <xf numFmtId="164" fontId="7" fillId="4"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center" vertical="bottom" textRotation="0" wrapText="false" indent="0" shrinkToFit="false"/>
      <protection locked="true" hidden="false"/>
    </xf>
    <xf numFmtId="167" fontId="7" fillId="0" borderId="0" xfId="21" applyFont="true" applyBorder="false" applyAlignment="true" applyProtection="false">
      <alignment horizontal="center" vertical="bottom" textRotation="0" wrapText="false" indent="0" shrinkToFit="false"/>
      <protection locked="true" hidden="false"/>
    </xf>
    <xf numFmtId="164" fontId="7" fillId="0" borderId="1" xfId="22" applyFont="true" applyBorder="true" applyAlignment="false" applyProtection="false">
      <alignment horizontal="general" vertical="bottom" textRotation="0" wrapText="false" indent="0" shrinkToFit="false"/>
      <protection locked="true" hidden="false"/>
    </xf>
    <xf numFmtId="169" fontId="7" fillId="0" borderId="0" xfId="24" applyFont="true" applyBorder="false" applyAlignment="false" applyProtection="false">
      <alignment horizontal="general" vertical="bottom" textRotation="0" wrapText="false" indent="0" shrinkToFit="false"/>
      <protection locked="true" hidden="false"/>
    </xf>
    <xf numFmtId="164" fontId="9" fillId="2" borderId="0" xfId="21" applyFont="true" applyBorder="false" applyAlignment="true" applyProtection="false">
      <alignment horizontal="center" vertical="bottom" textRotation="0" wrapText="false" indent="0" shrinkToFit="false"/>
      <protection locked="true" hidden="false"/>
    </xf>
    <xf numFmtId="169" fontId="10" fillId="2" borderId="0" xfId="23" applyFont="true" applyBorder="false" applyAlignment="true" applyProtection="false">
      <alignment horizontal="center" vertical="bottom" textRotation="0" wrapText="false" indent="0" shrinkToFit="false"/>
      <protection locked="true" hidden="false"/>
    </xf>
    <xf numFmtId="169" fontId="11" fillId="2" borderId="0" xfId="23" applyFont="true" applyBorder="false" applyAlignment="true" applyProtection="false">
      <alignment horizontal="center" vertical="bottom" textRotation="0" wrapText="false" indent="0" shrinkToFit="false"/>
      <protection locked="true" hidden="false"/>
    </xf>
    <xf numFmtId="170" fontId="7" fillId="0" borderId="0" xfId="21" applyFont="true" applyBorder="false" applyAlignment="false" applyProtection="false">
      <alignment horizontal="general" vertical="bottom" textRotation="0" wrapText="false" indent="0" shrinkToFit="false"/>
      <protection locked="true" hidden="false"/>
    </xf>
    <xf numFmtId="171" fontId="7" fillId="0" borderId="0" xfId="21" applyFont="true" applyBorder="false" applyAlignment="false" applyProtection="false">
      <alignment horizontal="general" vertical="bottom" textRotation="0" wrapText="false" indent="0" shrinkToFit="false"/>
      <protection locked="true" hidden="false"/>
    </xf>
    <xf numFmtId="172" fontId="7" fillId="0" borderId="0" xfId="21" applyFont="true" applyBorder="false" applyAlignment="false" applyProtection="false">
      <alignment horizontal="general" vertical="bottom" textRotation="0" wrapText="false" indent="0" shrinkToFit="false"/>
      <protection locked="true" hidden="false"/>
    </xf>
    <xf numFmtId="173" fontId="7" fillId="0" borderId="0" xfId="21" applyFont="true" applyBorder="false" applyAlignment="false" applyProtection="false">
      <alignment horizontal="general" vertical="bottom" textRotation="0" wrapText="false" indent="0" shrinkToFit="false"/>
      <protection locked="true" hidden="false"/>
    </xf>
    <xf numFmtId="164" fontId="9" fillId="4" borderId="0" xfId="21" applyFont="true" applyBorder="false" applyAlignment="true" applyProtection="false">
      <alignment horizontal="center" vertical="bottom" textRotation="0" wrapText="false" indent="0" shrinkToFit="false"/>
      <protection locked="true" hidden="false"/>
    </xf>
    <xf numFmtId="169" fontId="10" fillId="4" borderId="0" xfId="23" applyFont="true" applyBorder="false" applyAlignment="true" applyProtection="false">
      <alignment horizontal="center" vertical="bottom" textRotation="0" wrapText="false" indent="0" shrinkToFit="false"/>
      <protection locked="true" hidden="false"/>
    </xf>
    <xf numFmtId="169" fontId="11" fillId="4" borderId="0" xfId="23" applyFont="true" applyBorder="false" applyAlignment="true" applyProtection="false">
      <alignment horizontal="center" vertical="bottom" textRotation="0" wrapText="false" indent="0" shrinkToFit="false"/>
      <protection locked="true" hidden="false"/>
    </xf>
    <xf numFmtId="174" fontId="7" fillId="0" borderId="0" xfId="21" applyFont="true" applyBorder="false" applyAlignment="false" applyProtection="false">
      <alignment horizontal="general" vertical="bottom" textRotation="0" wrapText="false" indent="0" shrinkToFit="false"/>
      <protection locked="true" hidden="false"/>
    </xf>
    <xf numFmtId="169" fontId="7" fillId="0" borderId="0" xfId="23" applyFont="true" applyBorder="false" applyAlignment="false" applyProtection="false">
      <alignment horizontal="general" vertical="bottom" textRotation="0" wrapText="false" indent="0" shrinkToFit="false"/>
      <protection locked="true" hidden="false"/>
    </xf>
    <xf numFmtId="164" fontId="10" fillId="4" borderId="0" xfId="21" applyFont="true" applyBorder="false" applyAlignment="true" applyProtection="false">
      <alignment horizontal="left" vertical="bottom" textRotation="0" wrapText="false" indent="0" shrinkToFit="false"/>
      <protection locked="true" hidden="false"/>
    </xf>
    <xf numFmtId="169" fontId="10" fillId="0" borderId="0" xfId="23" applyFont="true" applyBorder="false" applyAlignment="true" applyProtection="false">
      <alignment horizontal="center" vertical="bottom" textRotation="0" wrapText="false" indent="0" shrinkToFit="false"/>
      <protection locked="true" hidden="false"/>
    </xf>
    <xf numFmtId="172" fontId="7" fillId="2" borderId="0" xfId="21" applyFont="true" applyBorder="false" applyAlignment="false" applyProtection="false">
      <alignment horizontal="general" vertical="bottom" textRotation="0" wrapText="false" indent="0" shrinkToFit="false"/>
      <protection locked="true" hidden="false"/>
    </xf>
    <xf numFmtId="164" fontId="7" fillId="2" borderId="0" xfId="21" applyFont="true" applyBorder="false" applyAlignment="true" applyProtection="false">
      <alignment horizontal="right" vertical="bottom" textRotation="0" wrapText="false" indent="0" shrinkToFit="false"/>
      <protection locked="true" hidden="false"/>
    </xf>
    <xf numFmtId="170" fontId="7" fillId="5" borderId="0" xfId="21" applyFont="true" applyBorder="false" applyAlignment="false" applyProtection="false">
      <alignment horizontal="general" vertical="bottom" textRotation="0" wrapText="false" indent="0" shrinkToFit="false"/>
      <protection locked="true" hidden="false"/>
    </xf>
    <xf numFmtId="170" fontId="7" fillId="2" borderId="0" xfId="21" applyFont="true" applyBorder="false" applyAlignment="false" applyProtection="false">
      <alignment horizontal="general" vertical="bottom" textRotation="0" wrapText="false" indent="0" shrinkToFit="false"/>
      <protection locked="true" hidden="false"/>
    </xf>
    <xf numFmtId="171" fontId="7" fillId="2" borderId="0" xfId="21" applyFont="true" applyBorder="false" applyAlignment="false" applyProtection="false">
      <alignment horizontal="general" vertical="bottom" textRotation="0" wrapText="false" indent="0" shrinkToFit="false"/>
      <protection locked="true" hidden="false"/>
    </xf>
    <xf numFmtId="164" fontId="7" fillId="0" borderId="0" xfId="21" applyFont="true" applyBorder="false" applyAlignment="true" applyProtection="false">
      <alignment horizontal="right" vertical="bottom" textRotation="0" wrapText="false" indent="0" shrinkToFit="false"/>
      <protection locked="true" hidden="false"/>
    </xf>
    <xf numFmtId="175"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21" applyFont="true" applyBorder="false" applyAlignment="true" applyProtection="false">
      <alignment horizontal="right" vertical="bottom" textRotation="0" wrapText="false" indent="0" shrinkToFit="false"/>
      <protection locked="true" hidden="false"/>
    </xf>
    <xf numFmtId="164" fontId="12" fillId="4" borderId="0" xfId="21" applyFont="true" applyBorder="false" applyAlignment="true" applyProtection="false">
      <alignment horizontal="center" vertical="bottom" textRotation="0" wrapText="false" indent="0" shrinkToFit="false"/>
      <protection locked="true" hidden="false"/>
    </xf>
    <xf numFmtId="164" fontId="13" fillId="2" borderId="0" xfId="21" applyFont="true" applyBorder="false" applyAlignment="true" applyProtection="false">
      <alignment horizontal="center" vertical="bottom" textRotation="0" wrapText="false" indent="0" shrinkToFit="false"/>
      <protection locked="true" hidden="false"/>
    </xf>
    <xf numFmtId="164" fontId="13" fillId="4" borderId="0" xfId="21" applyFont="true" applyBorder="false" applyAlignment="true" applyProtection="false">
      <alignment horizontal="center" vertical="bottom" textRotation="0" wrapText="false" indent="0" shrinkToFit="false"/>
      <protection locked="true" hidden="false"/>
    </xf>
    <xf numFmtId="164" fontId="9" fillId="0" borderId="0" xfId="21" applyFont="true" applyBorder="false" applyAlignment="true" applyProtection="false">
      <alignment horizontal="center" vertical="bottom" textRotation="0" wrapText="false" indent="0" shrinkToFit="false"/>
      <protection locked="true" hidden="false"/>
    </xf>
    <xf numFmtId="175" fontId="7" fillId="2" borderId="0" xfId="20" applyFont="true" applyBorder="false" applyAlignment="false" applyProtection="false">
      <alignment horizontal="general" vertical="bottom" textRotation="0" wrapText="false" indent="0" shrinkToFit="false"/>
      <protection locked="true" hidden="false"/>
    </xf>
    <xf numFmtId="164" fontId="9" fillId="4" borderId="0" xfId="21" applyFont="true" applyBorder="true" applyAlignment="true" applyProtection="false">
      <alignment horizontal="center" vertical="center" textRotation="0" wrapText="false" indent="0" shrinkToFit="false"/>
      <protection locked="true" hidden="false"/>
    </xf>
    <xf numFmtId="169" fontId="14" fillId="2" borderId="0" xfId="23" applyFont="true" applyBorder="false" applyAlignment="true" applyProtection="false">
      <alignment horizontal="center" vertical="bottom" textRotation="0" wrapText="false" indent="0" shrinkToFit="false"/>
      <protection locked="true" hidden="false"/>
    </xf>
    <xf numFmtId="169" fontId="14" fillId="2" borderId="0" xfId="0" applyFont="true" applyBorder="false" applyAlignment="true" applyProtection="false">
      <alignment horizontal="center" vertical="bottom" textRotation="0" wrapText="false" indent="0" shrinkToFit="false"/>
      <protection locked="true" hidden="false"/>
    </xf>
    <xf numFmtId="169" fontId="14" fillId="4" borderId="0" xfId="23" applyFont="true" applyBorder="false" applyAlignment="true" applyProtection="false">
      <alignment horizontal="center" vertical="bottom" textRotation="0" wrapText="false" indent="0" shrinkToFit="false"/>
      <protection locked="true" hidden="false"/>
    </xf>
    <xf numFmtId="164" fontId="15" fillId="4" borderId="0" xfId="21" applyFont="true" applyBorder="false" applyAlignment="true" applyProtection="false">
      <alignment horizontal="left" vertical="bottom" textRotation="0" wrapText="false" indent="0" shrinkToFit="false"/>
      <protection locked="true" hidden="false"/>
    </xf>
    <xf numFmtId="176" fontId="7" fillId="0" borderId="0" xfId="19" applyFont="true" applyBorder="false" applyAlignment="false" applyProtection="false">
      <alignment horizontal="general" vertical="bottom" textRotation="0" wrapText="false" indent="0" shrinkToFit="false"/>
      <protection locked="true" hidden="false"/>
    </xf>
    <xf numFmtId="169" fontId="11" fillId="0" borderId="0" xfId="23" applyFont="true" applyBorder="false" applyAlignment="true" applyProtection="false">
      <alignment horizontal="center" vertical="bottom" textRotation="0" wrapText="false" indent="0" shrinkToFit="false"/>
      <protection locked="true" hidden="false"/>
    </xf>
    <xf numFmtId="177" fontId="7" fillId="0" borderId="0" xfId="25" applyFont="true" applyBorder="false" applyAlignment="false" applyProtection="false">
      <alignment horizontal="general" vertical="bottom" textRotation="0" wrapText="false" indent="0" shrinkToFit="false"/>
      <protection locked="true" hidden="false"/>
    </xf>
    <xf numFmtId="164" fontId="10" fillId="0" borderId="0" xfId="21" applyFont="true" applyBorder="false" applyAlignment="true" applyProtection="false">
      <alignment horizontal="left" vertical="bottom" textRotation="0" wrapText="false" indent="0" shrinkToFit="false"/>
      <protection locked="true" hidden="false"/>
    </xf>
    <xf numFmtId="164" fontId="16" fillId="3" borderId="0" xfId="21" applyFont="true" applyBorder="false" applyAlignment="true" applyProtection="false">
      <alignment horizontal="center" vertical="bottom" textRotation="0" wrapText="false" indent="0" shrinkToFit="false"/>
      <protection locked="true" hidden="false"/>
    </xf>
    <xf numFmtId="164" fontId="17" fillId="3" borderId="0" xfId="21" applyFont="true" applyBorder="false" applyAlignment="true" applyProtection="false">
      <alignment horizontal="center" vertical="bottom" textRotation="0" wrapText="false" indent="0" shrinkToFit="false"/>
      <protection locked="true" hidden="false"/>
    </xf>
    <xf numFmtId="164" fontId="18" fillId="4" borderId="0" xfId="21" applyFont="true" applyBorder="false" applyAlignment="true" applyProtection="false">
      <alignment horizontal="left" vertical="bottom" textRotation="0" wrapText="false" indent="0" shrinkToFit="false"/>
      <protection locked="true" hidden="false"/>
    </xf>
    <xf numFmtId="164" fontId="17" fillId="6" borderId="0" xfId="21" applyFont="true" applyBorder="false" applyAlignment="true" applyProtection="false">
      <alignment horizontal="center" vertical="bottom" textRotation="0" wrapText="false" indent="0" shrinkToFit="false"/>
      <protection locked="true" hidden="false"/>
    </xf>
    <xf numFmtId="169" fontId="19" fillId="6" borderId="0" xfId="23" applyFont="true" applyBorder="false" applyAlignment="true" applyProtection="false">
      <alignment horizontal="center" vertical="bottom" textRotation="0" wrapText="false" indent="0" shrinkToFit="false"/>
      <protection locked="true" hidden="false"/>
    </xf>
    <xf numFmtId="169" fontId="17" fillId="2" borderId="0" xfId="23" applyFont="true" applyBorder="false" applyAlignment="true" applyProtection="false">
      <alignment horizontal="center" vertical="bottom" textRotation="0" wrapText="false" indent="0" shrinkToFit="false"/>
      <protection locked="true" hidden="false"/>
    </xf>
    <xf numFmtId="164" fontId="17" fillId="2" borderId="0" xfId="21" applyFont="true" applyBorder="false" applyAlignment="true" applyProtection="false">
      <alignment horizontal="center" vertical="bottom" textRotation="0" wrapText="false" indent="0" shrinkToFit="false"/>
      <protection locked="true" hidden="false"/>
    </xf>
    <xf numFmtId="169" fontId="19" fillId="2" borderId="0" xfId="23" applyFont="true" applyBorder="false" applyAlignment="true" applyProtection="false">
      <alignment horizontal="center" vertical="bottom" textRotation="0" wrapText="false" indent="0" shrinkToFit="false"/>
      <protection locked="true" hidden="false"/>
    </xf>
    <xf numFmtId="164" fontId="16" fillId="6" borderId="0" xfId="21" applyFont="true" applyBorder="false" applyAlignment="true" applyProtection="false">
      <alignment horizontal="center" vertical="center" textRotation="0" wrapText="false" indent="0" shrinkToFit="false"/>
      <protection locked="true" hidden="false"/>
    </xf>
    <xf numFmtId="164" fontId="16" fillId="2" borderId="0" xfId="21" applyFont="true" applyBorder="false" applyAlignment="true" applyProtection="false">
      <alignment horizontal="center" vertical="center" textRotation="0" wrapText="false" indent="0" shrinkToFit="false"/>
      <protection locked="true" hidden="false"/>
    </xf>
    <xf numFmtId="169" fontId="7" fillId="0" borderId="0" xfId="21" applyFont="true" applyBorder="false" applyAlignment="false" applyProtection="false">
      <alignment horizontal="general" vertical="bottom" textRotation="0" wrapText="false" indent="0" shrinkToFit="false"/>
      <protection locked="true" hidden="false"/>
    </xf>
    <xf numFmtId="164" fontId="16" fillId="2" borderId="0" xfId="21" applyFont="true" applyBorder="true" applyAlignment="true" applyProtection="false">
      <alignment horizontal="center" vertical="center"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7" fontId="7" fillId="0" borderId="0" xfId="23" applyFont="true" applyBorder="false" applyAlignment="false" applyProtection="false">
      <alignment horizontal="general" vertical="bottom" textRotation="0" wrapText="false" indent="0" shrinkToFit="false"/>
      <protection locked="true" hidden="false"/>
    </xf>
    <xf numFmtId="173" fontId="7" fillId="5" borderId="0" xfId="21" applyFont="true" applyBorder="false" applyAlignment="false" applyProtection="false">
      <alignment horizontal="general" vertical="bottom" textRotation="0" wrapText="false" indent="0" shrinkToFit="false"/>
      <protection locked="true" hidden="false"/>
    </xf>
    <xf numFmtId="164" fontId="20" fillId="0" borderId="0" xfId="21" applyFont="true" applyBorder="false" applyAlignment="false" applyProtection="false">
      <alignment horizontal="general" vertical="bottom" textRotation="0" wrapText="false" indent="0" shrinkToFit="false"/>
      <protection locked="true" hidden="false"/>
    </xf>
    <xf numFmtId="165" fontId="7" fillId="0" borderId="0" xfId="25" applyFont="true" applyBorder="false" applyAlignment="false" applyProtection="false">
      <alignment horizontal="general" vertical="bottom" textRotation="0" wrapText="false" indent="0" shrinkToFit="false"/>
      <protection locked="true" hidden="false"/>
    </xf>
    <xf numFmtId="165" fontId="7" fillId="0" borderId="0" xfId="21" applyFont="true" applyBorder="false" applyAlignment="false" applyProtection="false">
      <alignment horizontal="general" vertical="bottom" textRotation="0" wrapText="false" indent="0" shrinkToFit="false"/>
      <protection locked="true" hidden="false"/>
    </xf>
    <xf numFmtId="169" fontId="21" fillId="0" borderId="0" xfId="23" applyFont="true" applyBorder="false" applyAlignment="false" applyProtection="false">
      <alignment horizontal="general" vertical="bottom" textRotation="0" wrapText="false" indent="0" shrinkToFit="false"/>
      <protection locked="true" hidden="false"/>
    </xf>
    <xf numFmtId="170"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1" fontId="0" fillId="7" borderId="2" xfId="0" applyFont="true" applyBorder="true" applyAlignment="false" applyProtection="false">
      <alignment horizontal="general" vertical="bottom" textRotation="0" wrapText="false" indent="0" shrinkToFit="false"/>
      <protection locked="true" hidden="false"/>
    </xf>
    <xf numFmtId="170"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4" fillId="8" borderId="3" xfId="0" applyFont="true" applyBorder="true" applyAlignment="true" applyProtection="false">
      <alignment horizontal="general" vertical="bottom" textRotation="0" wrapText="true" indent="0" shrinkToFit="false"/>
      <protection locked="true" hidden="false"/>
    </xf>
    <xf numFmtId="171" fontId="0" fillId="0" borderId="2" xfId="0" applyFont="true" applyBorder="true" applyAlignment="false" applyProtection="false">
      <alignment horizontal="general" vertical="bottom" textRotation="0" wrapText="false" indent="0" shrinkToFit="false"/>
      <protection locked="true" hidden="false"/>
    </xf>
    <xf numFmtId="164" fontId="24" fillId="8" borderId="3" xfId="0" applyFont="true" applyBorder="true" applyAlignment="false" applyProtection="false">
      <alignment horizontal="general" vertical="bottom" textRotation="0" wrapText="false" indent="0" shrinkToFit="false"/>
      <protection locked="true" hidden="false"/>
    </xf>
    <xf numFmtId="178" fontId="25" fillId="9"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false" applyAlignment="true" applyProtection="false">
      <alignment horizontal="left"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true" indent="0" shrinkToFit="false"/>
      <protection locked="true" hidden="false"/>
    </xf>
    <xf numFmtId="164" fontId="35" fillId="0" borderId="0" xfId="0" applyFont="true" applyBorder="false" applyAlignment="true" applyProtection="false">
      <alignment horizontal="right" vertical="bottom" textRotation="0" wrapText="false" indent="0" shrinkToFit="false"/>
      <protection locked="true" hidden="false"/>
    </xf>
    <xf numFmtId="169" fontId="37" fillId="0" borderId="0" xfId="19"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4" fontId="41" fillId="10" borderId="0" xfId="0" applyFont="true" applyBorder="false" applyAlignment="false" applyProtection="false">
      <alignment horizontal="general" vertical="bottom" textRotation="0" wrapText="false" indent="0" shrinkToFit="false"/>
      <protection locked="true" hidden="false"/>
    </xf>
    <xf numFmtId="169" fontId="41" fillId="1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69" fontId="38"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Normal 2" xfId="21"/>
    <cellStyle name="Normal 54" xfId="22"/>
    <cellStyle name="Porcentaje 2" xfId="23"/>
    <cellStyle name="Porcentaje 29" xfId="24"/>
    <cellStyle name="Excel Built-in Comma [0]" xfId="25"/>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E2F0D9"/>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F2F2F2"/>
      <rgbColor rgb="FFDAF2D0"/>
      <rgbColor rgb="FFFFFF99"/>
      <rgbColor rgb="FFA9D18E"/>
      <rgbColor rgb="FF9F9F9F"/>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Activa</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34645926"/>
        <c:axId val="95166000"/>
      </c:lineChart>
      <c:dateAx>
        <c:axId val="34645926"/>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95166000"/>
        <c:crosses val="autoZero"/>
        <c:auto val="1"/>
        <c:lblOffset val="100"/>
        <c:baseTimeUnit val="months"/>
        <c:majorUnit val="6"/>
        <c:majorTimeUnit val="months"/>
        <c:minorUnit val="6"/>
        <c:minorTimeUnit val="months"/>
        <c:noMultiLvlLbl val="0"/>
      </c:dateAx>
      <c:valAx>
        <c:axId val="95166000"/>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34645926"/>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000" spc="-1" strike="noStrike">
                <a:solidFill>
                  <a:srgbClr val="000000"/>
                </a:solidFill>
                <a:latin typeface="Be Vietnam Pro Medium"/>
              </a:defRPr>
            </a:pPr>
            <a:r>
              <a:rPr b="0" lang="en-US" sz="2000" spc="-1" strike="noStrike">
                <a:solidFill>
                  <a:srgbClr val="000000"/>
                </a:solidFill>
                <a:latin typeface="Be Vietnam Pro Medium"/>
              </a:rPr>
              <a:t>FIP Liquidez Activa</a:t>
            </a:r>
          </a:p>
        </c:rich>
      </c:tx>
      <c:overlay val="0"/>
      <c:spPr>
        <a:noFill/>
        <a:ln w="0">
          <a:noFill/>
        </a:ln>
      </c:spPr>
    </c:title>
    <c:autoTitleDeleted val="0"/>
    <c:plotArea>
      <c:lineChart>
        <c:grouping val="standard"/>
        <c:varyColors val="0"/>
        <c:ser>
          <c:idx val="0"/>
          <c:order val="0"/>
          <c:tx>
            <c:strRef>
              <c:f>"FIP Liquidez Activa"</c:f>
              <c:strCache>
                <c:ptCount val="1"/>
                <c:pt idx="0">
                  <c:v>FIP Liquidez Activa</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(2)'!$F$237:$F$244</c:f>
              <c:numCache>
                <c:formatCode>m/d/yyyy</c:formatCode>
                <c:ptCount val="8"/>
                <c:pt idx="0">
                  <c:v>4/30/2025</c:v>
                </c:pt>
                <c:pt idx="1">
                  <c:v>5/31/2025</c:v>
                </c:pt>
                <c:pt idx="2">
                  <c:v>6/30/2025</c:v>
                </c:pt>
                <c:pt idx="3">
                  <c:v>7/31/2025</c:v>
                </c:pt>
                <c:pt idx="4">
                  <c:v>8/31/2025</c:v>
                </c:pt>
                <c:pt idx="5">
                  <c:v>9/30/2025</c:v>
                </c:pt>
                <c:pt idx="6">
                  <c:v>10/31/2025</c:v>
                </c:pt>
                <c:pt idx="7">
                  <c:v>11/30/2025</c:v>
                </c:pt>
              </c:numCache>
            </c:numRef>
          </c:cat>
          <c:val>
            <c:numRef>
              <c:f>'Datos ICP (2)'!$J$237:$J$244</c:f>
              <c:numCache>
                <c:formatCode>#,##0.00</c:formatCode>
                <c:ptCount val="8"/>
                <c:pt idx="0">
                  <c:v>100</c:v>
                </c:pt>
                <c:pt idx="1">
                  <c:v>100.082780645161</c:v>
                </c:pt>
                <c:pt idx="2">
                  <c:v>100.819940321134</c:v>
                </c:pt>
                <c:pt idx="3">
                  <c:v>101.424975252786</c:v>
                </c:pt>
                <c:pt idx="4">
                  <c:v>102.025961757449</c:v>
                </c:pt>
                <c:pt idx="5">
                  <c:v>102.61445293377</c:v>
                </c:pt>
                <c:pt idx="6">
                  <c:v>103.260273418711</c:v>
                </c:pt>
                <c:pt idx="7">
                  <c:v>103.860434488376</c:v>
                </c:pt>
              </c:numCache>
            </c:numRef>
          </c:val>
          <c:smooth val="0"/>
        </c:ser>
        <c:ser>
          <c:idx val="1"/>
          <c:order val="1"/>
          <c:tx>
            <c:strRef>
              <c:f>"Competencia Relevante"</c:f>
              <c:strCache>
                <c:ptCount val="1"/>
                <c:pt idx="0">
                  <c:v>Competencia Relevante</c:v>
                </c:pt>
              </c:strCache>
            </c:strRef>
          </c:tx>
          <c:spPr>
            <a:solidFill>
              <a:srgbClr val="a6a6a6"/>
            </a:solidFill>
            <a:ln cap="rnd" w="3816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(2)'!$F$237:$F$244</c:f>
              <c:numCache>
                <c:formatCode>m/d/yyyy</c:formatCode>
                <c:ptCount val="8"/>
                <c:pt idx="0">
                  <c:v>4/30/2025</c:v>
                </c:pt>
                <c:pt idx="1">
                  <c:v>5/31/2025</c:v>
                </c:pt>
                <c:pt idx="2">
                  <c:v>6/30/2025</c:v>
                </c:pt>
                <c:pt idx="3">
                  <c:v>7/31/2025</c:v>
                </c:pt>
                <c:pt idx="4">
                  <c:v>8/31/2025</c:v>
                </c:pt>
                <c:pt idx="5">
                  <c:v>9/30/2025</c:v>
                </c:pt>
                <c:pt idx="6">
                  <c:v>10/31/2025</c:v>
                </c:pt>
                <c:pt idx="7">
                  <c:v>11/30/2025</c:v>
                </c:pt>
              </c:numCache>
            </c:numRef>
          </c:cat>
          <c:val>
            <c:numRef>
              <c:f>'Datos ICP (2)'!$M$237:$M$244</c:f>
              <c:numCache>
                <c:formatCode>0.00</c:formatCode>
                <c:ptCount val="8"/>
                <c:pt idx="0">
                  <c:v>107.975703820493</c:v>
                </c:pt>
                <c:pt idx="1">
                  <c:v>108.298561191174</c:v>
                </c:pt>
                <c:pt idx="2">
                  <c:v>108.623137660128</c:v>
                </c:pt>
                <c:pt idx="3">
                  <c:v>108.943647516591</c:v>
                </c:pt>
                <c:pt idx="4">
                  <c:v>109.249612096655</c:v>
                </c:pt>
                <c:pt idx="5">
                  <c:v>109.551317460466</c:v>
                </c:pt>
                <c:pt idx="6">
                  <c:v>109.855077967093</c:v>
                </c:pt>
                <c:pt idx="7">
                  <c:v>110.162124641678</c:v>
                </c:pt>
              </c:numCache>
            </c:numRef>
          </c:val>
          <c:smooth val="0"/>
        </c:ser>
        <c:ser>
          <c:idx val="2"/>
          <c:order val="2"/>
          <c:tx>
            <c:strRef>
              <c:f>"ICP Nom"</c:f>
              <c:strCache>
                <c:ptCount val="1"/>
                <c:pt idx="0">
                  <c:v>ICP Nom</c:v>
                </c:pt>
              </c:strCache>
            </c:strRef>
          </c:tx>
          <c:spPr>
            <a:solidFill>
              <a:srgbClr val="bfbfbf"/>
            </a:solidFill>
            <a:ln cap="rnd" w="3816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(2)'!$F$237:$F$244</c:f>
              <c:numCache>
                <c:formatCode>m/d/yyyy</c:formatCode>
                <c:ptCount val="8"/>
                <c:pt idx="0">
                  <c:v>4/30/2025</c:v>
                </c:pt>
                <c:pt idx="1">
                  <c:v>5/31/2025</c:v>
                </c:pt>
                <c:pt idx="2">
                  <c:v>6/30/2025</c:v>
                </c:pt>
                <c:pt idx="3">
                  <c:v>7/31/2025</c:v>
                </c:pt>
                <c:pt idx="4">
                  <c:v>8/31/2025</c:v>
                </c:pt>
                <c:pt idx="5">
                  <c:v>9/30/2025</c:v>
                </c:pt>
                <c:pt idx="6">
                  <c:v>10/31/2025</c:v>
                </c:pt>
                <c:pt idx="7">
                  <c:v>11/30/2025</c:v>
                </c:pt>
              </c:numCache>
            </c:numRef>
          </c:cat>
          <c:val>
            <c:numRef>
              <c:f>'Datos ICP (2)'!$D$237:$D$244</c:f>
              <c:numCache>
                <c:formatCode>0.00</c:formatCode>
                <c:ptCount val="8"/>
                <c:pt idx="0">
                  <c:v>110.704304883999</c:v>
                </c:pt>
                <c:pt idx="1">
                  <c:v>111.151503167103</c:v>
                </c:pt>
                <c:pt idx="2">
                  <c:v>111.631073678691</c:v>
                </c:pt>
                <c:pt idx="3">
                  <c:v>112.096279478611</c:v>
                </c:pt>
                <c:pt idx="4">
                  <c:v>112.512114153679</c:v>
                </c:pt>
                <c:pt idx="5">
                  <c:v>112.988045883136</c:v>
                </c:pt>
                <c:pt idx="6">
                  <c:v>113.421722091055</c:v>
                </c:pt>
                <c:pt idx="7">
                  <c:v>113.856403996233</c:v>
                </c:pt>
              </c:numCache>
            </c:numRef>
          </c:val>
          <c:smooth val="0"/>
        </c:ser>
        <c:hiLowLines>
          <c:spPr>
            <a:ln w="0">
              <a:noFill/>
            </a:ln>
          </c:spPr>
        </c:hiLowLines>
        <c:marker val="1"/>
        <c:axId val="42822069"/>
        <c:axId val="69752938"/>
      </c:lineChart>
      <c:dateAx>
        <c:axId val="42822069"/>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69752938"/>
        <c:auto val="1"/>
        <c:lblOffset val="100"/>
        <c:baseTimeUnit val="days"/>
        <c:noMultiLvlLbl val="0"/>
      </c:dateAx>
      <c:valAx>
        <c:axId val="69752938"/>
        <c:scaling>
          <c:orientation val="minMax"/>
          <c:min val="100"/>
        </c:scaling>
        <c:delete val="0"/>
        <c:axPos val="l"/>
        <c:majorGridlines>
          <c:spPr>
            <a:ln w="9360">
              <a:solidFill>
                <a:srgbClr val="d9d9d9"/>
              </a:solidFill>
              <a:round/>
            </a:ln>
          </c:spPr>
        </c:majorGridlines>
        <c:title>
          <c:tx>
            <c:rich>
              <a:bodyPr rot="-5400000"/>
              <a:lstStyle/>
              <a:p>
                <a:pPr>
                  <a:defRPr b="0" lang="en-US" sz="1000" spc="-1" strike="noStrike">
                    <a:solidFill>
                      <a:srgbClr val="595959"/>
                    </a:solidFill>
                    <a:latin typeface="Calibri"/>
                  </a:defRPr>
                </a:pPr>
                <a:r>
                  <a:rPr b="0" lang="en-US" sz="1000" spc="-1" strike="noStrike">
                    <a:solidFill>
                      <a:srgbClr val="595959"/>
                    </a:solidFill>
                    <a:latin typeface="Calibri"/>
                  </a:rPr>
                  <a:t>Indice</a:t>
                </a:r>
              </a:p>
            </c:rich>
          </c:tx>
          <c:overlay val="0"/>
          <c:spPr>
            <a:noFill/>
            <a:ln w="0">
              <a:noFill/>
            </a:ln>
          </c:spPr>
        </c:title>
        <c:numFmt formatCode="#,##0" sourceLinked="0"/>
        <c:majorTickMark val="none"/>
        <c:minorTickMark val="none"/>
        <c:tickLblPos val="nextTo"/>
        <c:spPr>
          <a:ln w="6480">
            <a:noFill/>
          </a:ln>
        </c:spPr>
        <c:txPr>
          <a:bodyPr/>
          <a:lstStyle/>
          <a:p>
            <a:pPr>
              <a:defRPr b="0" sz="1200" spc="-1" strike="noStrike">
                <a:solidFill>
                  <a:srgbClr val="000000"/>
                </a:solidFill>
                <a:latin typeface="Be Vietnam Pro Light"/>
              </a:defRPr>
            </a:pPr>
          </a:p>
        </c:txPr>
        <c:crossAx val="42822069"/>
        <c:crosses val="autoZero"/>
        <c:crossBetween val="between"/>
        <c:majorUnit val="5"/>
        <c:minorUnit val="5"/>
      </c:valAx>
      <c:spPr>
        <a:noFill/>
        <a:ln w="0">
          <a:noFill/>
        </a:ln>
      </c:spPr>
    </c:plotArea>
    <c:legend>
      <c:legendPos val="b"/>
      <c:overlay val="0"/>
      <c:spPr>
        <a:noFill/>
        <a:ln w="0">
          <a:noFill/>
        </a:ln>
      </c:spPr>
      <c:txPr>
        <a:bodyPr/>
        <a:lstStyle/>
        <a:p>
          <a:pPr>
            <a:defRPr b="0" sz="1800" spc="-1" strike="noStrike">
              <a:solidFill>
                <a:srgbClr val="000000"/>
              </a:solidFill>
              <a:latin typeface="Be Vietnam Pro Light"/>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0.6316</c:v>
                </c:pt>
                <c:pt idx="1">
                  <c:v>0.28</c:v>
                </c:pt>
                <c:pt idx="2">
                  <c:v>0.0884</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c:v>
                </c:pt>
                <c:pt idx="3">
                  <c:v>1</c:v>
                </c:pt>
                <c:pt idx="4">
                  <c:v>0</c:v>
                </c:pt>
                <c:pt idx="5">
                  <c:v>0</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4116744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6480</xdr:colOff>
      <xdr:row>267</xdr:row>
      <xdr:rowOff>113400</xdr:rowOff>
    </xdr:from>
    <xdr:to>
      <xdr:col>11</xdr:col>
      <xdr:colOff>706680</xdr:colOff>
      <xdr:row>296</xdr:row>
      <xdr:rowOff>45000</xdr:rowOff>
    </xdr:to>
    <xdr:graphicFrame>
      <xdr:nvGraphicFramePr>
        <xdr:cNvPr id="1" name="Chart 2"/>
        <xdr:cNvGraphicFramePr/>
      </xdr:nvGraphicFramePr>
      <xdr:xfrm>
        <a:off x="2584440" y="51062760"/>
        <a:ext cx="9350280" cy="54558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2578125" defaultRowHeight="15" zeroHeight="false" outlineLevelRow="0" outlineLevelCol="0"/>
  <cols>
    <col collapsed="false" customWidth="true" hidden="false" outlineLevel="0" max="1" min="1" style="0" width="71"/>
  </cols>
  <sheetData>
    <row r="2" customFormat="false" ht="191.25"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78" colorId="64" zoomScale="83" zoomScaleNormal="83" zoomScalePageLayoutView="100" workbookViewId="0">
      <selection pane="topLeft" activeCell="AW19" activeCellId="0" sqref="AW19"/>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42" min="31" style="3" width="11.57"/>
    <col collapsed="false" customWidth="true" hidden="false" outlineLevel="0" max="43" min="43" style="3" width="12"/>
    <col collapsed="false" customWidth="true" hidden="false" outlineLevel="0" max="44" min="44" style="3" width="4"/>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c r="AF2" s="15"/>
      <c r="AG2" s="15"/>
      <c r="AH2" s="15"/>
      <c r="AI2" s="15"/>
      <c r="AJ2" s="15"/>
      <c r="AK2" s="15"/>
      <c r="AL2" s="15"/>
      <c r="AM2" s="15"/>
      <c r="AN2" s="15"/>
      <c r="AO2" s="15"/>
      <c r="AP2" s="15"/>
      <c r="AQ2" s="16" t="n">
        <f aca="false">AA3/N3-1</f>
        <v>-1</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c r="Q3" s="20"/>
      <c r="R3" s="20"/>
      <c r="S3" s="20"/>
      <c r="T3" s="20"/>
      <c r="U3" s="20"/>
      <c r="V3" s="20"/>
      <c r="W3" s="20"/>
      <c r="X3" s="20"/>
      <c r="Y3" s="20"/>
      <c r="Z3" s="20"/>
      <c r="AA3" s="20"/>
      <c r="AC3" s="6"/>
      <c r="AD3" s="21" t="n">
        <v>2007</v>
      </c>
      <c r="AE3" s="22"/>
      <c r="AF3" s="22"/>
      <c r="AG3" s="22"/>
      <c r="AH3" s="22"/>
      <c r="AI3" s="22"/>
      <c r="AJ3" s="22"/>
      <c r="AK3" s="22"/>
      <c r="AL3" s="22"/>
      <c r="AM3" s="22"/>
      <c r="AN3" s="22"/>
      <c r="AO3" s="22"/>
      <c r="AP3" s="22"/>
      <c r="AQ3" s="23"/>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c r="Q4" s="20"/>
      <c r="R4" s="20"/>
      <c r="S4" s="20"/>
      <c r="T4" s="20"/>
      <c r="U4" s="20"/>
      <c r="V4" s="20"/>
      <c r="W4" s="20"/>
      <c r="X4" s="20"/>
      <c r="Y4" s="20"/>
      <c r="Z4" s="20"/>
      <c r="AA4" s="20"/>
      <c r="AC4" s="6"/>
      <c r="AD4" s="14" t="n">
        <v>2008</v>
      </c>
      <c r="AE4" s="15"/>
      <c r="AF4" s="15"/>
      <c r="AG4" s="15"/>
      <c r="AH4" s="15"/>
      <c r="AI4" s="15"/>
      <c r="AJ4" s="15"/>
      <c r="AK4" s="15"/>
      <c r="AL4" s="15"/>
      <c r="AM4" s="15"/>
      <c r="AN4" s="15"/>
      <c r="AO4" s="15"/>
      <c r="AP4" s="15"/>
      <c r="AQ4" s="16"/>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c r="Q5" s="20"/>
      <c r="R5" s="20"/>
      <c r="S5" s="20"/>
      <c r="T5" s="20"/>
      <c r="U5" s="20"/>
      <c r="V5" s="20"/>
      <c r="W5" s="20"/>
      <c r="X5" s="20"/>
      <c r="Y5" s="20"/>
      <c r="Z5" s="20"/>
      <c r="AA5" s="20"/>
      <c r="AC5" s="6"/>
      <c r="AD5" s="21" t="n">
        <v>2009</v>
      </c>
      <c r="AE5" s="22"/>
      <c r="AF5" s="22"/>
      <c r="AG5" s="22"/>
      <c r="AH5" s="22"/>
      <c r="AI5" s="22"/>
      <c r="AJ5" s="22"/>
      <c r="AK5" s="22"/>
      <c r="AL5" s="22"/>
      <c r="AM5" s="22"/>
      <c r="AN5" s="22"/>
      <c r="AO5" s="22"/>
      <c r="AP5" s="22"/>
      <c r="AQ5" s="23"/>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c r="Q6" s="20"/>
      <c r="R6" s="20"/>
      <c r="S6" s="20"/>
      <c r="T6" s="20"/>
      <c r="U6" s="20"/>
      <c r="V6" s="20"/>
      <c r="W6" s="20"/>
      <c r="X6" s="20"/>
      <c r="Y6" s="20"/>
      <c r="Z6" s="20"/>
      <c r="AA6" s="20"/>
      <c r="AC6" s="6"/>
      <c r="AD6" s="14" t="n">
        <v>2010</v>
      </c>
      <c r="AE6" s="15"/>
      <c r="AF6" s="15"/>
      <c r="AG6" s="15"/>
      <c r="AH6" s="15"/>
      <c r="AI6" s="15"/>
      <c r="AJ6" s="15"/>
      <c r="AK6" s="15"/>
      <c r="AL6" s="15"/>
      <c r="AM6" s="15"/>
      <c r="AN6" s="15"/>
      <c r="AO6" s="15"/>
      <c r="AP6" s="15"/>
      <c r="AQ6" s="16"/>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c r="Q7" s="20"/>
      <c r="R7" s="20"/>
      <c r="S7" s="20"/>
      <c r="T7" s="20"/>
      <c r="U7" s="20"/>
      <c r="V7" s="20"/>
      <c r="W7" s="20"/>
      <c r="X7" s="20"/>
      <c r="Y7" s="20"/>
      <c r="Z7" s="20"/>
      <c r="AA7" s="20"/>
      <c r="AC7" s="6"/>
      <c r="AD7" s="21" t="n">
        <v>2011</v>
      </c>
      <c r="AE7" s="22"/>
      <c r="AF7" s="22"/>
      <c r="AG7" s="22"/>
      <c r="AH7" s="22"/>
      <c r="AI7" s="22"/>
      <c r="AJ7" s="22"/>
      <c r="AK7" s="22"/>
      <c r="AL7" s="22"/>
      <c r="AM7" s="22"/>
      <c r="AN7" s="22"/>
      <c r="AO7" s="22"/>
      <c r="AP7" s="22"/>
      <c r="AQ7" s="23"/>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c r="Q8" s="20"/>
      <c r="R8" s="20"/>
      <c r="S8" s="20"/>
      <c r="T8" s="20"/>
      <c r="U8" s="20"/>
      <c r="V8" s="20"/>
      <c r="W8" s="20"/>
      <c r="X8" s="20"/>
      <c r="Y8" s="20"/>
      <c r="Z8" s="20"/>
      <c r="AA8" s="20"/>
      <c r="AC8" s="6"/>
      <c r="AD8" s="14" t="n">
        <v>2012</v>
      </c>
      <c r="AE8" s="15"/>
      <c r="AF8" s="15"/>
      <c r="AG8" s="15"/>
      <c r="AH8" s="15"/>
      <c r="AI8" s="15"/>
      <c r="AJ8" s="15"/>
      <c r="AK8" s="15"/>
      <c r="AL8" s="15"/>
      <c r="AM8" s="15"/>
      <c r="AN8" s="15"/>
      <c r="AO8" s="15"/>
      <c r="AP8" s="15"/>
      <c r="AQ8" s="16"/>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c r="Q9" s="20"/>
      <c r="R9" s="20"/>
      <c r="S9" s="20"/>
      <c r="T9" s="20"/>
      <c r="U9" s="20"/>
      <c r="V9" s="20"/>
      <c r="W9" s="20"/>
      <c r="X9" s="20"/>
      <c r="Y9" s="20"/>
      <c r="Z9" s="20"/>
      <c r="AA9" s="20"/>
      <c r="AC9" s="6"/>
      <c r="AD9" s="21" t="n">
        <v>2013</v>
      </c>
      <c r="AE9" s="22"/>
      <c r="AF9" s="22"/>
      <c r="AG9" s="22"/>
      <c r="AH9" s="22"/>
      <c r="AI9" s="22"/>
      <c r="AJ9" s="22"/>
      <c r="AK9" s="22"/>
      <c r="AL9" s="22"/>
      <c r="AM9" s="22"/>
      <c r="AN9" s="22"/>
      <c r="AO9" s="22"/>
      <c r="AP9" s="22"/>
      <c r="AQ9" s="23"/>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c r="Q10" s="20"/>
      <c r="R10" s="20"/>
      <c r="S10" s="20"/>
      <c r="T10" s="20"/>
      <c r="U10" s="20"/>
      <c r="V10" s="20"/>
      <c r="W10" s="20"/>
      <c r="X10" s="20"/>
      <c r="Y10" s="20"/>
      <c r="Z10" s="20"/>
      <c r="AA10" s="20"/>
      <c r="AC10" s="6"/>
      <c r="AD10" s="14" t="n">
        <v>2014</v>
      </c>
      <c r="AE10" s="15"/>
      <c r="AF10" s="15"/>
      <c r="AG10" s="15"/>
      <c r="AH10" s="15"/>
      <c r="AI10" s="15"/>
      <c r="AJ10" s="15"/>
      <c r="AK10" s="15"/>
      <c r="AL10" s="15"/>
      <c r="AM10" s="15"/>
      <c r="AN10" s="15"/>
      <c r="AO10" s="15"/>
      <c r="AP10" s="15"/>
      <c r="AQ10" s="16"/>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c r="Q11" s="20"/>
      <c r="R11" s="20"/>
      <c r="S11" s="20"/>
      <c r="T11" s="20"/>
      <c r="U11" s="20"/>
      <c r="V11" s="20"/>
      <c r="W11" s="20"/>
      <c r="X11" s="20"/>
      <c r="Y11" s="20"/>
      <c r="Z11" s="20"/>
      <c r="AA11" s="20"/>
      <c r="AC11" s="6"/>
      <c r="AD11" s="21" t="n">
        <v>2015</v>
      </c>
      <c r="AE11" s="22"/>
      <c r="AF11" s="22"/>
      <c r="AG11" s="22"/>
      <c r="AH11" s="22"/>
      <c r="AI11" s="22"/>
      <c r="AJ11" s="22"/>
      <c r="AK11" s="22"/>
      <c r="AL11" s="22"/>
      <c r="AM11" s="22"/>
      <c r="AN11" s="22"/>
      <c r="AO11" s="22"/>
      <c r="AP11" s="22"/>
      <c r="AQ11" s="23"/>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c r="Q12" s="20"/>
      <c r="R12" s="20"/>
      <c r="S12" s="20"/>
      <c r="T12" s="20"/>
      <c r="U12" s="20"/>
      <c r="V12" s="20"/>
      <c r="W12" s="20"/>
      <c r="X12" s="20"/>
      <c r="Y12" s="20"/>
      <c r="Z12" s="20"/>
      <c r="AA12" s="20"/>
      <c r="AC12" s="6"/>
      <c r="AD12" s="14" t="n">
        <v>2016</v>
      </c>
      <c r="AE12" s="15"/>
      <c r="AF12" s="15"/>
      <c r="AG12" s="15"/>
      <c r="AH12" s="15"/>
      <c r="AI12" s="15"/>
      <c r="AJ12" s="15"/>
      <c r="AK12" s="15"/>
      <c r="AL12" s="15"/>
      <c r="AM12" s="15"/>
      <c r="AN12" s="15"/>
      <c r="AO12" s="15"/>
      <c r="AP12" s="15"/>
      <c r="AQ12" s="16"/>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c r="Q13" s="20"/>
      <c r="R13" s="20"/>
      <c r="S13" s="20"/>
      <c r="T13" s="20"/>
      <c r="U13" s="20"/>
      <c r="V13" s="20"/>
      <c r="W13" s="20"/>
      <c r="X13" s="20"/>
      <c r="Y13" s="20"/>
      <c r="Z13" s="20"/>
      <c r="AA13" s="20"/>
      <c r="AC13" s="6"/>
      <c r="AD13" s="21" t="n">
        <v>2017</v>
      </c>
      <c r="AE13" s="22"/>
      <c r="AF13" s="22"/>
      <c r="AG13" s="22"/>
      <c r="AH13" s="22"/>
      <c r="AI13" s="22"/>
      <c r="AJ13" s="22"/>
      <c r="AK13" s="22"/>
      <c r="AL13" s="22"/>
      <c r="AM13" s="22"/>
      <c r="AN13" s="22"/>
      <c r="AO13" s="22"/>
      <c r="AP13" s="22"/>
      <c r="AQ13" s="23"/>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c r="Q14" s="20"/>
      <c r="R14" s="20"/>
      <c r="S14" s="20"/>
      <c r="T14" s="20"/>
      <c r="U14" s="20"/>
      <c r="V14" s="20"/>
      <c r="W14" s="20"/>
      <c r="X14" s="20"/>
      <c r="Y14" s="20"/>
      <c r="Z14" s="20"/>
      <c r="AA14" s="20"/>
      <c r="AC14" s="6"/>
      <c r="AD14" s="14" t="n">
        <v>2018</v>
      </c>
      <c r="AE14" s="15"/>
      <c r="AF14" s="15"/>
      <c r="AG14" s="15"/>
      <c r="AH14" s="15"/>
      <c r="AI14" s="15"/>
      <c r="AJ14" s="15"/>
      <c r="AK14" s="27"/>
      <c r="AL14" s="27"/>
      <c r="AM14" s="27"/>
      <c r="AN14" s="15"/>
      <c r="AO14" s="15"/>
      <c r="AP14" s="15"/>
      <c r="AQ14" s="16"/>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T15" s="18"/>
      <c r="U15" s="19"/>
      <c r="V15" s="18"/>
      <c r="W15" s="18"/>
      <c r="X15" s="18"/>
      <c r="Y15" s="6"/>
      <c r="Z15" s="28"/>
      <c r="AC15" s="6"/>
      <c r="AD15" s="21" t="n">
        <v>2019</v>
      </c>
      <c r="AE15" s="22"/>
      <c r="AF15" s="22"/>
      <c r="AG15" s="22"/>
      <c r="AH15" s="22"/>
      <c r="AI15" s="22"/>
      <c r="AJ15" s="22"/>
      <c r="AK15" s="22"/>
      <c r="AL15" s="22"/>
      <c r="AM15" s="22"/>
      <c r="AN15" s="22"/>
      <c r="AO15" s="22"/>
      <c r="AP15" s="22"/>
      <c r="AQ15" s="23"/>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U16" s="19"/>
      <c r="V16" s="19"/>
      <c r="W16" s="19"/>
      <c r="Y16" s="19"/>
      <c r="AA16" s="19"/>
      <c r="AD16" s="21" t="n">
        <v>2020</v>
      </c>
      <c r="AE16" s="22"/>
      <c r="AF16" s="22"/>
      <c r="AG16" s="22"/>
      <c r="AH16" s="22"/>
      <c r="AI16" s="22"/>
      <c r="AJ16" s="22"/>
      <c r="AK16" s="22"/>
      <c r="AL16" s="22"/>
      <c r="AM16" s="22"/>
      <c r="AN16" s="22"/>
      <c r="AO16" s="22"/>
      <c r="AP16" s="22"/>
      <c r="AQ16" s="23"/>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Q17" s="19"/>
      <c r="R17" s="19"/>
      <c r="S17" s="19"/>
      <c r="U17" s="19"/>
      <c r="V17" s="19"/>
      <c r="W17" s="19"/>
      <c r="X17" s="19"/>
      <c r="Y17" s="19"/>
      <c r="Z17" s="19"/>
      <c r="AA17" s="19"/>
      <c r="AD17" s="21" t="n">
        <v>2021</v>
      </c>
      <c r="AE17" s="22"/>
      <c r="AF17" s="22"/>
      <c r="AG17" s="22"/>
      <c r="AH17" s="22"/>
      <c r="AI17" s="22"/>
      <c r="AJ17" s="22"/>
      <c r="AK17" s="22"/>
      <c r="AL17" s="22"/>
      <c r="AM17" s="22"/>
      <c r="AN17" s="22"/>
      <c r="AO17" s="22"/>
      <c r="AP17" s="22"/>
      <c r="AQ17" s="23"/>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AD18" s="21" t="n">
        <v>2022</v>
      </c>
      <c r="AE18" s="22"/>
      <c r="AF18" s="22"/>
      <c r="AG18" s="22"/>
      <c r="AH18" s="22"/>
      <c r="AI18" s="22"/>
      <c r="AJ18" s="22"/>
      <c r="AK18" s="22"/>
      <c r="AL18" s="22"/>
      <c r="AM18" s="22"/>
      <c r="AN18" s="22"/>
      <c r="AO18" s="22"/>
      <c r="AP18" s="22"/>
      <c r="AQ18" s="23"/>
      <c r="AR18" s="26"/>
      <c r="AS18" s="9"/>
      <c r="AV18" s="6"/>
      <c r="AW18" s="6"/>
      <c r="AX18" s="6" t="n">
        <v>-1</v>
      </c>
      <c r="AY18" s="6" t="n">
        <v>-3</v>
      </c>
      <c r="AZ18" s="6" t="n">
        <v>-6</v>
      </c>
      <c r="BA18" s="6" t="n">
        <v>-12</v>
      </c>
      <c r="BB18" s="6"/>
    </row>
    <row r="19" customFormat="false" ht="15" hidden="false" customHeight="false" outlineLevel="0" collapsed="false">
      <c r="A19" s="17" t="n">
        <v>39202</v>
      </c>
      <c r="B19" s="20" t="n">
        <v>11712.58</v>
      </c>
      <c r="C19" s="25" t="n">
        <f aca="false">(B19/B18-1)/(A19-A18)*30</f>
        <v>0.00423892793075653</v>
      </c>
      <c r="D19" s="19"/>
      <c r="E19" s="19"/>
      <c r="F19" s="19"/>
      <c r="O19" s="3" t="n">
        <v>2022</v>
      </c>
      <c r="Q19" s="19"/>
      <c r="AD19" s="21" t="n">
        <v>2023</v>
      </c>
      <c r="AE19" s="22"/>
      <c r="AF19" s="22"/>
      <c r="AG19" s="22"/>
      <c r="AH19" s="22"/>
      <c r="AI19" s="22"/>
      <c r="AJ19" s="22"/>
      <c r="AK19" s="22"/>
      <c r="AL19" s="22"/>
      <c r="AM19" s="22"/>
      <c r="AN19" s="22"/>
      <c r="AO19" s="22"/>
      <c r="AP19" s="22"/>
      <c r="AQ19" s="23"/>
      <c r="AR19" s="26"/>
      <c r="AS19" s="9"/>
      <c r="AV19" s="29" t="s">
        <v>25</v>
      </c>
      <c r="AW19" s="30" t="n">
        <v>46142</v>
      </c>
      <c r="AX19" s="31" t="n">
        <f aca="false">EOMONTH($AW19,AX18)+6+1</f>
        <v>46119</v>
      </c>
      <c r="AY19" s="31" t="n">
        <f aca="false">EOMONTH($AW19,AY18)</f>
        <v>46053</v>
      </c>
      <c r="AZ19" s="31" t="n">
        <f aca="false">EOMONTH($AW19,AZ18)</f>
        <v>45961</v>
      </c>
      <c r="BA19" s="31" t="n">
        <f aca="false">EOMONTH($AW19,BA18)</f>
        <v>45777</v>
      </c>
      <c r="BB19" s="31"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Q20" s="19"/>
      <c r="Y20" s="19"/>
      <c r="AD20" s="21" t="n">
        <v>2024</v>
      </c>
      <c r="AE20" s="22"/>
      <c r="AF20" s="22"/>
      <c r="AG20" s="22"/>
      <c r="AH20" s="22"/>
      <c r="AI20" s="22"/>
      <c r="AJ20" s="22"/>
      <c r="AK20" s="22"/>
      <c r="AL20" s="22"/>
      <c r="AM20" s="22"/>
      <c r="AN20" s="22"/>
      <c r="AO20" s="22"/>
      <c r="AP20" s="22"/>
      <c r="AQ20" s="23"/>
      <c r="AR20" s="9"/>
      <c r="AS20" s="9"/>
      <c r="AV20" s="6" t="s">
        <v>3</v>
      </c>
      <c r="AW20" s="32" t="n">
        <f aca="false">LOOKUP(AW19,$A$3:$A$2973,$B$3:$B$2973)</f>
        <v>19916.8502383877</v>
      </c>
      <c r="AX20" s="32" t="n">
        <f aca="false">LOOKUP(AX19,$A$3:$A$2973,$B$3:$B$2973)</f>
        <v>26333.64</v>
      </c>
      <c r="AY20" s="32" t="n">
        <f aca="false">LOOKUP(AY19,$A$3:$A$2973,$B$3:$B$2973)</f>
        <v>26136.9</v>
      </c>
      <c r="AZ20" s="32" t="n">
        <f aca="false">LOOKUP(AZ19,$A$3:$A$2973,$B$3:$B$2973)</f>
        <v>25829.5</v>
      </c>
      <c r="BA20" s="32" t="n">
        <f aca="false">LOOKUP(BA19,$A$3:$A$2973,$B$3:$B$2973)</f>
        <v>25197.48</v>
      </c>
      <c r="BB20" s="32"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Q21" s="19"/>
      <c r="U21" s="19"/>
      <c r="Y21" s="19"/>
      <c r="AA21" s="3" t="n">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6" t="s">
        <v>26</v>
      </c>
      <c r="AW21" s="32" t="n">
        <f aca="false">LOOKUP(AW19,$F$2:$F$2974,$K$2:$K$2974)</f>
        <v>0</v>
      </c>
      <c r="AX21" s="32" t="n">
        <f aca="false">LOOKUP(AX19,$F$2:$F$2974,$K$2:$K$2974)</f>
        <v>6335.4774</v>
      </c>
      <c r="AY21" s="32" t="n">
        <f aca="false">LOOKUP(AY19,$F$2:$F$2974,$K$2:$K$2974)</f>
        <v>6303.0823</v>
      </c>
      <c r="AZ21" s="32" t="n">
        <f aca="false">LOOKUP(AZ19,$F$2:$F$2974,$K$2:$K$2974)</f>
        <v>6250.6982</v>
      </c>
      <c r="BA21" s="32" t="n">
        <f aca="false">LOOKUP(BA19,$F$2:$F$2974,$K$2:$K$2974)</f>
        <v>6141.4105</v>
      </c>
      <c r="BB21" s="32"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6" t="s">
        <v>27</v>
      </c>
      <c r="AW22" s="32" t="n">
        <f aca="false">LOOKUP(AW19,$F$2:$F$2972,$H$2:$H$2972)</f>
        <v>1070.5872</v>
      </c>
      <c r="AX22" s="32" t="n">
        <f aca="false">LOOKUP(AX19,$F$2:$F$2972,$H$2:$H$2972)</f>
        <v>1064.2617</v>
      </c>
      <c r="AY22" s="32" t="n">
        <f aca="false">LOOKUP(AY19,$F$2:$F$2972,$H$2:$H$2972)</f>
        <v>1051.9576</v>
      </c>
      <c r="AZ22" s="32" t="n">
        <f aca="false">LOOKUP(AZ19,$F$2:$F$2972,$H$2:$H$2972)</f>
        <v>1033.2547</v>
      </c>
      <c r="BA22" s="32" t="n">
        <f aca="false">LOOKUP(BA19,$F$2:$F$2972,$H$2:$H$2972)</f>
        <v>1000</v>
      </c>
      <c r="BB22" s="32"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3" t="n">
        <f aca="false">+B248</f>
        <v>26333.64</v>
      </c>
      <c r="S23" s="3" t="n">
        <f aca="false">+B249</f>
        <v>19916.8502383877</v>
      </c>
      <c r="U23" s="19"/>
      <c r="Y23" s="19"/>
      <c r="AD23" s="26" t="s">
        <v>28</v>
      </c>
      <c r="AE23" s="9"/>
      <c r="AF23" s="9"/>
      <c r="AG23" s="9"/>
      <c r="AH23" s="9"/>
      <c r="AI23" s="9"/>
      <c r="AJ23" s="9"/>
      <c r="AK23" s="9"/>
      <c r="AL23" s="9"/>
      <c r="AM23" s="9"/>
      <c r="AN23" s="9"/>
      <c r="AO23" s="9"/>
      <c r="AP23" s="9"/>
      <c r="AQ23" s="9"/>
      <c r="AV23" s="6"/>
      <c r="AW23" s="32"/>
      <c r="AX23" s="32"/>
      <c r="AY23" s="32"/>
      <c r="AZ23" s="32"/>
      <c r="BA23" s="32"/>
      <c r="BB23" s="32"/>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V24" s="6"/>
      <c r="AW24" s="6"/>
      <c r="AX24" s="6"/>
      <c r="AY24" s="6"/>
      <c r="AZ24" s="6"/>
      <c r="BA24" s="6"/>
      <c r="BB24" s="6"/>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3"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s">
        <v>30</v>
      </c>
      <c r="U27" s="34" t="n">
        <f aca="false">LOOKUP(DATE($O27,U$25,U$24),$A$2:$A$2943,$H$2:$H$2943)</f>
        <v>0</v>
      </c>
      <c r="V27" s="34" t="n">
        <f aca="false">LOOKUP(DATE($O27,V$25,V$24),$A$2:$A$2943,$H$2:$H$2943)</f>
        <v>0</v>
      </c>
      <c r="W27" s="34" t="n">
        <f aca="false">LOOKUP(DATE($O27,W$25,W$24),$A$2:$A$2943,$H$2:$H$2943)</f>
        <v>0</v>
      </c>
      <c r="X27" s="34" t="n">
        <f aca="false">LOOKUP(DATE($O27,X$25,X$24),$A$2:$A$2943,$H$2:$H$2943)</f>
        <v>0</v>
      </c>
      <c r="Y27" s="34" t="n">
        <f aca="false">LOOKUP(DATE($O27,Y$25,Y$24),$A$2:$A$2943,$H$2:$H$2943)</f>
        <v>0</v>
      </c>
      <c r="Z27" s="34" t="n">
        <f aca="false">LOOKUP(DATE($O27,Z$25,Z$24),$A$2:$A$2943,$H$2:$H$2943)</f>
        <v>0</v>
      </c>
      <c r="AA27" s="34" t="n">
        <f aca="false">LOOKUP(DATE($O27,AA$25,AA$24),$A$2:$A$2943,$H$2:$H$2943)</f>
        <v>0</v>
      </c>
      <c r="AD27" s="35" t="s">
        <v>31</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4" t="n">
        <f aca="false">LOOKUP(DATE($O28,P$25,P$24),$A$2:$A$2943,$H$2:$H$2943)</f>
        <v>0</v>
      </c>
      <c r="Q28" s="34" t="n">
        <f aca="false">LOOKUP(DATE($O28,Q$25,Q$24),$A$2:$A$2943,$H$2:$H$2943)</f>
        <v>0</v>
      </c>
      <c r="R28" s="34" t="n">
        <f aca="false">LOOKUP(DATE($O28,R$25,R$24),$A$2:$A$2943,$H$2:$H$2943)</f>
        <v>0</v>
      </c>
      <c r="S28" s="34" t="n">
        <f aca="false">LOOKUP(DATE($O28,S$25,S$24),$A$2:$A$2943,$H$2:$H$2943)</f>
        <v>0</v>
      </c>
      <c r="T28" s="34" t="n">
        <f aca="false">LOOKUP(DATE($O28,T$25,T$24),$A$2:$A$2943,$H$2:$H$2943)</f>
        <v>0</v>
      </c>
      <c r="U28" s="34" t="n">
        <f aca="false">LOOKUP(DATE($O28,U$25,U$24),$A$2:$A$2943,$H$2:$H$2943)</f>
        <v>0</v>
      </c>
      <c r="V28" s="34" t="n">
        <f aca="false">LOOKUP(DATE($O28,V$25,V$24),$A$2:$A$2943,$H$2:$H$2943)</f>
        <v>0</v>
      </c>
      <c r="W28" s="34" t="n">
        <f aca="false">LOOKUP(DATE($O28,W$25,W$24),$A$2:$A$2943,$H$2:$H$2943)</f>
        <v>0</v>
      </c>
      <c r="X28" s="34" t="n">
        <f aca="false">LOOKUP(DATE($O28,X$25,X$24),$A$2:$A$2943,$H$2:$H$2943)</f>
        <v>0</v>
      </c>
      <c r="Y28" s="34" t="n">
        <f aca="false">LOOKUP(DATE($O28,Y$25,Y$24),$A$2:$A$2943,$H$2:$H$2943)</f>
        <v>0</v>
      </c>
      <c r="Z28" s="34" t="n">
        <f aca="false">LOOKUP(DATE($O28,Z$25,Z$24),$A$2:$A$2943,$H$2:$H$2943)</f>
        <v>0</v>
      </c>
      <c r="AA28" s="34" t="n">
        <f aca="false">LOOKUP(DATE($O28,AA$25,AA$24),$A$2:$A$2943,$H$2:$H$2943)</f>
        <v>0</v>
      </c>
      <c r="AD28" s="14" t="n">
        <v>2016</v>
      </c>
      <c r="AE28" s="15"/>
      <c r="AF28" s="15"/>
      <c r="AG28" s="15"/>
      <c r="AH28" s="15"/>
      <c r="AI28" s="15"/>
      <c r="AJ28" s="15"/>
      <c r="AK28" s="15"/>
      <c r="AL28" s="15"/>
      <c r="AM28" s="15"/>
      <c r="AN28" s="15"/>
      <c r="AO28" s="15"/>
      <c r="AP28" s="15"/>
      <c r="AQ28" s="16"/>
      <c r="AR28" s="9"/>
      <c r="AS28" s="9"/>
      <c r="AV28" s="36"/>
      <c r="AW28" s="37" t="s">
        <v>32</v>
      </c>
      <c r="AX28" s="37" t="s">
        <v>33</v>
      </c>
      <c r="AY28" s="37" t="s">
        <v>34</v>
      </c>
      <c r="AZ28" s="37" t="s">
        <v>35</v>
      </c>
      <c r="BA28" s="37" t="s">
        <v>36</v>
      </c>
      <c r="BB28" s="37" t="s">
        <v>37</v>
      </c>
      <c r="BC28" s="38"/>
      <c r="BD28" s="39"/>
    </row>
    <row r="29" customFormat="false" ht="15" hidden="false" customHeight="false" outlineLevel="0" collapsed="false">
      <c r="A29" s="17" t="n">
        <v>39478</v>
      </c>
      <c r="B29" s="20" t="n">
        <v>12223.14</v>
      </c>
      <c r="C29" s="25" t="n">
        <f aca="false">(B29/B28-1)/(A29-A28)*30</f>
        <v>0.0056172766427787</v>
      </c>
      <c r="D29" s="19"/>
      <c r="E29" s="19"/>
      <c r="F29" s="19"/>
      <c r="O29" s="3" t="n">
        <v>2018</v>
      </c>
      <c r="P29" s="34" t="n">
        <f aca="false">LOOKUP(DATE($O29,P$25,P$24),$A$2:$A$2943,$H$2:$H$2943)</f>
        <v>0</v>
      </c>
      <c r="Q29" s="34" t="n">
        <f aca="false">LOOKUP(DATE($O29,Q$25,Q$24),$A$2:$A$2943,$H$2:$H$2943)</f>
        <v>0</v>
      </c>
      <c r="R29" s="34" t="n">
        <f aca="false">LOOKUP(DATE($O29,R$25,R$24),$A$2:$A$2943,$H$2:$H$2943)</f>
        <v>0</v>
      </c>
      <c r="S29" s="34" t="n">
        <f aca="false">LOOKUP(DATE($O29,S$25,S$24),$A$2:$A$2943,$H$2:$H$2943)</f>
        <v>0</v>
      </c>
      <c r="T29" s="34" t="n">
        <f aca="false">LOOKUP(DATE($O29,T$25,T$24),$A$2:$A$2943,$H$2:$H$2943)</f>
        <v>0</v>
      </c>
      <c r="U29" s="34" t="n">
        <f aca="false">LOOKUP(DATE($O29,U$25,U$24),$A$2:$A$2943,$H$2:$H$2943)</f>
        <v>0</v>
      </c>
      <c r="V29" s="34" t="n">
        <f aca="false">LOOKUP(DATE($O29,V$25,V$24),$A$2:$A$2943,$H$2:$H$2943)</f>
        <v>0</v>
      </c>
      <c r="W29" s="34" t="n">
        <f aca="false">LOOKUP(DATE($O29,W$25,W$24),$A$2:$A$2943,$H$2:$H$2943)</f>
        <v>0</v>
      </c>
      <c r="X29" s="34" t="n">
        <f aca="false">LOOKUP(DATE($O29,X$25,X$24),$A$2:$A$2943,$H$2:$H$2943)</f>
        <v>0</v>
      </c>
      <c r="Y29" s="40" t="n">
        <f aca="false">LOOKUP(DATE($O29,Y$25,Y$24),$A$2:$A$2943,$H$2:$H$2943)</f>
        <v>0</v>
      </c>
      <c r="Z29" s="40" t="n">
        <f aca="false">LOOKUP(DATE($O29,Z$25,Z$24),$A$2:$A$2943,$H$2:$H$2943)</f>
        <v>0</v>
      </c>
      <c r="AA29" s="40"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1"/>
      <c r="AW29" s="37" t="s">
        <v>38</v>
      </c>
      <c r="AX29" s="42" t="n">
        <f aca="false">$AW20/AX20-1</f>
        <v>-0.243672722859896</v>
      </c>
      <c r="AY29" s="42" t="n">
        <f aca="false">$AW20/AY20-1</f>
        <v>-0.237979628862347</v>
      </c>
      <c r="AZ29" s="42" t="n">
        <f aca="false">$AW20/AZ20-1</f>
        <v>-0.228910732364632</v>
      </c>
      <c r="BA29" s="43" t="n">
        <f aca="false">$AW20/BA20-1</f>
        <v>-0.209569757039683</v>
      </c>
      <c r="BB29" s="42"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4" t="n">
        <f aca="false">LOOKUP(DATE($O30,P$25,P$24),$A$2:$A$2943,$H$2:$H$2943)</f>
        <v>0</v>
      </c>
      <c r="Q30" s="34" t="n">
        <f aca="false">LOOKUP(DATE($O30,Q$25,Q$24),$A$2:$A$2943,$H$2:$H$2943)</f>
        <v>0</v>
      </c>
      <c r="R30" s="34" t="n">
        <f aca="false">LOOKUP(DATE($O30,R$25,R$24),$A$2:$A$2943,$H$2:$H$2943)</f>
        <v>0</v>
      </c>
      <c r="S30" s="34" t="n">
        <f aca="false">LOOKUP(DATE($O30,S$25,S$24),$A$2:$A$2943,$H$2:$H$2943)</f>
        <v>0</v>
      </c>
      <c r="T30" s="34" t="n">
        <f aca="false">LOOKUP(DATE($O30,T$25,T$24),$A$2:$A$2943,$H$2:$H$2943)</f>
        <v>0</v>
      </c>
      <c r="U30" s="34" t="n">
        <f aca="false">LOOKUP(DATE($O30,U$25,U$24),$A$2:$A$2943,$H$2:$H$2943)</f>
        <v>0</v>
      </c>
      <c r="V30" s="34" t="n">
        <f aca="false">LOOKUP(DATE($O30,V$25,V$24),$A$2:$A$2943,$H$2:$H$2943)</f>
        <v>0</v>
      </c>
      <c r="W30" s="34" t="n">
        <f aca="false">LOOKUP(DATE($O30,W$25,W$24),$A$2:$A$2943,$H$2:$H$2943)</f>
        <v>0</v>
      </c>
      <c r="X30" s="34" t="n">
        <f aca="false">LOOKUP(DATE($O30,X$25,X$24),$A$2:$A$2943,$H$2:$H$2943)</f>
        <v>0</v>
      </c>
      <c r="Y30" s="34" t="n">
        <f aca="false">LOOKUP(DATE($O30,Y$25,Y$24),$A$2:$A$2943,$H$2:$H$2943)</f>
        <v>0</v>
      </c>
      <c r="Z30" s="34" t="n">
        <f aca="false">LOOKUP(DATE($O30,Z$25,Z$24),$A$2:$A$2943,$H$2:$H$2943)</f>
        <v>0</v>
      </c>
      <c r="AA30" s="34" t="n">
        <f aca="false">LOOKUP(DATE($O30,AA$25,AA$24),$A$2:$A$2943,$H$2:$H$2943)</f>
        <v>0</v>
      </c>
      <c r="AD30" s="14" t="n">
        <v>2018</v>
      </c>
      <c r="AE30" s="15"/>
      <c r="AF30" s="15"/>
      <c r="AG30" s="15"/>
      <c r="AH30" s="15"/>
      <c r="AI30" s="15"/>
      <c r="AJ30" s="15"/>
      <c r="AK30" s="15"/>
      <c r="AL30" s="15"/>
      <c r="AM30" s="15"/>
      <c r="AN30" s="15"/>
      <c r="AO30" s="15"/>
      <c r="AP30" s="15"/>
      <c r="AQ30" s="16"/>
      <c r="AR30" s="26"/>
      <c r="AS30" s="9"/>
      <c r="AV30" s="41"/>
      <c r="AW30" s="37" t="s">
        <v>26</v>
      </c>
      <c r="AX30" s="42" t="n">
        <f aca="false">$AW21/AX21-1</f>
        <v>-1</v>
      </c>
      <c r="AY30" s="42" t="n">
        <f aca="false">$AW21/AY21-1</f>
        <v>-1</v>
      </c>
      <c r="AZ30" s="42" t="n">
        <f aca="false">$AW21/AZ21-1</f>
        <v>-1</v>
      </c>
      <c r="BA30" s="43" t="n">
        <f aca="false">$AW21/BA21-1</f>
        <v>-1</v>
      </c>
      <c r="BB30" s="42"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4" t="n">
        <f aca="false">LOOKUP(DATE($O31,P$25,P$24),$A$2:$A$2943,$H$2:$H$2943)</f>
        <v>0</v>
      </c>
      <c r="Q31" s="34" t="n">
        <f aca="false">LOOKUP(DATE($O31,Q$25,Q$24)+1,$A$2:$A$2943,$H$2:$H$2943)</f>
        <v>0</v>
      </c>
      <c r="R31" s="34" t="n">
        <f aca="false">LOOKUP(DATE($O31,R$25,R$24)+1,$A$2:$A$2943,$H$2:$H$2943)</f>
        <v>0</v>
      </c>
      <c r="S31" s="34" t="n">
        <f aca="false">LOOKUP(DATE($O31,S$25,S$24)+1,$A$2:$A$2943,$H$2:$H$2943)</f>
        <v>0</v>
      </c>
      <c r="T31" s="34" t="n">
        <f aca="false">LOOKUP(DATE($O31,T$25,T$24)+1,$A$2:$A$2943,$H$2:$H$2943)</f>
        <v>0</v>
      </c>
      <c r="U31" s="34" t="n">
        <f aca="false">LOOKUP(DATE($O31,U$25,U$24)+1,$A$2:$A$2943,$H$2:$H$2943)</f>
        <v>0</v>
      </c>
      <c r="V31" s="34" t="n">
        <f aca="false">LOOKUP(DATE($O31,V$25,V$24)+1,$A$2:$A$2943,$H$2:$H$2943)</f>
        <v>0</v>
      </c>
      <c r="W31" s="34" t="n">
        <f aca="false">LOOKUP(DATE($O31,W$25,W$24)+1,$A$2:$A$2943,$H$2:$H$2943)</f>
        <v>0</v>
      </c>
      <c r="X31" s="34" t="n">
        <f aca="false">LOOKUP(DATE($O31,X$25,X$24)+1,$A$2:$A$2943,$H$2:$H$2943)</f>
        <v>0</v>
      </c>
      <c r="Y31" s="34" t="n">
        <f aca="false">+H183</f>
        <v>0</v>
      </c>
      <c r="Z31" s="34" t="n">
        <f aca="false">+H184</f>
        <v>0</v>
      </c>
      <c r="AA31" s="34" t="n">
        <f aca="false">+H185</f>
        <v>0</v>
      </c>
      <c r="AD31" s="21" t="n">
        <v>2019</v>
      </c>
      <c r="AE31" s="22"/>
      <c r="AF31" s="22"/>
      <c r="AG31" s="22"/>
      <c r="AH31" s="22"/>
      <c r="AI31" s="22"/>
      <c r="AJ31" s="22"/>
      <c r="AK31" s="22"/>
      <c r="AL31" s="22"/>
      <c r="AM31" s="22"/>
      <c r="AN31" s="22"/>
      <c r="AO31" s="22"/>
      <c r="AP31" s="22"/>
      <c r="AQ31" s="23"/>
      <c r="AR31" s="9"/>
      <c r="AS31" s="9"/>
      <c r="AV31" s="9"/>
      <c r="AW31" s="37" t="s">
        <v>39</v>
      </c>
      <c r="AX31" s="42" t="n">
        <f aca="false">$AW22/AX22-1</f>
        <v>0.00594355692777437</v>
      </c>
      <c r="AY31" s="42" t="n">
        <f aca="false">IFERROR(($AW22/AY22-1),0)</f>
        <v>0.0177094590124165</v>
      </c>
      <c r="AZ31" s="42" t="n">
        <f aca="false">IFERROR(($AW22/AZ22-1),0)</f>
        <v>0.0361309752571171</v>
      </c>
      <c r="BA31" s="43" t="n">
        <f aca="false">$AW22/BA22-1</f>
        <v>0.0705871999999999</v>
      </c>
      <c r="BB31" s="42" t="n">
        <f aca="false">+AQ88</f>
        <v>0.0531283770372495</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c r="U32" s="20"/>
      <c r="V32" s="20"/>
      <c r="W32" s="20"/>
      <c r="X32" s="20"/>
      <c r="Y32" s="20"/>
      <c r="Z32" s="20"/>
      <c r="AA32" s="20"/>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c r="U33" s="20"/>
      <c r="V33" s="20"/>
      <c r="W33" s="20"/>
      <c r="X33" s="20"/>
      <c r="Y33" s="20"/>
      <c r="Z33" s="20"/>
      <c r="AA33" s="20"/>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c r="S34" s="20"/>
      <c r="T34" s="20"/>
      <c r="U34" s="20"/>
      <c r="V34" s="20"/>
      <c r="W34" s="20"/>
      <c r="X34" s="20"/>
      <c r="Y34" s="20"/>
      <c r="Z34" s="20"/>
      <c r="AA34" s="20"/>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c r="Q35" s="20"/>
      <c r="R35" s="20"/>
      <c r="S35" s="20"/>
      <c r="T35" s="20"/>
      <c r="U35" s="20"/>
      <c r="V35" s="20"/>
      <c r="W35" s="20"/>
      <c r="X35" s="20"/>
      <c r="Y35" s="20"/>
      <c r="Z35" s="20"/>
      <c r="AA35" s="20" t="n">
        <v>0</v>
      </c>
      <c r="AD35" s="21" t="n">
        <v>2023</v>
      </c>
      <c r="AE35" s="22"/>
      <c r="AF35" s="22"/>
      <c r="AG35" s="22"/>
      <c r="AH35" s="22"/>
      <c r="AI35" s="22"/>
      <c r="AJ35" s="22"/>
      <c r="AK35" s="22"/>
      <c r="AL35" s="22"/>
      <c r="AM35" s="22"/>
      <c r="AN35" s="22"/>
      <c r="AO35" s="22"/>
      <c r="AP35" s="22"/>
      <c r="AQ35" s="23"/>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+H236</f>
        <v>999</v>
      </c>
      <c r="Q36" s="20" t="n">
        <f aca="false">+G236</f>
        <v>999</v>
      </c>
      <c r="R36" s="20" t="n">
        <f aca="false">+H236</f>
        <v>999</v>
      </c>
      <c r="S36" s="20" t="n">
        <f aca="false">+H237</f>
        <v>1000</v>
      </c>
      <c r="T36" s="20" t="n">
        <f aca="false">+H238</f>
        <v>1000.8554</v>
      </c>
      <c r="U36" s="20" t="n">
        <f aca="false">+H239</f>
        <v>1008.2272</v>
      </c>
      <c r="V36" s="20" t="n">
        <f aca="false">+H240</f>
        <v>1014.4794</v>
      </c>
      <c r="W36" s="20" t="n">
        <f aca="false">+H241</f>
        <v>1020.691</v>
      </c>
      <c r="X36" s="20" t="n">
        <f aca="false">+H242</f>
        <v>1026.5784</v>
      </c>
      <c r="Y36" s="20" t="n">
        <f aca="false">+H243</f>
        <v>1033.2547</v>
      </c>
      <c r="Z36" s="20" t="n">
        <f aca="false">+H244</f>
        <v>1039.2601</v>
      </c>
      <c r="AA36" s="20" t="n">
        <f aca="false">+H245</f>
        <v>1045.7936</v>
      </c>
      <c r="AD36" s="21" t="n">
        <v>2024</v>
      </c>
      <c r="AE36" s="22"/>
      <c r="AF36" s="22"/>
      <c r="AG36" s="22"/>
      <c r="AH36" s="22"/>
      <c r="AI36" s="22"/>
      <c r="AJ36" s="22"/>
      <c r="AK36" s="22"/>
      <c r="AL36" s="22"/>
      <c r="AM36" s="22"/>
      <c r="AN36" s="22"/>
      <c r="AO36" s="22"/>
      <c r="AP36" s="22"/>
      <c r="AQ36" s="23"/>
      <c r="AR36" s="9"/>
      <c r="AS36" s="9"/>
    </row>
    <row r="37" customFormat="false" ht="15" hidden="false" customHeight="false" outlineLevel="0" collapsed="false">
      <c r="A37" s="17"/>
      <c r="B37" s="20"/>
      <c r="C37" s="25"/>
      <c r="D37" s="19"/>
      <c r="E37" s="19"/>
      <c r="F37" s="19"/>
      <c r="O37" s="3" t="n">
        <v>2026</v>
      </c>
      <c r="P37" s="20" t="n">
        <f aca="false">+H246</f>
        <v>1051.9576</v>
      </c>
      <c r="Q37" s="20" t="n">
        <f aca="false">+H247</f>
        <v>1057.7544</v>
      </c>
      <c r="R37" s="20" t="n">
        <f aca="false">+H248</f>
        <v>1064.2617</v>
      </c>
      <c r="S37" s="20" t="n">
        <f aca="false">+H249</f>
        <v>1070.5872</v>
      </c>
      <c r="T37" s="20"/>
      <c r="U37" s="20"/>
      <c r="V37" s="20"/>
      <c r="W37" s="20"/>
      <c r="X37" s="20"/>
      <c r="Y37" s="20"/>
      <c r="Z37" s="20"/>
      <c r="AA37" s="20"/>
      <c r="AD37" s="21" t="n">
        <v>2025</v>
      </c>
      <c r="AE37" s="22" t="n">
        <v>0</v>
      </c>
      <c r="AF37" s="22" t="n">
        <f aca="false">+(Q36/P36-1)</f>
        <v>0</v>
      </c>
      <c r="AG37" s="22" t="n">
        <f aca="false">+(R36/Q36-1)</f>
        <v>0</v>
      </c>
      <c r="AH37" s="22" t="n">
        <f aca="false">+(S36/R36-1)</f>
        <v>0.00100100100100109</v>
      </c>
      <c r="AI37" s="22" t="n">
        <f aca="false">+(T36/S36-1)</f>
        <v>0.000855400000000062</v>
      </c>
      <c r="AJ37" s="22" t="n">
        <f aca="false">+(U36/T36-1)</f>
        <v>0.00736549955168342</v>
      </c>
      <c r="AK37" s="22" t="n">
        <f aca="false">+(V36/U36-1)</f>
        <v>0.00620118163842442</v>
      </c>
      <c r="AL37" s="22" t="n">
        <f aca="false">+(W36/V36-1)</f>
        <v>0.00612294345257269</v>
      </c>
      <c r="AM37" s="22" t="n">
        <f aca="false">+(X36/W36-1)</f>
        <v>0.00576805321101115</v>
      </c>
      <c r="AN37" s="22" t="n">
        <f aca="false">+(Y36/X36-1)</f>
        <v>0.00650344873806019</v>
      </c>
      <c r="AO37" s="22" t="n">
        <f aca="false">+(Z36/Y36-1)</f>
        <v>0.00581211970291551</v>
      </c>
      <c r="AP37" s="22" t="n">
        <f aca="false">+(AA36/Z36-1)</f>
        <v>0.0062866841515421</v>
      </c>
      <c r="AQ37" s="23" t="n">
        <f aca="false">+(AA36/P36-1)/COUNTA(AE37:AP37)*12</f>
        <v>0.0468404404404403</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0.00589408847022965</v>
      </c>
      <c r="AF38" s="22" t="n">
        <f aca="false">+(Q37/P37-1)</f>
        <v>0.00551048825542022</v>
      </c>
      <c r="AG38" s="22" t="n">
        <f aca="false">+(R37/Q37-1)</f>
        <v>0.00615199520796139</v>
      </c>
      <c r="AH38" s="22" t="n">
        <f aca="false">+(S37/R37-1)</f>
        <v>0.00594355692777437</v>
      </c>
      <c r="AQ38" s="23" t="n">
        <f aca="false">+(S37/P37-1)/COUNTA(AE38:AP38)*12</f>
        <v>0.0531283770372495</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3" t="s">
        <v>26</v>
      </c>
      <c r="P40" s="3" t="s">
        <v>4</v>
      </c>
      <c r="Q40" s="3" t="s">
        <v>5</v>
      </c>
      <c r="R40" s="3" t="s">
        <v>6</v>
      </c>
      <c r="S40" s="3" t="s">
        <v>7</v>
      </c>
      <c r="T40" s="3" t="s">
        <v>8</v>
      </c>
      <c r="U40" s="3" t="s">
        <v>9</v>
      </c>
      <c r="V40" s="3" t="s">
        <v>10</v>
      </c>
      <c r="W40" s="3" t="s">
        <v>11</v>
      </c>
      <c r="X40" s="3" t="s">
        <v>12</v>
      </c>
      <c r="Y40" s="3" t="s">
        <v>13</v>
      </c>
      <c r="Z40" s="3" t="s">
        <v>14</v>
      </c>
      <c r="AA40" s="3" t="s">
        <v>15</v>
      </c>
      <c r="AD40" s="35"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39"/>
      <c r="BF40" s="39"/>
      <c r="BG40" s="39"/>
      <c r="BH40" s="39"/>
      <c r="BI40" s="39"/>
      <c r="BJ40" s="39"/>
    </row>
    <row r="41" customFormat="false" ht="15" hidden="false" customHeight="true" outlineLevel="0" collapsed="false">
      <c r="A41" s="17" t="n">
        <v>39813</v>
      </c>
      <c r="B41" s="20" t="n">
        <v>13066.33</v>
      </c>
      <c r="C41" s="25" t="n">
        <f aca="false">(B41/B40-1)/(A41-A40)*30</f>
        <v>0.00668628022256474</v>
      </c>
      <c r="D41" s="19"/>
      <c r="E41" s="19"/>
      <c r="F41" s="19"/>
      <c r="O41" s="3" t="n">
        <v>2016</v>
      </c>
      <c r="P41" s="20"/>
      <c r="Q41" s="20"/>
      <c r="R41" s="20"/>
      <c r="S41" s="20"/>
      <c r="T41" s="20"/>
      <c r="U41" s="34"/>
      <c r="V41" s="34"/>
      <c r="W41" s="34"/>
      <c r="X41" s="34"/>
      <c r="Y41" s="34"/>
      <c r="Z41" s="34"/>
      <c r="AA41" s="34"/>
      <c r="AD41" s="14" t="n">
        <v>2016</v>
      </c>
      <c r="AE41" s="15"/>
      <c r="AF41" s="15"/>
      <c r="AG41" s="15"/>
      <c r="AH41" s="15"/>
      <c r="AI41" s="15"/>
      <c r="AJ41" s="15"/>
      <c r="AK41" s="15"/>
      <c r="AL41" s="15"/>
      <c r="AM41" s="15"/>
      <c r="AN41" s="15"/>
      <c r="AO41" s="15"/>
      <c r="AP41" s="15"/>
      <c r="AQ41" s="16"/>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4"/>
      <c r="Q42" s="34"/>
      <c r="R42" s="34"/>
      <c r="S42" s="34"/>
      <c r="T42" s="34"/>
      <c r="U42" s="4"/>
      <c r="V42" s="4"/>
      <c r="W42" s="4"/>
      <c r="X42" s="4"/>
      <c r="Y42" s="4"/>
      <c r="Z42" s="4"/>
      <c r="AA42" s="4"/>
      <c r="AD42" s="21" t="n">
        <v>2017</v>
      </c>
      <c r="AE42" s="22"/>
      <c r="AF42" s="22"/>
      <c r="AG42" s="22"/>
      <c r="AH42" s="22"/>
      <c r="AI42" s="22"/>
      <c r="AJ42" s="22"/>
      <c r="AK42" s="22"/>
      <c r="AL42" s="22"/>
      <c r="AM42" s="22"/>
      <c r="AN42" s="22"/>
      <c r="AO42" s="22"/>
      <c r="AP42" s="22"/>
      <c r="AQ42" s="23"/>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4"/>
      <c r="Q43" s="34"/>
      <c r="R43" s="34"/>
      <c r="S43" s="34"/>
      <c r="T43" s="20"/>
      <c r="U43" s="20"/>
      <c r="V43" s="20"/>
      <c r="W43" s="20"/>
      <c r="X43" s="20"/>
      <c r="Y43" s="20"/>
      <c r="Z43" s="20"/>
      <c r="AA43" s="20"/>
      <c r="AD43" s="14" t="n">
        <v>2018</v>
      </c>
      <c r="AE43" s="15"/>
      <c r="AF43" s="15"/>
      <c r="AG43" s="15"/>
      <c r="AH43" s="15"/>
      <c r="AI43" s="15"/>
      <c r="AJ43" s="15"/>
      <c r="AK43" s="27"/>
      <c r="AL43" s="27"/>
      <c r="AM43" s="27"/>
      <c r="AN43" s="15"/>
      <c r="AO43" s="15"/>
      <c r="AP43" s="15"/>
      <c r="AQ43" s="16"/>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R44" s="18"/>
      <c r="S44" s="18"/>
      <c r="T44" s="18"/>
      <c r="X44" s="48"/>
      <c r="Y44" s="48"/>
      <c r="AD44" s="21" t="n">
        <v>2019</v>
      </c>
      <c r="AE44" s="22"/>
      <c r="AF44" s="22"/>
      <c r="AG44" s="22"/>
      <c r="AH44" s="22"/>
      <c r="AI44" s="22"/>
      <c r="AJ44" s="22"/>
      <c r="AK44" s="22"/>
      <c r="AL44" s="22"/>
      <c r="AM44" s="22"/>
      <c r="AN44" s="22"/>
      <c r="AO44" s="22"/>
      <c r="AP44" s="22"/>
      <c r="AQ44" s="23"/>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AD45" s="21" t="n">
        <v>2020</v>
      </c>
      <c r="AE45" s="22"/>
      <c r="AF45" s="22"/>
      <c r="AG45" s="22"/>
      <c r="AH45" s="22"/>
      <c r="AI45" s="22"/>
      <c r="AJ45" s="22"/>
      <c r="AK45" s="22"/>
      <c r="AL45" s="22"/>
      <c r="AM45" s="22"/>
      <c r="AN45" s="22"/>
      <c r="AO45" s="22"/>
      <c r="AP45" s="22"/>
      <c r="AQ45" s="23"/>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X46" s="18"/>
      <c r="Z46" s="18"/>
      <c r="AD46" s="21" t="n">
        <v>2021</v>
      </c>
      <c r="AE46" s="22"/>
      <c r="AF46" s="22"/>
      <c r="AG46" s="22"/>
      <c r="AH46" s="22"/>
      <c r="AI46" s="22"/>
      <c r="AJ46" s="22"/>
      <c r="AK46" s="22"/>
      <c r="AL46" s="22"/>
      <c r="AM46" s="22"/>
      <c r="AN46" s="22"/>
      <c r="AO46" s="22"/>
      <c r="AP46" s="22"/>
      <c r="AQ46" s="23"/>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U47" s="18"/>
      <c r="W47" s="18"/>
      <c r="X47" s="18"/>
      <c r="Y47" s="18"/>
      <c r="Z47" s="18"/>
      <c r="AD47" s="21" t="n">
        <v>2022</v>
      </c>
      <c r="AE47" s="22"/>
      <c r="AF47" s="22"/>
      <c r="AG47" s="22"/>
      <c r="AH47" s="22"/>
      <c r="AI47" s="22"/>
      <c r="AJ47" s="22"/>
      <c r="AK47" s="22"/>
      <c r="AL47" s="22"/>
      <c r="AM47" s="22"/>
      <c r="AN47" s="22"/>
      <c r="AO47" s="22"/>
      <c r="AP47" s="22"/>
      <c r="AQ47" s="23"/>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T48" s="18"/>
      <c r="W48" s="18"/>
      <c r="X48" s="18"/>
      <c r="Z48" s="18"/>
      <c r="AD48" s="21" t="n">
        <v>2023</v>
      </c>
      <c r="AE48" s="22"/>
      <c r="AF48" s="22"/>
      <c r="AG48" s="22"/>
      <c r="AH48" s="22"/>
      <c r="AI48" s="22"/>
      <c r="AJ48" s="22"/>
      <c r="AK48" s="22"/>
      <c r="AL48" s="22"/>
      <c r="AM48" s="22"/>
      <c r="AN48" s="22"/>
      <c r="AO48" s="22"/>
      <c r="AP48" s="22"/>
      <c r="AQ48" s="23"/>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18"/>
      <c r="AA49" s="3" t="n">
        <v>6069.3455</v>
      </c>
      <c r="AD49" s="21" t="n">
        <v>2024</v>
      </c>
      <c r="AE49" s="22"/>
      <c r="AF49" s="22"/>
      <c r="AG49" s="22"/>
      <c r="AH49" s="22"/>
      <c r="AI49" s="22"/>
      <c r="AJ49" s="22"/>
      <c r="AK49" s="22"/>
      <c r="AL49" s="22"/>
      <c r="AM49" s="22"/>
      <c r="AN49" s="22"/>
      <c r="AO49" s="22"/>
      <c r="AP49" s="22"/>
      <c r="AQ49" s="23"/>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18" t="n">
        <f aca="false">+K240</f>
        <v>6197.6884</v>
      </c>
      <c r="W50" s="18" t="n">
        <f aca="false">+K241</f>
        <v>6215.6746</v>
      </c>
      <c r="X50" s="18"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0.00304901446855221</v>
      </c>
      <c r="AL50" s="22" t="n">
        <f aca="false">+(W50/V50-1)</f>
        <v>0.0029020820085115</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40</v>
      </c>
      <c r="AD54" s="51" t="s">
        <v>41</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3"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3"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3"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3"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3"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3"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3" t="s">
        <v>3</v>
      </c>
      <c r="AE77" s="60"/>
      <c r="AF77" s="60"/>
      <c r="AG77" s="60"/>
      <c r="AH77" s="60"/>
      <c r="AI77" s="60"/>
      <c r="AJ77" s="60"/>
      <c r="AK77" s="60"/>
      <c r="AL77" s="60"/>
      <c r="AM77" s="60"/>
      <c r="AN77" s="60"/>
      <c r="AO77" s="60" t="n">
        <f aca="false">+AO19</f>
        <v>0</v>
      </c>
      <c r="AP77" s="60" t="n">
        <f aca="false">+AP19</f>
        <v>0</v>
      </c>
      <c r="AQ77" s="60" t="n">
        <f aca="false">+AQ19</f>
        <v>0</v>
      </c>
    </row>
    <row r="78" s="4" customFormat="true" ht="15" hidden="false" customHeight="false" outlineLevel="0" collapsed="false">
      <c r="A78" s="17" t="n">
        <v>40939</v>
      </c>
      <c r="B78" s="20" t="n">
        <v>14236.38</v>
      </c>
      <c r="C78" s="25" t="n">
        <f aca="false">(B78/B77-1)/(A78-A77)*30</f>
        <v>0.00421697490162375</v>
      </c>
      <c r="D78" s="19"/>
      <c r="E78" s="19"/>
      <c r="F78" s="19"/>
      <c r="I78" s="5"/>
      <c r="AC78" s="61"/>
      <c r="AD78" s="53" t="s">
        <v>26</v>
      </c>
      <c r="AE78" s="60"/>
      <c r="AF78" s="60"/>
      <c r="AG78" s="60"/>
      <c r="AH78" s="60"/>
      <c r="AI78" s="60"/>
      <c r="AJ78" s="60"/>
      <c r="AK78" s="60"/>
      <c r="AL78" s="60"/>
      <c r="AM78" s="60"/>
      <c r="AN78" s="60"/>
      <c r="AO78" s="60" t="n">
        <f aca="false">+AO48</f>
        <v>0</v>
      </c>
      <c r="AP78" s="60" t="n">
        <f aca="false">+AP48</f>
        <v>0</v>
      </c>
      <c r="AQ78" s="60" t="n">
        <f aca="false">+AQ48</f>
        <v>0</v>
      </c>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c r="AI79" s="60"/>
      <c r="AJ79" s="60"/>
      <c r="AK79" s="60"/>
      <c r="AL79" s="60"/>
      <c r="AM79" s="60"/>
      <c r="AN79" s="60"/>
      <c r="AO79" s="60" t="n">
        <f aca="false">+AO35</f>
        <v>0</v>
      </c>
      <c r="AP79" s="60" t="n">
        <f aca="false">+AP35</f>
        <v>0</v>
      </c>
      <c r="AQ79" s="60" t="n">
        <f aca="false">+AQ35</f>
        <v>0</v>
      </c>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3" t="s">
        <v>3</v>
      </c>
      <c r="AE80" s="60" t="n">
        <f aca="false">+AE20</f>
        <v>0</v>
      </c>
      <c r="AF80" s="60" t="n">
        <f aca="false">+AF20</f>
        <v>0</v>
      </c>
      <c r="AG80" s="60" t="n">
        <f aca="false">+AG20</f>
        <v>0</v>
      </c>
      <c r="AH80" s="60" t="n">
        <f aca="false">+AH20</f>
        <v>0</v>
      </c>
      <c r="AI80" s="60" t="n">
        <f aca="false">+AI20</f>
        <v>0</v>
      </c>
      <c r="AJ80" s="60" t="n">
        <f aca="false">+AJ20</f>
        <v>0</v>
      </c>
      <c r="AK80" s="60" t="n">
        <f aca="false">+AK20</f>
        <v>0</v>
      </c>
      <c r="AL80" s="60" t="n">
        <f aca="false">+AL20</f>
        <v>0</v>
      </c>
      <c r="AM80" s="60" t="n">
        <f aca="false">+AM20</f>
        <v>0</v>
      </c>
      <c r="AN80" s="60" t="n">
        <f aca="false">+AN20</f>
        <v>0</v>
      </c>
      <c r="AO80" s="60" t="n">
        <f aca="false">+AO20</f>
        <v>0</v>
      </c>
      <c r="AP80" s="60" t="n">
        <f aca="false">+AP20</f>
        <v>0</v>
      </c>
      <c r="AQ80" s="60" t="n">
        <f aca="false">+AQ20</f>
        <v>0</v>
      </c>
    </row>
    <row r="81" s="4" customFormat="true" ht="15" hidden="false" customHeight="false" outlineLevel="0" collapsed="false">
      <c r="A81" s="17" t="n">
        <v>41029</v>
      </c>
      <c r="B81" s="20" t="n">
        <v>14415.21</v>
      </c>
      <c r="C81" s="25" t="n">
        <f aca="false">(B81/B80-1)/(A81-A80)*30</f>
        <v>0.00417144675374423</v>
      </c>
      <c r="D81" s="19"/>
      <c r="E81" s="19"/>
      <c r="F81" s="19"/>
      <c r="I81" s="5"/>
      <c r="AC81" s="61"/>
      <c r="AD81" s="53" t="s">
        <v>26</v>
      </c>
      <c r="AE81" s="60" t="n">
        <f aca="false">+AE49</f>
        <v>0</v>
      </c>
      <c r="AF81" s="60" t="n">
        <f aca="false">+AF49</f>
        <v>0</v>
      </c>
      <c r="AG81" s="60" t="n">
        <f aca="false">+AG49</f>
        <v>0</v>
      </c>
      <c r="AH81" s="60" t="n">
        <f aca="false">+AH49</f>
        <v>0</v>
      </c>
      <c r="AI81" s="60" t="n">
        <f aca="false">+AI49</f>
        <v>0</v>
      </c>
      <c r="AJ81" s="60" t="n">
        <f aca="false">+AJ49</f>
        <v>0</v>
      </c>
      <c r="AK81" s="60" t="n">
        <f aca="false">+AK49</f>
        <v>0</v>
      </c>
      <c r="AL81" s="60" t="n">
        <f aca="false">+AL49</f>
        <v>0</v>
      </c>
      <c r="AM81" s="60" t="n">
        <f aca="false">+AM49</f>
        <v>0</v>
      </c>
      <c r="AN81" s="60" t="n">
        <f aca="false">+AN49</f>
        <v>0</v>
      </c>
      <c r="AO81" s="60" t="n">
        <f aca="false">+AO49</f>
        <v>0</v>
      </c>
      <c r="AP81" s="60" t="n">
        <f aca="false">+AP49</f>
        <v>0</v>
      </c>
      <c r="AQ81" s="60" t="n">
        <f aca="false">+AQ49</f>
        <v>0</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t="n">
        <f aca="false">+AE36</f>
        <v>0</v>
      </c>
      <c r="AF82" s="60" t="n">
        <f aca="false">+AF36</f>
        <v>0</v>
      </c>
      <c r="AG82" s="60" t="n">
        <f aca="false">+AG36</f>
        <v>0</v>
      </c>
      <c r="AH82" s="60" t="n">
        <f aca="false">+AH36</f>
        <v>0</v>
      </c>
      <c r="AI82" s="60" t="n">
        <f aca="false">+AI36</f>
        <v>0</v>
      </c>
      <c r="AJ82" s="60" t="n">
        <f aca="false">+AJ36</f>
        <v>0</v>
      </c>
      <c r="AK82" s="60" t="n">
        <f aca="false">+AK36</f>
        <v>0</v>
      </c>
      <c r="AL82" s="60" t="n">
        <f aca="false">+AL36</f>
        <v>0</v>
      </c>
      <c r="AM82" s="60" t="n">
        <f aca="false">+AM36</f>
        <v>0</v>
      </c>
      <c r="AN82" s="60" t="n">
        <f aca="false">+AN36</f>
        <v>0</v>
      </c>
      <c r="AO82" s="60" t="n">
        <f aca="false">+AO36</f>
        <v>0</v>
      </c>
      <c r="AP82" s="60" t="n">
        <f aca="false">+AP36</f>
        <v>0</v>
      </c>
      <c r="AQ82" s="60" t="n">
        <f aca="false">+AQ36</f>
        <v>0</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3"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3"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0.00304901446855221</v>
      </c>
      <c r="AL84" s="60" t="n">
        <f aca="false">+AL50</f>
        <v>0.0029020820085115</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v>
      </c>
      <c r="AF85" s="60" t="n">
        <f aca="false">+AF37</f>
        <v>0</v>
      </c>
      <c r="AG85" s="60" t="n">
        <f aca="false">+AG37</f>
        <v>0</v>
      </c>
      <c r="AH85" s="60" t="n">
        <f aca="false">+AH37</f>
        <v>0.00100100100100109</v>
      </c>
      <c r="AI85" s="60" t="n">
        <f aca="false">+AI37</f>
        <v>0.000855400000000062</v>
      </c>
      <c r="AJ85" s="60" t="n">
        <f aca="false">+AJ37</f>
        <v>0.00736549955168342</v>
      </c>
      <c r="AK85" s="60" t="n">
        <f aca="false">+AK37</f>
        <v>0.00620118163842442</v>
      </c>
      <c r="AL85" s="60" t="n">
        <f aca="false">+AL37</f>
        <v>0.00612294345257269</v>
      </c>
      <c r="AM85" s="60" t="n">
        <f aca="false">+AM37</f>
        <v>0.00576805321101115</v>
      </c>
      <c r="AN85" s="60" t="n">
        <f aca="false">+AN37</f>
        <v>0.00650344873806019</v>
      </c>
      <c r="AO85" s="60" t="n">
        <f aca="false">+AO37</f>
        <v>0.00581211970291551</v>
      </c>
      <c r="AP85" s="60" t="n">
        <f aca="false">+AP37</f>
        <v>0.0062866841515421</v>
      </c>
      <c r="AQ85" s="60" t="n">
        <f aca="false">+AQ37</f>
        <v>0.0468404404404403</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3"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3"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0.00589408847022965</v>
      </c>
      <c r="AF88" s="60" t="n">
        <f aca="false">+AF38</f>
        <v>0.00551048825542022</v>
      </c>
      <c r="AG88" s="60" t="n">
        <f aca="false">+AG38</f>
        <v>0.00615199520796139</v>
      </c>
      <c r="AH88" s="60" t="n">
        <f aca="false">+AH38</f>
        <v>0.00594355692777437</v>
      </c>
      <c r="AI88" s="60"/>
      <c r="AJ88" s="60"/>
      <c r="AK88" s="60"/>
      <c r="AL88" s="60"/>
      <c r="AM88" s="60"/>
      <c r="AN88" s="60"/>
      <c r="AO88" s="60"/>
      <c r="AP88" s="60"/>
      <c r="AQ88" s="60" t="n">
        <f aca="false">+AQ38</f>
        <v>0.0531283770372495</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C97" s="3"/>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C98" s="3"/>
      <c r="AD98" s="17" t="n">
        <v>43008</v>
      </c>
      <c r="AE98" s="62" t="n">
        <v>0.00311210000000006</v>
      </c>
      <c r="AF98" s="3"/>
      <c r="AG98" s="3"/>
      <c r="AH98" s="3"/>
      <c r="AI98" s="3"/>
      <c r="AJ98" s="3"/>
      <c r="AK98" s="3"/>
      <c r="AL98" s="3"/>
      <c r="AM98" s="3"/>
      <c r="AN98" s="3"/>
      <c r="AO98" s="3"/>
      <c r="AP98" s="3"/>
      <c r="AQ98" s="3"/>
    </row>
    <row r="99" s="4" customFormat="true" ht="15" hidden="false" customHeight="false" outlineLevel="0" collapsed="false">
      <c r="A99" s="17" t="n">
        <v>41578</v>
      </c>
      <c r="B99" s="20" t="n">
        <v>15554.36</v>
      </c>
      <c r="C99" s="25" t="n">
        <f aca="false">(B99/B98-1)/(A99-A98)*30</f>
        <v>0.00395880485699199</v>
      </c>
      <c r="D99" s="19"/>
      <c r="E99" s="19"/>
      <c r="F99" s="19"/>
      <c r="I99" s="5"/>
      <c r="AD99" s="17" t="n">
        <v>43039</v>
      </c>
      <c r="AE99" s="62" t="n">
        <v>0.00266354947734888</v>
      </c>
      <c r="AF99" s="3"/>
      <c r="AG99" s="3"/>
      <c r="AH99" s="3"/>
      <c r="AI99" s="3"/>
      <c r="AJ99" s="3"/>
      <c r="AK99" s="3"/>
      <c r="AL99" s="3"/>
      <c r="AM99" s="3"/>
      <c r="AN99" s="3"/>
      <c r="AO99" s="3"/>
      <c r="AP99" s="3"/>
      <c r="AQ99" s="3"/>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43069</v>
      </c>
      <c r="AE100" s="62" t="n">
        <v>0.00270401929468234</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43100</v>
      </c>
      <c r="AE101" s="62" t="n">
        <v>0.00300965446914445</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43131</v>
      </c>
      <c r="AE102" s="62" t="n">
        <v>0.00473727239934226</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43159</v>
      </c>
      <c r="AE103" s="62" t="n">
        <v>0.00378152301954046</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43190</v>
      </c>
      <c r="AE104" s="62" t="n">
        <v>0.00300527511908573</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43220</v>
      </c>
      <c r="AE105" s="62" t="n">
        <v>0.00316130254575997</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43251</v>
      </c>
      <c r="AE106" s="62" t="n">
        <v>0.00310067866389014</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43281</v>
      </c>
      <c r="AE107" s="62" t="n">
        <v>0.00287709140845549</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43312</v>
      </c>
      <c r="AE108" s="62" t="n">
        <v>0.00279025405786912</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43343</v>
      </c>
      <c r="AE109" s="62" t="n">
        <v>0.00269722002207049</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43373</v>
      </c>
      <c r="AE110" s="62" t="n">
        <v>0.00294678677406712</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43404</v>
      </c>
      <c r="AE111" s="62" t="n">
        <v>0.00273411579812808</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43434</v>
      </c>
      <c r="AE112" s="62" t="n">
        <v>0.00284409288655185</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43465</v>
      </c>
      <c r="AE113" s="62" t="n">
        <v>0.00262659891580654</v>
      </c>
    </row>
    <row r="114" s="4" customFormat="true" ht="15" hidden="false" customHeight="false" outlineLevel="0" collapsed="false">
      <c r="A114" s="17" t="n">
        <v>42034</v>
      </c>
      <c r="B114" s="20" t="n">
        <v>16325.65</v>
      </c>
      <c r="C114" s="25" t="n">
        <f aca="false">(B114/B113-1)/(A114-A113)*30</f>
        <v>0.00258912554986668</v>
      </c>
      <c r="D114" s="19"/>
      <c r="E114" s="19"/>
      <c r="F114" s="19"/>
      <c r="I114" s="5"/>
      <c r="AD114" s="17" t="n">
        <v>43496</v>
      </c>
      <c r="AE114" s="62" t="n">
        <v>0.00281430328228941</v>
      </c>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17" t="n">
        <v>43524</v>
      </c>
      <c r="AE115" s="62" t="n">
        <v>0.00282360638687196</v>
      </c>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17" t="n">
        <v>43555</v>
      </c>
      <c r="AE116" s="62" t="n">
        <v>0.00286536279403882</v>
      </c>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17" t="n">
        <v>43585</v>
      </c>
      <c r="AE117" s="62" t="n">
        <v>0.00293240905161363</v>
      </c>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c r="AC146" s="4"/>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42</v>
      </c>
      <c r="AD147" s="4"/>
      <c r="AE147" s="4"/>
      <c r="AF147" s="4"/>
      <c r="AG147" s="4"/>
      <c r="AH147" s="4"/>
      <c r="AI147" s="4"/>
      <c r="AJ147" s="4"/>
      <c r="AK147" s="4"/>
      <c r="AL147" s="4"/>
      <c r="AM147" s="4"/>
      <c r="AN147" s="4"/>
      <c r="AO147" s="4"/>
      <c r="AP147" s="4"/>
      <c r="AQ147" s="4"/>
    </row>
    <row r="148" customFormat="false" ht="15" hidden="false" customHeight="false" outlineLevel="0" collapsed="false">
      <c r="A148" s="17" t="n">
        <v>43069</v>
      </c>
      <c r="B148" s="3" t="n">
        <f aca="false">+VLOOKUP(A148,[1]Simple!$A$3790:$B$3818,2)</f>
        <v>17856.32</v>
      </c>
      <c r="C148" s="25" t="n">
        <f aca="false">(B148/B147-1)/(A148-A147)*30</f>
        <v>0.00208595808442036</v>
      </c>
      <c r="D148" s="19"/>
      <c r="F148" s="17" t="n">
        <v>43069</v>
      </c>
      <c r="I148" s="25"/>
      <c r="J148" s="18"/>
      <c r="K148" s="4" t="n">
        <v>1063.8688</v>
      </c>
      <c r="L148" s="25" t="n">
        <f aca="false">+(K148/K147-1)/(F148-F147)*30</f>
        <v>0.00195678792184273</v>
      </c>
      <c r="M148" s="19"/>
    </row>
    <row r="149" customFormat="false" ht="15" hidden="false" customHeight="false" outlineLevel="0" collapsed="false">
      <c r="A149" s="17" t="n">
        <v>43100</v>
      </c>
      <c r="B149" s="3" t="n">
        <f aca="false">+VLOOKUP(A149,[1]Simple!$A$3790:$B$3818,2)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0</v>
      </c>
      <c r="S149" s="3" t="s">
        <v>43</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44</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44</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45</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0</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46</v>
      </c>
      <c r="AR157" s="65"/>
    </row>
    <row r="158" customFormat="false" ht="15" hidden="false" customHeight="false" outlineLevel="0" collapsed="false">
      <c r="A158" s="17" t="n">
        <v>43373</v>
      </c>
      <c r="B158" s="34" t="n">
        <v>18235.9</v>
      </c>
      <c r="C158" s="25" t="n">
        <f aca="false">(B158/B157-1)/(A158-A157)*30</f>
        <v>0.00204850697470471</v>
      </c>
      <c r="D158" s="19"/>
      <c r="F158" s="17" t="n">
        <v>43373</v>
      </c>
      <c r="I158" s="25"/>
      <c r="J158" s="18"/>
      <c r="K158" s="3" t="n">
        <v>1086.6424</v>
      </c>
      <c r="L158" s="25" t="n">
        <f aca="false">+(K158/K157-1)/(F158-F157)*30</f>
        <v>0.00220909032552719</v>
      </c>
      <c r="M158" s="19"/>
      <c r="S158" s="3" t="n">
        <v>0</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c r="AD180" s="65"/>
      <c r="AE180" s="65"/>
      <c r="AF180" s="65"/>
      <c r="AG180" s="65"/>
      <c r="AH180" s="65"/>
      <c r="AI180" s="65"/>
      <c r="AJ180" s="65"/>
      <c r="AK180" s="65"/>
      <c r="AL180" s="65"/>
      <c r="AM180" s="65"/>
      <c r="AN180" s="65"/>
      <c r="AO180" s="65"/>
      <c r="AP180" s="65"/>
      <c r="AQ180" s="65"/>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B186" s="3" t="n">
        <v>18982.04</v>
      </c>
      <c r="C186" s="25" t="n">
        <f aca="false">(B186/B185-1)/(A186-A185)*30</f>
        <v>0.000163145891210714</v>
      </c>
      <c r="D186" s="19" t="n">
        <v>100</v>
      </c>
      <c r="F186" s="17" t="n">
        <v>44246</v>
      </c>
      <c r="I186" s="25"/>
      <c r="J186" s="18"/>
      <c r="K186" s="3" t="n">
        <v>4907.6377</v>
      </c>
      <c r="L186" s="25" t="n">
        <f aca="false">+(K186/K185-1)/(F186-F185)*30</f>
        <v>2.99425796932873E-005</v>
      </c>
      <c r="M186" s="19"/>
    </row>
    <row r="187" customFormat="false" ht="15" hidden="false" customHeight="false" outlineLevel="0" collapsed="false">
      <c r="A187" s="17" t="n">
        <v>44255</v>
      </c>
      <c r="B187" s="3" t="n">
        <v>18986.58</v>
      </c>
      <c r="C187" s="25" t="n">
        <f aca="false">(B187/B186-1)/(A187-A186)*11</f>
        <v>0.000292323105888029</v>
      </c>
      <c r="D187" s="19" t="n">
        <f aca="false">+D186*(1+C187)</f>
        <v>100.029232310589</v>
      </c>
      <c r="F187" s="17" t="n">
        <v>44255</v>
      </c>
      <c r="I187" s="25"/>
      <c r="J187" s="18"/>
      <c r="K187" s="3" t="n">
        <v>4907.9052</v>
      </c>
      <c r="L187" s="25" t="n">
        <f aca="false">+(K187/K186-1)/(F187-F186)*11</f>
        <v>6.66195152189254E-005</v>
      </c>
      <c r="M187" s="19" t="n">
        <v>100</v>
      </c>
      <c r="Q187" s="17"/>
    </row>
    <row r="188" customFormat="false" ht="15" hidden="false" customHeight="false" outlineLevel="0" collapsed="false">
      <c r="A188" s="17" t="n">
        <v>44286</v>
      </c>
      <c r="B188" s="19" t="n">
        <v>18991.5</v>
      </c>
      <c r="C188" s="25" t="n">
        <f aca="false">(B188/B187-1)/(A188-A187)*30</f>
        <v>0.000250771351269013</v>
      </c>
      <c r="D188" s="19" t="n">
        <f aca="false">+D187*(1+C188)</f>
        <v>100.054316776342</v>
      </c>
      <c r="F188" s="17" t="n">
        <v>44286</v>
      </c>
      <c r="I188" s="25"/>
      <c r="J188" s="18"/>
      <c r="K188" s="3" t="n">
        <v>4908.1704</v>
      </c>
      <c r="L188" s="25" t="n">
        <f aca="false">+(K188/K187-1)/(F188-F187)*30</f>
        <v>5.22922002018035E-005</v>
      </c>
      <c r="M188" s="19" t="n">
        <f aca="false">+M187*(1+L188)</f>
        <v>100.00522922002</v>
      </c>
      <c r="Q188" s="17"/>
      <c r="R188" s="66"/>
    </row>
    <row r="189" customFormat="false" ht="15" hidden="false" customHeight="false" outlineLevel="0" collapsed="false">
      <c r="A189" s="17" t="n">
        <v>44316</v>
      </c>
      <c r="B189" s="3" t="n">
        <v>18997.09</v>
      </c>
      <c r="C189" s="25" t="n">
        <f aca="false">(B189/B188-1)/(A189-A188)*30</f>
        <v>0.000294342205723552</v>
      </c>
      <c r="D189" s="19" t="n">
        <f aca="false">+D188*(1+C189)</f>
        <v>100.083766984634</v>
      </c>
      <c r="F189" s="17" t="n">
        <v>44316</v>
      </c>
      <c r="I189" s="25"/>
      <c r="J189" s="18"/>
      <c r="K189" s="3" t="n">
        <v>4908.4956</v>
      </c>
      <c r="L189" s="25" t="n">
        <f aca="false">+(K189/K188-1)/(F189-F188)*30</f>
        <v>6.6256868343384E-005</v>
      </c>
      <c r="M189" s="19" t="n">
        <f aca="false">+M188*(1+L189)</f>
        <v>100.011855253326</v>
      </c>
      <c r="Q189" s="67"/>
    </row>
    <row r="190" customFormat="false" ht="15" hidden="false" customHeight="false" outlineLevel="0" collapsed="false">
      <c r="A190" s="17" t="n">
        <v>44347</v>
      </c>
      <c r="B190" s="3" t="n">
        <v>19001.7</v>
      </c>
      <c r="C190" s="25" t="n">
        <f aca="false">(B190/B189-1)/(A190-A189)*30</f>
        <v>0.000234840721530632</v>
      </c>
      <c r="D190" s="19" t="n">
        <f aca="false">+D189*(1+C190)</f>
        <v>100.107270728686</v>
      </c>
      <c r="F190" s="17" t="n">
        <v>44347</v>
      </c>
      <c r="I190" s="25"/>
      <c r="J190" s="18"/>
      <c r="K190" s="3" t="n">
        <v>4908.7905</v>
      </c>
      <c r="L190" s="25" t="n">
        <f aca="false">+(K190/K189-1)/(F190-F189)*30</f>
        <v>5.81414592230296E-005</v>
      </c>
      <c r="M190" s="19" t="n">
        <v>100</v>
      </c>
      <c r="Q190" s="67"/>
    </row>
    <row r="191" customFormat="false" ht="15" hidden="false" customHeight="false" outlineLevel="0" collapsed="false">
      <c r="A191" s="17" t="n">
        <v>44377</v>
      </c>
      <c r="B191" s="3" t="n">
        <v>19006.88</v>
      </c>
      <c r="C191" s="25" t="n">
        <f aca="false">(B191/B190-1)/(A191-A190)*30</f>
        <v>0.000272607187777885</v>
      </c>
      <c r="D191" s="19" t="n">
        <f aca="false">+D190*(1+C191)</f>
        <v>100.134560690235</v>
      </c>
      <c r="F191" s="17" t="n">
        <v>44377</v>
      </c>
      <c r="I191" s="25"/>
      <c r="J191" s="18"/>
      <c r="K191" s="3" t="n">
        <v>4909.0847</v>
      </c>
      <c r="L191" s="25" t="n">
        <f aca="false">+(K191/K190-1)/(F191-F190)*30</f>
        <v>5.99332972144318E-005</v>
      </c>
      <c r="M191" s="19" t="n">
        <f aca="false">+M190*(1+L191)</f>
        <v>100.005993329721</v>
      </c>
    </row>
    <row r="192" customFormat="false" ht="15" hidden="false" customHeight="false" outlineLevel="0" collapsed="false">
      <c r="A192" s="17" t="n">
        <v>44408</v>
      </c>
      <c r="B192" s="3" t="n">
        <v>19016.42</v>
      </c>
      <c r="C192" s="25" t="n">
        <f aca="false">(B192/B191-1)/(A192-A191)*30</f>
        <v>0.000485732432914423</v>
      </c>
      <c r="D192" s="19" t="n">
        <f aca="false">+D191*(1+C192)</f>
        <v>100.183199294018</v>
      </c>
      <c r="F192" s="17" t="n">
        <v>44408</v>
      </c>
      <c r="I192" s="25"/>
      <c r="J192" s="18"/>
      <c r="K192" s="3" t="n">
        <v>4909.3885</v>
      </c>
      <c r="L192" s="25" t="n">
        <f aca="false">+(K192/K191-1)/(F192-F191)*30</f>
        <v>5.98889646373815E-005</v>
      </c>
      <c r="M192" s="19" t="n">
        <f aca="false">+M191*(1+L192)</f>
        <v>100.01198258512</v>
      </c>
    </row>
    <row r="193" customFormat="false" ht="15" hidden="false" customHeight="false" outlineLevel="0" collapsed="false">
      <c r="A193" s="17" t="n">
        <v>44439</v>
      </c>
      <c r="B193" s="3" t="n">
        <v>19028.38</v>
      </c>
      <c r="C193" s="25" t="n">
        <f aca="false">(B193/B192-1)/(A193-A192)*30</f>
        <v>0.0006086420865963</v>
      </c>
      <c r="D193" s="19" t="n">
        <f aca="false">+D192*(1+C193)</f>
        <v>100.244175005479</v>
      </c>
      <c r="F193" s="17" t="n">
        <v>44439</v>
      </c>
      <c r="I193" s="25"/>
      <c r="J193" s="18"/>
      <c r="K193" s="3" t="n">
        <v>4909.6931</v>
      </c>
      <c r="L193" s="25" t="n">
        <f aca="false">+(K193/K192-1)/(F193-F192)*30</f>
        <v>6.00429551559976E-005</v>
      </c>
      <c r="M193" s="19" t="n">
        <f aca="false">+M192*(1+L193)</f>
        <v>100.017987600105</v>
      </c>
    </row>
    <row r="194" customFormat="false" ht="15" hidden="false" customHeight="false" outlineLevel="0" collapsed="false">
      <c r="A194" s="17" t="n">
        <v>44469</v>
      </c>
      <c r="B194" s="3" t="n">
        <v>19052.12</v>
      </c>
      <c r="C194" s="25" t="n">
        <f aca="false">(B194/B193-1)/(A194-A193)*30</f>
        <v>0.00124761014863051</v>
      </c>
      <c r="D194" s="19" t="n">
        <f aca="false">+D193*(1+C194)</f>
        <v>100.369240655557</v>
      </c>
      <c r="F194" s="17" t="n">
        <v>44469</v>
      </c>
      <c r="I194" s="25"/>
      <c r="J194" s="18"/>
      <c r="K194" s="18" t="n">
        <v>4909.1149</v>
      </c>
      <c r="L194" s="25" t="n">
        <f aca="false">+(K194/K193-1)/(F194-F193)*30</f>
        <v>-0.000117767035173966</v>
      </c>
      <c r="M194" s="19" t="n">
        <f aca="false">+M193*(1+L194)</f>
        <v>100.006208778241</v>
      </c>
    </row>
    <row r="195" customFormat="false" ht="15" hidden="false" customHeight="false" outlineLevel="0" collapsed="false">
      <c r="A195" s="17" t="n">
        <v>44500</v>
      </c>
      <c r="B195" s="3" t="n">
        <v>19091.59</v>
      </c>
      <c r="C195" s="25" t="n">
        <f aca="false">(B195/B194-1)/(A195-A194)*30</f>
        <v>0.00200485689747645</v>
      </c>
      <c r="D195" s="19" t="n">
        <f aca="false">+D194*(1+C195)</f>
        <v>100.570466619979</v>
      </c>
      <c r="F195" s="17" t="n">
        <v>44500</v>
      </c>
      <c r="I195" s="25"/>
      <c r="J195" s="18"/>
      <c r="K195" s="3" t="n">
        <v>4914.1336</v>
      </c>
      <c r="L195" s="25" t="n">
        <f aca="false">+(K195/K194-1)/(F195-F194)*30</f>
        <v>0.00098934462740187</v>
      </c>
      <c r="M195" s="19" t="n">
        <f aca="false">+M194*(1+L195)</f>
        <v>100.105149383603</v>
      </c>
    </row>
    <row r="196" customFormat="false" ht="15" hidden="false" customHeight="false" outlineLevel="0" collapsed="false">
      <c r="A196" s="17" t="n">
        <v>44530</v>
      </c>
      <c r="B196" s="3" t="n">
        <v>19132.47</v>
      </c>
      <c r="C196" s="25" t="n">
        <f aca="false">(B196/B195-1)/(A196-A195)*30</f>
        <v>0.00214125696183509</v>
      </c>
      <c r="D196" s="19" t="n">
        <f aca="false">+D195*(1+C196)</f>
        <v>100.785813831784</v>
      </c>
      <c r="F196" s="17" t="n">
        <v>44530</v>
      </c>
      <c r="I196" s="25"/>
      <c r="J196" s="18"/>
      <c r="K196" s="18" t="n">
        <v>4920.3216</v>
      </c>
      <c r="L196" s="25" t="n">
        <f aca="false">+(K196/K195-1)/(F196-F195)*30</f>
        <v>0.00125922502391873</v>
      </c>
      <c r="M196" s="19" t="n">
        <f aca="false">+M195*(1+L196)</f>
        <v>100.23120429273</v>
      </c>
    </row>
    <row r="197" customFormat="false" ht="15" hidden="false" customHeight="false" outlineLevel="0" collapsed="false">
      <c r="A197" s="17" t="n">
        <v>44561</v>
      </c>
      <c r="B197" s="3" t="n">
        <v>19193.41</v>
      </c>
      <c r="C197" s="25" t="n">
        <f aca="false">(B197/B196-1)/(A197-A196)*30</f>
        <v>0.00308241400866619</v>
      </c>
      <c r="D197" s="19" t="n">
        <f aca="false">+D196*(1+C197)</f>
        <v>101.096477436214</v>
      </c>
      <c r="F197" s="17" t="n">
        <v>44561</v>
      </c>
      <c r="I197" s="25"/>
      <c r="J197" s="18"/>
      <c r="K197" s="3" t="n">
        <v>4929.2918</v>
      </c>
      <c r="L197" s="25" t="n">
        <f aca="false">+(K197/K196-1)/(F197-F196)*30</f>
        <v>0.00176428278787249</v>
      </c>
      <c r="M197" s="19" t="n">
        <f aca="false">+M196*(1+L197)</f>
        <v>100.408040481271</v>
      </c>
    </row>
    <row r="198" customFormat="false" ht="15" hidden="false" customHeight="false" outlineLevel="0" collapsed="false">
      <c r="A198" s="17" t="n">
        <v>44592</v>
      </c>
      <c r="B198" s="3" t="n">
        <v>19259.35</v>
      </c>
      <c r="C198" s="25" t="n">
        <f aca="false">(B198/B197-1)/(A198-A197)*30</f>
        <v>0.00332472985393446</v>
      </c>
      <c r="D198" s="19" t="n">
        <f aca="false">+D197*(1+C198)</f>
        <v>101.432595912874</v>
      </c>
      <c r="F198" s="17" t="n">
        <v>44592</v>
      </c>
      <c r="I198" s="25"/>
      <c r="J198" s="18"/>
      <c r="K198" s="3" t="n">
        <v>4941.9683</v>
      </c>
      <c r="L198" s="25" t="n">
        <f aca="false">+(K198/K197-1)/(F198-F197)*30</f>
        <v>0.00248871057809198</v>
      </c>
      <c r="M198" s="19" t="n">
        <f aca="false">+M197*(1+L198)</f>
        <v>100.657927033742</v>
      </c>
    </row>
    <row r="199" customFormat="false" ht="15" hidden="false" customHeight="false" outlineLevel="0" collapsed="false">
      <c r="A199" s="17" t="n">
        <v>44620</v>
      </c>
      <c r="B199" s="19" t="n">
        <v>19341.9</v>
      </c>
      <c r="C199" s="25" t="n">
        <f aca="false">(B199/B198-1)/(A199-A198)*30</f>
        <v>0.00459238907706803</v>
      </c>
      <c r="D199" s="19" t="n">
        <f aca="false">+D198*(1+C199)</f>
        <v>101.898413858403</v>
      </c>
      <c r="F199" s="17" t="n">
        <v>44620</v>
      </c>
      <c r="I199" s="25"/>
      <c r="J199" s="18"/>
      <c r="K199" s="3" t="n">
        <v>4958.2785</v>
      </c>
      <c r="L199" s="25" t="n">
        <f aca="false">+(K199/K198-1)/(F199-F198)*30</f>
        <v>0.00353608384855779</v>
      </c>
      <c r="M199" s="19" t="n">
        <f aca="false">+M198*(1+L199)</f>
        <v>101.013861903756</v>
      </c>
    </row>
    <row r="200" customFormat="false" ht="15" hidden="false" customHeight="false" outlineLevel="0" collapsed="false">
      <c r="A200" s="17" t="n">
        <v>44651</v>
      </c>
      <c r="B200" s="3" t="n">
        <v>19435.35</v>
      </c>
      <c r="C200" s="25" t="n">
        <f aca="false">(B200/B199-1)/(A200-A199)*30</f>
        <v>0.00467562565575065</v>
      </c>
      <c r="D200" s="19" t="n">
        <f aca="false">+D199*(1+C200)</f>
        <v>102.37485269652</v>
      </c>
      <c r="F200" s="17" t="n">
        <v>44651</v>
      </c>
      <c r="I200" s="25"/>
      <c r="J200" s="18"/>
      <c r="K200" s="3" t="n">
        <v>4977.0833</v>
      </c>
      <c r="L200" s="25" t="n">
        <f aca="false">+(K200/K199-1)/(F200-F199)*30</f>
        <v>0.00367026449772572</v>
      </c>
      <c r="M200" s="19" t="n">
        <f aca="false">+M199*(1+L200)</f>
        <v>101.384609494879</v>
      </c>
    </row>
    <row r="201" customFormat="false" ht="15" hidden="false" customHeight="false" outlineLevel="0" collapsed="false">
      <c r="A201" s="17" t="n">
        <v>44681</v>
      </c>
      <c r="B201" s="3" t="n">
        <v>19541.32</v>
      </c>
      <c r="C201" s="25" t="n">
        <f aca="false">(B201/B200-1)/(A201-A200)*30</f>
        <v>0.00545243589644651</v>
      </c>
      <c r="D201" s="19" t="n">
        <f aca="false">+D200*(1+C201)</f>
        <v>102.933045018256</v>
      </c>
      <c r="F201" s="17" t="n">
        <v>44681</v>
      </c>
      <c r="I201" s="25"/>
      <c r="J201" s="18"/>
      <c r="K201" s="3" t="n">
        <v>4999.8366</v>
      </c>
      <c r="L201" s="25" t="n">
        <f aca="false">+(K201/K200-1)/(F201-F200)*30</f>
        <v>0.00457161325790945</v>
      </c>
      <c r="M201" s="19" t="n">
        <f aca="false">+M200*(1+L201)</f>
        <v>101.848100719794</v>
      </c>
    </row>
    <row r="202" customFormat="false" ht="15" hidden="false" customHeight="false" outlineLevel="0" collapsed="false">
      <c r="A202" s="17" t="n">
        <v>44712</v>
      </c>
      <c r="B202" s="3" t="n">
        <v>19680.32</v>
      </c>
      <c r="C202" s="25" t="n">
        <f aca="false">(B202/B201-1)/(A202-A201)*30</f>
        <v>0.00688367669288764</v>
      </c>
      <c r="D202" s="19" t="n">
        <f aca="false">+D201*(1+C202)</f>
        <v>103.641602821176</v>
      </c>
      <c r="F202" s="17" t="n">
        <v>44735</v>
      </c>
      <c r="I202" s="25"/>
      <c r="J202" s="18"/>
      <c r="K202" s="3" t="n">
        <v>5027.3885</v>
      </c>
      <c r="L202" s="25" t="n">
        <f aca="false">+(K202/K201-1)/(F202-F201)*30</f>
        <v>0.00306142226950209</v>
      </c>
      <c r="M202" s="19" t="n">
        <f aca="false">+M201*(1+L202)</f>
        <v>102.159900763444</v>
      </c>
    </row>
    <row r="203" customFormat="false" ht="15" hidden="false" customHeight="false" outlineLevel="0" collapsed="false">
      <c r="A203" s="17" t="n">
        <v>44742</v>
      </c>
      <c r="B203" s="3" t="n">
        <v>19825.16</v>
      </c>
      <c r="C203" s="25" t="n">
        <f aca="false">(B203/B202-1)/(A203-A202)*30</f>
        <v>0.00735963642867587</v>
      </c>
      <c r="D203" s="19" t="n">
        <f aca="false">+D202*(1+C203)</f>
        <v>104.404367336825</v>
      </c>
      <c r="F203" s="17" t="n">
        <v>44742</v>
      </c>
      <c r="I203" s="25"/>
      <c r="J203" s="18"/>
      <c r="K203" s="18" t="n">
        <v>5056.9676</v>
      </c>
      <c r="L203" s="68" t="n">
        <f aca="false">+(K203/K202-1)/(F203-A202)*30</f>
        <v>0.00588359145110817</v>
      </c>
      <c r="M203" s="19" t="n">
        <f aca="false">+M202*(1+L203)</f>
        <v>102.760967882222</v>
      </c>
    </row>
    <row r="204" customFormat="false" ht="15" hidden="false" customHeight="false" outlineLevel="0" collapsed="false">
      <c r="A204" s="17" t="n">
        <v>44773</v>
      </c>
      <c r="B204" s="3" t="n">
        <v>19975.62</v>
      </c>
      <c r="C204" s="25" t="n">
        <f aca="false">(B204/B203-1)/(A204-A203)*30</f>
        <v>0.00734452844834052</v>
      </c>
      <c r="D204" s="19" t="n">
        <f aca="false">+D203*(1+C204)</f>
        <v>105.171168182861</v>
      </c>
      <c r="F204" s="17" t="n">
        <v>44773</v>
      </c>
      <c r="I204" s="25"/>
      <c r="J204" s="18"/>
      <c r="K204" s="3" t="n">
        <v>5089.8979</v>
      </c>
      <c r="L204" s="68" t="n">
        <f aca="false">+(K204/K203-1)/(F204-A203)*30</f>
        <v>0.00630180669104238</v>
      </c>
      <c r="M204" s="19" t="n">
        <f aca="false">+M203*(1+L204)</f>
        <v>103.4085476372</v>
      </c>
    </row>
    <row r="205" customFormat="false" ht="15" hidden="false" customHeight="false" outlineLevel="0" collapsed="false">
      <c r="A205" s="17" t="n">
        <v>44804</v>
      </c>
      <c r="B205" s="3" t="n">
        <v>20154.92</v>
      </c>
      <c r="C205" s="25" t="n">
        <f aca="false">(B205/B204-1)/(A205-A204)*30</f>
        <v>0.00868639516732178</v>
      </c>
      <c r="D205" s="19" t="n">
        <f aca="false">+D204*(1+C205)</f>
        <v>106.084726509906</v>
      </c>
      <c r="F205" s="17" t="n">
        <v>44804</v>
      </c>
      <c r="I205" s="25"/>
      <c r="J205" s="18"/>
      <c r="K205" s="18" t="n">
        <v>5125.6822</v>
      </c>
      <c r="L205" s="68" t="n">
        <f aca="false">+(K205/K204-1)/(F205-A204)*30</f>
        <v>0.00680366648257052</v>
      </c>
      <c r="M205" s="19" t="n">
        <f aca="false">+M204*(1+L205)</f>
        <v>104.112104906771</v>
      </c>
    </row>
    <row r="206" customFormat="false" ht="15" hidden="false" customHeight="false" outlineLevel="0" collapsed="false">
      <c r="A206" s="17" t="n">
        <v>44834</v>
      </c>
      <c r="B206" s="3" t="n">
        <v>20332.28</v>
      </c>
      <c r="C206" s="25" t="n">
        <f aca="false">(B206/B205-1)/(A206-A205)*30</f>
        <v>0.00879983646672877</v>
      </c>
      <c r="D206" s="19" t="n">
        <f aca="false">+D205*(1+C206)</f>
        <v>107.018254754811</v>
      </c>
      <c r="F206" s="17" t="n">
        <v>44834</v>
      </c>
      <c r="I206" s="25"/>
      <c r="J206" s="18"/>
      <c r="K206" s="18" t="n">
        <v>5163.2829</v>
      </c>
      <c r="L206" s="68" t="n">
        <f aca="false">+(K206/K205-1)/(F206-A205)*30</f>
        <v>0.00733574547403659</v>
      </c>
      <c r="M206" s="19" t="n">
        <f aca="false">+M205*(1+L206)</f>
        <v>104.875844809133</v>
      </c>
    </row>
    <row r="207" customFormat="false" ht="15" hidden="false" customHeight="false" outlineLevel="0" collapsed="false">
      <c r="A207" s="17" t="n">
        <v>44862</v>
      </c>
      <c r="B207" s="3" t="n">
        <v>20507.2</v>
      </c>
      <c r="C207" s="25" t="n">
        <f aca="false">(B207/B206-1)/(A207-A206)*30</f>
        <v>0.00921757351926535</v>
      </c>
      <c r="D207" s="19" t="n">
        <f aca="false">+D206*(1+C207)</f>
        <v>108.004703385917</v>
      </c>
      <c r="F207" s="17" t="n">
        <v>44862</v>
      </c>
      <c r="I207" s="25"/>
      <c r="J207" s="18"/>
      <c r="K207" s="18" t="n">
        <v>5200.6767</v>
      </c>
      <c r="L207" s="68" t="n">
        <f aca="false">+(K207/K206-1)/(F207-A206)*30</f>
        <v>0.00775955656318685</v>
      </c>
      <c r="M207" s="19" t="n">
        <f aca="false">+M206*(1+L207)</f>
        <v>105.689634859041</v>
      </c>
    </row>
    <row r="208" customFormat="false" ht="15" hidden="false" customHeight="false" outlineLevel="0" collapsed="false">
      <c r="A208" s="17" t="n">
        <v>44895</v>
      </c>
      <c r="B208" s="3" t="n">
        <v>20719.68</v>
      </c>
      <c r="C208" s="25" t="n">
        <f aca="false">(B208/B207-1)/(A208-A207)*30</f>
        <v>0.00941930816316388</v>
      </c>
      <c r="D208" s="19" t="n">
        <f aca="false">+D207*(1+C208)</f>
        <v>109.02203297018</v>
      </c>
      <c r="F208" s="17" t="n">
        <v>44895</v>
      </c>
      <c r="I208" s="25"/>
      <c r="J208" s="18"/>
      <c r="K208" s="3" t="n">
        <v>5246.14</v>
      </c>
      <c r="L208" s="68" t="n">
        <f aca="false">+(K208/K207-1)/(F208-A207)*30</f>
        <v>0.00794709517845488</v>
      </c>
      <c r="M208" s="19" t="n">
        <f aca="false">+M207*(1+L208)</f>
        <v>106.529560446642</v>
      </c>
    </row>
    <row r="209" customFormat="false" ht="15" hidden="false" customHeight="false" outlineLevel="0" collapsed="false">
      <c r="A209" s="17" t="n">
        <v>44925</v>
      </c>
      <c r="B209" s="3" t="n">
        <v>20914.79</v>
      </c>
      <c r="C209" s="25" t="n">
        <f aca="false">(B209/B208-1)/(A209-A208)*30</f>
        <v>0.00941665122241275</v>
      </c>
      <c r="D209" s="19" t="n">
        <f aca="false">+D208*(1+C209)</f>
        <v>110.048655430219</v>
      </c>
      <c r="F209" s="17" t="n">
        <v>44925</v>
      </c>
      <c r="I209" s="25"/>
      <c r="J209" s="18"/>
      <c r="K209" s="3" t="n">
        <v>5287.7323</v>
      </c>
      <c r="L209" s="68" t="n">
        <f aca="false">+(K209/K208-1)/(F209-A208)*30</f>
        <v>0.00792817195118678</v>
      </c>
      <c r="M209" s="19" t="n">
        <f aca="false">+M208*(1+L209)</f>
        <v>107.374145119748</v>
      </c>
    </row>
    <row r="210" customFormat="false" ht="15" hidden="false" customHeight="false" outlineLevel="0" collapsed="false">
      <c r="A210" s="17" t="n">
        <v>44957</v>
      </c>
      <c r="B210" s="3" t="n">
        <v>21124.92</v>
      </c>
      <c r="C210" s="25" t="n">
        <f aca="false">(B210/B209-1)/(A210-A209)*30</f>
        <v>0.0094190223760314</v>
      </c>
      <c r="D210" s="19" t="n">
        <f aca="false">+D209*(1+C210)</f>
        <v>111.085206178168</v>
      </c>
      <c r="F210" s="17" t="n">
        <v>44957</v>
      </c>
      <c r="I210" s="25"/>
      <c r="J210" s="18"/>
      <c r="K210" s="3" t="n">
        <v>5332.3677</v>
      </c>
      <c r="L210" s="68" t="n">
        <f aca="false">+(K210/K209-1)/(F210-A209)*30</f>
        <v>0.00791373033388998</v>
      </c>
      <c r="M210" s="19" t="n">
        <f aca="false">+M209*(1+L210)</f>
        <v>108.223875149057</v>
      </c>
    </row>
    <row r="211" customFormat="false" ht="15" hidden="false" customHeight="false" outlineLevel="0" collapsed="false">
      <c r="A211" s="17" t="n">
        <v>44985</v>
      </c>
      <c r="B211" s="3" t="n">
        <v>21310.51</v>
      </c>
      <c r="C211" s="25" t="n">
        <f aca="false">(B211/B210-1)/(A211-A210)*30</f>
        <v>0.00941288433619768</v>
      </c>
      <c r="D211" s="19" t="n">
        <f aca="false">+D210*(1+C211)</f>
        <v>112.130838375386</v>
      </c>
      <c r="F211" s="17" t="n">
        <v>45014</v>
      </c>
      <c r="I211" s="25"/>
      <c r="J211" s="18"/>
      <c r="K211" s="3" t="n">
        <v>5371.762</v>
      </c>
      <c r="L211" s="68" t="n">
        <f aca="false">+(K211/K210-1)/(F211-A210)*30</f>
        <v>0.00388829939564426</v>
      </c>
      <c r="M211" s="19" t="n">
        <f aca="false">+M210*(1+L211)</f>
        <v>108.644681977394</v>
      </c>
    </row>
    <row r="212" customFormat="false" ht="15" hidden="false" customHeight="false" outlineLevel="0" collapsed="false">
      <c r="A212" s="17" t="n">
        <v>45016</v>
      </c>
      <c r="B212" s="3" t="n">
        <v>21517.9</v>
      </c>
      <c r="C212" s="25" t="n">
        <f aca="false">(B212/B211-1)/(A212-A211)*30</f>
        <v>0.00941788816879581</v>
      </c>
      <c r="D212" s="19" t="n">
        <f aca="false">+D211*(1+C212)</f>
        <v>113.186874071478</v>
      </c>
      <c r="F212" s="17" t="n">
        <v>45016</v>
      </c>
      <c r="I212" s="25"/>
      <c r="J212" s="18"/>
      <c r="K212" s="3" t="n">
        <v>5415.8662</v>
      </c>
      <c r="L212" s="68" t="n">
        <f aca="false">+(K212/K211-1)/(F212-A211)*30</f>
        <v>0.00794552771901819</v>
      </c>
      <c r="M212" s="19" t="n">
        <f aca="false">+M211*(1+L212)</f>
        <v>109.507921309569</v>
      </c>
    </row>
    <row r="213" customFormat="false" ht="15" hidden="false" customHeight="false" outlineLevel="0" collapsed="false">
      <c r="A213" s="17" t="n">
        <v>45044</v>
      </c>
      <c r="B213" s="3" t="n">
        <v>21706.94</v>
      </c>
      <c r="C213" s="25" t="n">
        <f aca="false">(B213/B212-1)/(A213-A212)*30</f>
        <v>0.00941276133557894</v>
      </c>
      <c r="D213" s="19" t="n">
        <f aca="false">+D212*(1+C213)</f>
        <v>114.252275103434</v>
      </c>
      <c r="F213" s="17" t="n">
        <v>45044</v>
      </c>
      <c r="I213" s="25"/>
      <c r="J213" s="18"/>
      <c r="K213" s="3" t="n">
        <v>5456.2587</v>
      </c>
      <c r="L213" s="68" t="n">
        <f aca="false">+(K213/K212-1)/(F213-A212)*30</f>
        <v>0.00799090615854378</v>
      </c>
      <c r="M213" s="19" t="n">
        <f aca="false">+M212*(1+L213)</f>
        <v>110.382988832371</v>
      </c>
    </row>
    <row r="214" customFormat="false" ht="15" hidden="false" customHeight="false" outlineLevel="0" collapsed="false">
      <c r="A214" s="17" t="n">
        <v>45077</v>
      </c>
      <c r="B214" s="3" t="n">
        <v>21931.86</v>
      </c>
      <c r="C214" s="25" t="n">
        <f aca="false">(B214/B213-1)/(A214-A213)*30</f>
        <v>0.00941969376027792</v>
      </c>
      <c r="D214" s="19" t="n">
        <f aca="false">+D213*(1+C214)</f>
        <v>115.328496546323</v>
      </c>
      <c r="F214" s="17" t="n">
        <v>45077</v>
      </c>
      <c r="I214" s="25"/>
      <c r="J214" s="18"/>
      <c r="K214" s="18" t="n">
        <v>5504.4106</v>
      </c>
      <c r="L214" s="68" t="n">
        <f aca="false">+(K214/K213-1)/(F214-A213)*30</f>
        <v>0.00802279674632251</v>
      </c>
      <c r="M214" s="19" t="n">
        <f aca="false">+M213*(1+L214)</f>
        <v>111.268569116025</v>
      </c>
    </row>
    <row r="215" customFormat="false" ht="15" hidden="false" customHeight="false" outlineLevel="0" collapsed="false">
      <c r="A215" s="17" t="n">
        <v>45107</v>
      </c>
      <c r="B215" s="3" t="n">
        <v>22138.35</v>
      </c>
      <c r="C215" s="25" t="n">
        <f aca="false">(B215/B214-1)/(A215-A214)*30</f>
        <v>0.00941507013085063</v>
      </c>
      <c r="D215" s="19" t="n">
        <f aca="false">+D214*(1+C215)</f>
        <v>116.414322429392</v>
      </c>
      <c r="F215" s="17" t="n">
        <v>45107</v>
      </c>
      <c r="I215" s="25"/>
      <c r="J215" s="18"/>
      <c r="K215" s="3" t="n">
        <v>5548.4618</v>
      </c>
      <c r="L215" s="68" t="n">
        <f aca="false">+(K215/K214-1)/(F215-A214)*30</f>
        <v>0.00800289135407151</v>
      </c>
      <c r="M215" s="19" t="n">
        <f aca="false">+M214*(1+L215)</f>
        <v>112.159039385783</v>
      </c>
    </row>
    <row r="216" customFormat="false" ht="15" hidden="false" customHeight="false" outlineLevel="0" collapsed="false">
      <c r="A216" s="17" t="n">
        <v>45138</v>
      </c>
      <c r="B216" s="3" t="n">
        <v>22353.79</v>
      </c>
      <c r="C216" s="25" t="n">
        <f aca="false">(B216/B215-1)/(A216-A215)*30</f>
        <v>0.00941760892662041</v>
      </c>
      <c r="D216" s="19" t="n">
        <f aca="false">+D215*(1+C216)</f>
        <v>117.51066699149</v>
      </c>
      <c r="F216" s="17" t="n">
        <v>45138</v>
      </c>
      <c r="I216" s="25"/>
      <c r="J216" s="18"/>
      <c r="K216" s="3" t="n">
        <v>5593.984</v>
      </c>
      <c r="L216" s="68" t="n">
        <f aca="false">+(K216/K215-1)/(F216-A215)*30</f>
        <v>0.00793981170339564</v>
      </c>
      <c r="M216" s="19" t="n">
        <f aca="false">+M215*(1+L216)</f>
        <v>113.04956103934</v>
      </c>
    </row>
    <row r="217" customFormat="false" ht="15" hidden="false" customHeight="false" outlineLevel="0" collapsed="false">
      <c r="A217" s="17" t="n">
        <v>45169</v>
      </c>
      <c r="B217" s="3" t="n">
        <v>22551.92</v>
      </c>
      <c r="C217" s="25" t="n">
        <f aca="false">(B217/B216-1)/(A217-A216)*30</f>
        <v>0.00857745866259888</v>
      </c>
      <c r="D217" s="19" t="n">
        <f aca="false">+D216*(1+C217)</f>
        <v>118.518609880024</v>
      </c>
      <c r="F217" s="17" t="n">
        <v>45175</v>
      </c>
      <c r="I217" s="25"/>
      <c r="J217" s="18"/>
      <c r="K217" s="18" t="n">
        <v>5636.4775</v>
      </c>
      <c r="L217" s="68" t="n">
        <f aca="false">+(K217/K216-1)/(F217-A216)*30</f>
        <v>0.00615915047114707</v>
      </c>
      <c r="M217" s="19" t="n">
        <v>100</v>
      </c>
    </row>
    <row r="218" customFormat="false" ht="15" hidden="false" customHeight="false" outlineLevel="0" collapsed="false">
      <c r="A218" s="17" t="n">
        <v>45199</v>
      </c>
      <c r="B218" s="3" t="n">
        <v>22727.72</v>
      </c>
      <c r="C218" s="25" t="n">
        <f aca="false">(B218/B217-1)/(A218-A217)*30</f>
        <v>0.00779534514134506</v>
      </c>
      <c r="D218" s="19" t="n">
        <v>100</v>
      </c>
      <c r="F218" s="17" t="n">
        <v>45199</v>
      </c>
      <c r="I218" s="25"/>
      <c r="J218" s="18"/>
      <c r="K218" s="18" t="n">
        <v>5674.7198</v>
      </c>
      <c r="L218" s="68" t="n">
        <f aca="false">+(K218/K217-1)/(F218-A217)*30</f>
        <v>0.00678478712990516</v>
      </c>
      <c r="M218" s="19" t="n">
        <v>100</v>
      </c>
    </row>
    <row r="219" customFormat="false" ht="15" hidden="false" customHeight="false" outlineLevel="0" collapsed="false">
      <c r="A219" s="17" t="n">
        <v>45230</v>
      </c>
      <c r="B219" s="19" t="n">
        <v>22920</v>
      </c>
      <c r="C219" s="25" t="n">
        <f aca="false">(B219/B218-1)/(A219-A218)*30</f>
        <v>0.0081872453266249</v>
      </c>
      <c r="D219" s="19" t="n">
        <f aca="false">+D218*(1+C219)</f>
        <v>100.818724532663</v>
      </c>
      <c r="F219" s="17" t="n">
        <v>45237</v>
      </c>
      <c r="I219" s="25"/>
      <c r="J219" s="18"/>
      <c r="K219" s="3" t="n">
        <v>5712.6049</v>
      </c>
      <c r="L219" s="68" t="n">
        <f aca="false">+(K219/K218-1)/(F219-A218)*30</f>
        <v>0.00527061961256391</v>
      </c>
      <c r="M219" s="19" t="n">
        <f aca="false">+M218*(1+L219)</f>
        <v>100.527061961256</v>
      </c>
    </row>
    <row r="220" customFormat="false" ht="15" hidden="false" customHeight="false" outlineLevel="0" collapsed="false">
      <c r="A220" s="17" t="n">
        <v>45260</v>
      </c>
      <c r="B220" s="3" t="n">
        <v>23092.51</v>
      </c>
      <c r="C220" s="25" t="n">
        <f aca="false">(B220/B219-1)/(A220-A219)*30</f>
        <v>0.00752661431064561</v>
      </c>
      <c r="D220" s="19" t="n">
        <f aca="false">+D219*(1+C220)</f>
        <v>101.577548187511</v>
      </c>
      <c r="F220" s="17" t="n">
        <v>45260</v>
      </c>
      <c r="I220" s="25"/>
      <c r="J220" s="18"/>
      <c r="K220" s="18" t="n">
        <v>5747.8492</v>
      </c>
      <c r="L220" s="68" t="n">
        <f aca="false">+(K220/K219-1)/(F220-A219)*30</f>
        <v>0.00616956723192952</v>
      </c>
      <c r="M220" s="19" t="n">
        <f aca="false">+M219*(1+L220)</f>
        <v>101.147270428655</v>
      </c>
    </row>
    <row r="221" customFormat="false" ht="15" hidden="false" customHeight="false" outlineLevel="0" collapsed="false">
      <c r="A221" s="17" t="n">
        <v>45291</v>
      </c>
      <c r="B221" s="3" t="n">
        <v>23256.05</v>
      </c>
      <c r="C221" s="25" t="n">
        <f aca="false">(B221/B220-1)/(A221-A220)*30</f>
        <v>0.00685349994994187</v>
      </c>
      <c r="D221" s="19" t="n">
        <f aca="false">+D220*(1+C221)</f>
        <v>102.273709908929</v>
      </c>
      <c r="F221" s="17" t="n">
        <v>45291</v>
      </c>
      <c r="I221" s="25"/>
      <c r="J221" s="18"/>
      <c r="K221" s="3" t="n">
        <v>5782.92</v>
      </c>
      <c r="L221" s="25" t="n">
        <f aca="false">+(K221/K220-1)/(F221-F220)*30</f>
        <v>0.00590472761028043</v>
      </c>
      <c r="M221" s="19" t="n">
        <f aca="false">+M220*(1+L221)</f>
        <v>101.744517509059</v>
      </c>
    </row>
    <row r="222" customFormat="false" ht="15" hidden="false" customHeight="false" outlineLevel="0" collapsed="false">
      <c r="A222" s="17" t="n">
        <v>45322</v>
      </c>
      <c r="B222" s="3" t="n">
        <v>23427.15</v>
      </c>
      <c r="C222" s="25" t="n">
        <f aca="false">(B222/B221-1)/(A222-A221)*30</f>
        <v>0.00711989547499661</v>
      </c>
      <c r="D222" s="19" t="n">
        <f aca="false">+D221*(1+C222)</f>
        <v>103.001888033321</v>
      </c>
      <c r="F222" s="17" t="n">
        <v>45322</v>
      </c>
      <c r="I222" s="25"/>
      <c r="J222" s="18"/>
      <c r="K222" s="18" t="n">
        <v>5816.8769</v>
      </c>
      <c r="L222" s="25" t="n">
        <f aca="false">+(K222/K221-1)/(F222-F221)*30</f>
        <v>0.00568251266298558</v>
      </c>
      <c r="M222" s="19" t="n">
        <f aca="false">+M221*(1+L222)</f>
        <v>102.322682018194</v>
      </c>
    </row>
    <row r="223" customFormat="false" ht="15" hidden="false" customHeight="false" outlineLevel="0" collapsed="false">
      <c r="A223" s="17" t="n">
        <v>45351</v>
      </c>
      <c r="B223" s="3" t="n">
        <v>23570.34</v>
      </c>
      <c r="C223" s="25" t="n">
        <f aca="false">(B223/B222-1)/(A223-A222)*30</f>
        <v>0.00632290253858852</v>
      </c>
      <c r="D223" s="19" t="n">
        <f aca="false">+D222*(1+C223)</f>
        <v>103.653158932646</v>
      </c>
      <c r="F223" s="17" t="n">
        <v>45351</v>
      </c>
      <c r="I223" s="25"/>
      <c r="J223" s="18"/>
      <c r="K223" s="3" t="n">
        <v>5846.4552</v>
      </c>
      <c r="L223" s="25" t="n">
        <f aca="false">+(K223/K222-1)/(F223-F222)*30</f>
        <v>0.005260252521299</v>
      </c>
      <c r="M223" s="19" t="n">
        <f aca="false">+M222*(1+L223)</f>
        <v>102.860925164266</v>
      </c>
    </row>
    <row r="224" customFormat="false" ht="15" hidden="false" customHeight="false" outlineLevel="0" collapsed="false">
      <c r="A224" s="17" t="n">
        <v>45379</v>
      </c>
      <c r="B224" s="3" t="n">
        <v>23703.45</v>
      </c>
      <c r="C224" s="25" t="n">
        <f aca="false">(B224/B223-1)/(A224-A223)*30</f>
        <v>0.00605073397935101</v>
      </c>
      <c r="D224" s="19" t="n">
        <f aca="false">+D223*(1+C224)</f>
        <v>104.280336623467</v>
      </c>
      <c r="F224" s="17" t="n">
        <v>45379</v>
      </c>
      <c r="I224" s="25"/>
      <c r="J224" s="18"/>
      <c r="K224" s="3" t="n">
        <v>5872.4728</v>
      </c>
      <c r="L224" s="25" t="n">
        <f aca="false">+(K224/K223-1)/(F224-F223)*30</f>
        <v>0.00476801737914621</v>
      </c>
      <c r="M224" s="19" t="n">
        <f aca="false">+M223*(1+L224)</f>
        <v>103.351367843084</v>
      </c>
    </row>
    <row r="225" customFormat="false" ht="15" hidden="false" customHeight="false" outlineLevel="0" collapsed="false">
      <c r="A225" s="17" t="n">
        <v>45412</v>
      </c>
      <c r="B225" s="3" t="n">
        <v>23847.87</v>
      </c>
      <c r="C225" s="25" t="n">
        <f aca="false">(B225/B224-1)/(A225-A224)*30</f>
        <v>0.00553889451075303</v>
      </c>
      <c r="D225" s="19" t="n">
        <f aca="false">+D224*(1+C225)</f>
        <v>104.85793440757</v>
      </c>
      <c r="F225" s="17" t="n">
        <v>45412</v>
      </c>
      <c r="I225" s="25"/>
      <c r="J225" s="18"/>
      <c r="K225" s="3" t="n">
        <v>5900.1916</v>
      </c>
      <c r="L225" s="25" t="n">
        <f aca="false">+(K225/K224-1)/(F225-F224)*30</f>
        <v>0.00429102184873626</v>
      </c>
      <c r="M225" s="19" t="n">
        <f aca="false">+M224*(1+L225)</f>
        <v>103.794850820596</v>
      </c>
    </row>
    <row r="226" customFormat="false" ht="15" hidden="false" customHeight="false" outlineLevel="0" collapsed="false">
      <c r="A226" s="17" t="n">
        <v>45443</v>
      </c>
      <c r="B226" s="3" t="n">
        <v>23979.37</v>
      </c>
      <c r="C226" s="25" t="n">
        <f aca="false">(B226/B225-1)/(A226-A225)*30</f>
        <v>0.00533624447450137</v>
      </c>
      <c r="D226" s="19" t="n">
        <f aca="false">+D225*(1+C226)</f>
        <v>105.41748198066</v>
      </c>
      <c r="F226" s="17" t="n">
        <v>45443</v>
      </c>
      <c r="I226" s="25"/>
      <c r="J226" s="18"/>
      <c r="K226" s="3" t="n">
        <v>5924.7824</v>
      </c>
      <c r="L226" s="25" t="n">
        <f aca="false">+(K226/K225-1)/(F226-F225)*30</f>
        <v>0.00403335179608358</v>
      </c>
      <c r="M226" s="19" t="n">
        <f aca="false">+M225*(1+L226)</f>
        <v>104.213491968577</v>
      </c>
    </row>
    <row r="227" customFormat="false" ht="15" hidden="false" customHeight="false" outlineLevel="0" collapsed="false">
      <c r="A227" s="17" t="n">
        <v>45473</v>
      </c>
      <c r="B227" s="19" t="n">
        <v>24090</v>
      </c>
      <c r="C227" s="25" t="n">
        <f aca="false">(B227/B226-1)/(A227-A226)*30</f>
        <v>0.00461354906321554</v>
      </c>
      <c r="D227" s="19" t="n">
        <f aca="false">+D226*(1+C227)</f>
        <v>105.903830705899</v>
      </c>
      <c r="F227" s="17" t="n">
        <v>45473</v>
      </c>
      <c r="I227" s="25"/>
      <c r="J227" s="18"/>
      <c r="K227" s="3" t="n">
        <v>5946.409</v>
      </c>
      <c r="L227" s="25" t="n">
        <f aca="false">+(K227/K226-1)/(F227-F226)*30</f>
        <v>0.00365019312776771</v>
      </c>
      <c r="M227" s="19" t="n">
        <f aca="false">+M226*(1+L227)</f>
        <v>104.593891340782</v>
      </c>
    </row>
    <row r="228" customFormat="false" ht="15" hidden="false" customHeight="false" outlineLevel="0" collapsed="false">
      <c r="A228" s="17" t="n">
        <v>45504</v>
      </c>
      <c r="B228" s="3" t="n">
        <v>24217.3</v>
      </c>
      <c r="C228" s="25" t="n">
        <f aca="false">(B228/B227-1)/(A228-A227)*30</f>
        <v>0.00511388743823562</v>
      </c>
      <c r="D228" s="19" t="n">
        <f aca="false">+D227*(1+C228)</f>
        <v>106.445410975407</v>
      </c>
      <c r="F228" s="17" t="n">
        <v>45504</v>
      </c>
      <c r="I228" s="25"/>
      <c r="J228" s="18"/>
      <c r="K228" s="3" t="n">
        <v>5968.019</v>
      </c>
      <c r="L228" s="25" t="n">
        <f aca="false">+(K228/K227-1)/(F228-F227)*30</f>
        <v>0.00351689620169189</v>
      </c>
      <c r="M228" s="19" t="n">
        <f aca="false">+M227*(1+L228)</f>
        <v>104.961737199958</v>
      </c>
    </row>
    <row r="229" customFormat="false" ht="15" hidden="false" customHeight="false" outlineLevel="0" collapsed="false">
      <c r="A229" s="17" t="n">
        <v>45535</v>
      </c>
      <c r="B229" s="3" t="n">
        <v>24333.6</v>
      </c>
      <c r="C229" s="25" t="n">
        <f aca="false">(B229/B228-1)/(A229-A228)*30</f>
        <v>0.004647437455735</v>
      </c>
      <c r="D229" s="19" t="n">
        <f aca="false">+D228*(1+C229)</f>
        <v>106.940109365365</v>
      </c>
      <c r="F229" s="17" t="n">
        <v>45535</v>
      </c>
      <c r="I229" s="25"/>
      <c r="J229" s="18"/>
      <c r="K229" s="3" t="n">
        <v>5989.669</v>
      </c>
      <c r="L229" s="25" t="n">
        <f aca="false">+(K229/K228-1)/(F229-F228)*30</f>
        <v>0.00351064782186953</v>
      </c>
      <c r="M229" s="19" t="n">
        <f aca="false">+M228*(1+L229)</f>
        <v>105.330220894039</v>
      </c>
    </row>
    <row r="230" customFormat="false" ht="15" hidden="false" customHeight="false" outlineLevel="0" collapsed="false">
      <c r="A230" s="17" t="n">
        <v>45565</v>
      </c>
      <c r="B230" s="3" t="n">
        <v>24449.94</v>
      </c>
      <c r="C230" s="25" t="n">
        <f aca="false">(B230/B229-1)/(A230-A229)*30</f>
        <v>0.00478104349541386</v>
      </c>
      <c r="D230" s="19" t="n">
        <f aca="false">+D229*(1+C230)</f>
        <v>107.451394679645</v>
      </c>
      <c r="F230" s="17" t="n">
        <v>45565</v>
      </c>
      <c r="I230" s="25"/>
      <c r="J230" s="18"/>
      <c r="K230" s="3" t="n">
        <v>6009.8868</v>
      </c>
      <c r="L230" s="25" t="n">
        <f aca="false">+(K230/K229-1)/(F230-F229)*30</f>
        <v>0.0033754452875443</v>
      </c>
      <c r="M230" s="19" t="n">
        <f aca="false">+M229*(1+L230)</f>
        <v>105.685757291792</v>
      </c>
    </row>
    <row r="231" customFormat="false" ht="15" hidden="false" customHeight="false" outlineLevel="0" collapsed="false">
      <c r="A231" s="17" t="n">
        <v>45596</v>
      </c>
      <c r="B231" s="3" t="n">
        <v>24560.22</v>
      </c>
      <c r="C231" s="25" t="n">
        <f aca="false">(B231/B230-1)/(A231-A230)*30</f>
        <v>0.00436494243524368</v>
      </c>
      <c r="D231" s="19" t="n">
        <f aca="false">+D230*(1+C231)</f>
        <v>107.920413832008</v>
      </c>
      <c r="F231" s="17" t="n">
        <v>45596</v>
      </c>
      <c r="I231" s="25"/>
      <c r="J231" s="18"/>
      <c r="K231" s="3" t="n">
        <v>6030.3854</v>
      </c>
      <c r="L231" s="25" t="n">
        <f aca="false">+(K231/K230-1)/(F231-F230)*30</f>
        <v>0.00330078677001207</v>
      </c>
      <c r="M231" s="19" t="n">
        <f aca="false">+M230*(1+L231)</f>
        <v>106.034603441239</v>
      </c>
    </row>
    <row r="232" customFormat="false" ht="15" hidden="false" customHeight="false" outlineLevel="0" collapsed="false">
      <c r="A232" s="17" t="n">
        <v>45626</v>
      </c>
      <c r="B232" s="3" t="n">
        <v>24667.9</v>
      </c>
      <c r="C232" s="25" t="n">
        <f aca="false">(B232/B231-1)/(A232-A231)*30</f>
        <v>0.0043843255475724</v>
      </c>
      <c r="D232" s="19" t="n">
        <f aca="false">+D231*(1+C232)</f>
        <v>108.393572059477</v>
      </c>
      <c r="F232" s="17" t="n">
        <v>45626</v>
      </c>
      <c r="I232" s="25"/>
      <c r="J232" s="18"/>
      <c r="K232" s="3" t="n">
        <v>6049.8055</v>
      </c>
      <c r="L232" s="25" t="n">
        <f aca="false">+(K232/K231-1)/(F232-F231)*30</f>
        <v>0.00322037460491331</v>
      </c>
      <c r="M232" s="19" t="n">
        <f aca="false">+M231*(1+L232)</f>
        <v>106.376074585403</v>
      </c>
    </row>
    <row r="233" customFormat="false" ht="15" hidden="false" customHeight="false" outlineLevel="0" collapsed="false">
      <c r="A233" s="17" t="n">
        <v>45657</v>
      </c>
      <c r="B233" s="3" t="n">
        <v>24777.58</v>
      </c>
      <c r="C233" s="25" t="n">
        <f aca="false">(B233/B232-1)/(A233-A232)*30</f>
        <v>0.00430283629672052</v>
      </c>
      <c r="D233" s="19" t="n">
        <f aca="false">+D232*(1+C233)</f>
        <v>108.859971855665</v>
      </c>
      <c r="F233" s="17" t="n">
        <v>45657</v>
      </c>
      <c r="I233" s="25"/>
      <c r="J233" s="18"/>
      <c r="K233" s="3" t="n">
        <v>6069.3455</v>
      </c>
      <c r="L233" s="25" t="n">
        <f aca="false">+(K233/K232-1)/(F233-F232)*30</f>
        <v>0.00312566700191516</v>
      </c>
      <c r="M233" s="19" t="n">
        <f aca="false">+M232*(1+L233)</f>
        <v>106.708570771528</v>
      </c>
    </row>
    <row r="234" customFormat="false" ht="15" hidden="false" customHeight="false" outlineLevel="0" collapsed="false">
      <c r="A234" s="17" t="n">
        <v>45688</v>
      </c>
      <c r="B234" s="3" t="n">
        <v>24887.95</v>
      </c>
      <c r="C234" s="25" t="n">
        <f aca="false">(B234/B233-1)/(A234-A233)*30</f>
        <v>0.00431073887842782</v>
      </c>
      <c r="D234" s="19" t="n">
        <f aca="false">+D233*(1+C234)</f>
        <v>109.329238768648</v>
      </c>
      <c r="F234" s="17" t="n">
        <v>45688</v>
      </c>
      <c r="I234" s="25"/>
      <c r="J234" s="18"/>
      <c r="K234" s="3" t="n">
        <v>6087.6762</v>
      </c>
      <c r="L234" s="25" t="n">
        <f aca="false">+(K234/K233-1)/(F234-F233)*30</f>
        <v>0.00292278419423869</v>
      </c>
      <c r="M234" s="19" t="n">
        <f aca="false">+M233*(1+L234)</f>
        <v>107.020456895569</v>
      </c>
    </row>
    <row r="235" customFormat="false" ht="15" hidden="false" customHeight="false" outlineLevel="0" collapsed="false">
      <c r="A235" s="17" t="n">
        <v>45716</v>
      </c>
      <c r="B235" s="3" t="n">
        <v>24984.92</v>
      </c>
      <c r="C235" s="25" t="n">
        <f aca="false">(B235/B234-1)/(A235-A234)*30</f>
        <v>0.0041745675546369</v>
      </c>
      <c r="D235" s="19" t="n">
        <f aca="false">+D234*(1+C235)</f>
        <v>109.785641061585</v>
      </c>
      <c r="F235" s="17" t="n">
        <v>45716</v>
      </c>
      <c r="I235" s="25"/>
      <c r="J235" s="18"/>
      <c r="K235" s="3" t="n">
        <v>6104.4912</v>
      </c>
      <c r="L235" s="25" t="n">
        <f aca="false">+(K235/K234-1)/(F235-F234)*30</f>
        <v>0.00295943326101547</v>
      </c>
      <c r="M235" s="19" t="n">
        <f aca="false">+M234*(1+L235)</f>
        <v>107.337176795315</v>
      </c>
    </row>
    <row r="236" customFormat="false" ht="15" hidden="false" customHeight="false" outlineLevel="0" collapsed="false">
      <c r="A236" s="17" t="n">
        <v>45747</v>
      </c>
      <c r="B236" s="3" t="n">
        <v>25092.7</v>
      </c>
      <c r="C236" s="25" t="n">
        <f aca="false">(B236/B235-1)/(A236-A235)*30</f>
        <v>0.00417464717943687</v>
      </c>
      <c r="D236" s="19" t="n">
        <f aca="false">+D235*(1+C236)</f>
        <v>110.243957378385</v>
      </c>
      <c r="F236" s="17" t="n">
        <v>45747</v>
      </c>
      <c r="G236" s="4" t="n">
        <v>999</v>
      </c>
      <c r="H236" s="4" t="n">
        <f aca="false">+G236+$S$148+$S$150+$S$152+$S$154+$S$156+$S$158</f>
        <v>999</v>
      </c>
      <c r="I236" s="25" t="n">
        <f aca="false">+IFERROR((H236/H235-1)/(F236-F235)*30,0)</f>
        <v>0</v>
      </c>
      <c r="J236" s="18"/>
      <c r="K236" s="3" t="n">
        <v>6123.1882</v>
      </c>
      <c r="L236" s="25" t="n">
        <f aca="false">+(K236/K235-1)/(F236-F235)*30</f>
        <v>0.00296402605474173</v>
      </c>
      <c r="M236" s="19" t="n">
        <f aca="false">+M235*(1+L236)</f>
        <v>107.655326983979</v>
      </c>
    </row>
    <row r="237" customFormat="false" ht="15" hidden="false" customHeight="false" outlineLevel="0" collapsed="false">
      <c r="A237" s="17" t="n">
        <v>45777</v>
      </c>
      <c r="B237" s="3" t="n">
        <v>25197.48</v>
      </c>
      <c r="C237" s="25" t="n">
        <f aca="false">(B237/B236-1)/(A237-A236)*30</f>
        <v>0.00417571644342774</v>
      </c>
      <c r="D237" s="19" t="n">
        <f aca="false">+D236*(1+C237)</f>
        <v>110.704304883999</v>
      </c>
      <c r="F237" s="17" t="n">
        <v>45777</v>
      </c>
      <c r="G237" s="4" t="n">
        <v>1000</v>
      </c>
      <c r="H237" s="4" t="n">
        <f aca="false">+G237+$S$148+$S$150+$S$152+$S$154+$S$156+$S$158</f>
        <v>1000</v>
      </c>
      <c r="I237" s="25" t="n">
        <f aca="false">+(H237/H236-1)/(F237-F236)*30</f>
        <v>0.00100100100100109</v>
      </c>
      <c r="J237" s="18" t="n">
        <v>100</v>
      </c>
      <c r="K237" s="3" t="n">
        <v>6141.4105</v>
      </c>
      <c r="L237" s="25" t="n">
        <f aca="false">+(K237/K236-1)/(F237-F236)*30</f>
        <v>0.00297594968581905</v>
      </c>
      <c r="M237" s="19" t="n">
        <f aca="false">+M236*(1+L237)</f>
        <v>107.975703820493</v>
      </c>
    </row>
    <row r="238" customFormat="false" ht="15" hidden="false" customHeight="false" outlineLevel="0" collapsed="false">
      <c r="A238" s="17" t="n">
        <v>45808</v>
      </c>
      <c r="B238" s="3" t="n">
        <v>25302.66</v>
      </c>
      <c r="C238" s="25" t="n">
        <f aca="false">(B238/B237-1)/(A238-A237)*30</f>
        <v>0.00403957446435886</v>
      </c>
      <c r="D238" s="19" t="n">
        <f aca="false">+D237*(1+C238)</f>
        <v>111.151503167103</v>
      </c>
      <c r="F238" s="17" t="n">
        <v>45808</v>
      </c>
      <c r="G238" s="4" t="n">
        <v>1000.8554</v>
      </c>
      <c r="H238" s="4" t="n">
        <f aca="false">+G238+$S$148+$S$150+$S$152+$S$154+$S$156+$S$158</f>
        <v>1000.8554</v>
      </c>
      <c r="I238" s="25" t="n">
        <f aca="false">+(H238/H237-1)/(F238-F237)*30</f>
        <v>0.000827806451612963</v>
      </c>
      <c r="J238" s="18" t="n">
        <f aca="false">+J237*(1+I238)</f>
        <v>100.082780645161</v>
      </c>
      <c r="K238" s="3" t="n">
        <v>6160.386</v>
      </c>
      <c r="L238" s="25" t="n">
        <f aca="false">+(K238/K237-1)/(F238-F237)*30</f>
        <v>0.00299009276399519</v>
      </c>
      <c r="M238" s="19" t="n">
        <f aca="false">+M237*(1+L238)</f>
        <v>108.298561191174</v>
      </c>
    </row>
    <row r="239" customFormat="false" ht="15" hidden="false" customHeight="false" outlineLevel="0" collapsed="false">
      <c r="A239" s="17" t="n">
        <v>45838</v>
      </c>
      <c r="B239" s="3" t="n">
        <v>25411.83</v>
      </c>
      <c r="C239" s="25" t="n">
        <f aca="false">(B239/B238-1)/(A239-A238)*30</f>
        <v>0.00431456613652492</v>
      </c>
      <c r="D239" s="19" t="n">
        <f aca="false">+D238*(1+C239)</f>
        <v>111.631073678691</v>
      </c>
      <c r="F239" s="17" t="n">
        <v>45838</v>
      </c>
      <c r="G239" s="4" t="n">
        <v>1008.2272</v>
      </c>
      <c r="H239" s="4" t="n">
        <f aca="false">+G239+$S$148+$S$150+$S$152+$S$154+$S$156+$S$158</f>
        <v>1008.2272</v>
      </c>
      <c r="I239" s="25" t="n">
        <f aca="false">+(H239/H238-1)/(F239-F238)*30</f>
        <v>0.00736549955168342</v>
      </c>
      <c r="J239" s="18" t="n">
        <f aca="false">+J238*(1+I239)</f>
        <v>100.819940321134</v>
      </c>
      <c r="K239" s="3" t="n">
        <v>6178.849</v>
      </c>
      <c r="L239" s="25" t="n">
        <f aca="false">+(K239/K238-1)/(F239-F238)*30</f>
        <v>0.00299705245742721</v>
      </c>
      <c r="M239" s="19" t="n">
        <f aca="false">+M238*(1+L239)</f>
        <v>108.623137660128</v>
      </c>
    </row>
    <row r="240" customFormat="false" ht="15" hidden="false" customHeight="false" outlineLevel="0" collapsed="false">
      <c r="A240" s="17" t="n">
        <v>45869</v>
      </c>
      <c r="B240" s="3" t="n">
        <v>25521.26</v>
      </c>
      <c r="C240" s="25" t="n">
        <f aca="false">(B240/B239-1)/(A240-A239)*30</f>
        <v>0.00416735040333568</v>
      </c>
      <c r="D240" s="19" t="n">
        <f aca="false">+D239*(1+C240)</f>
        <v>112.096279478611</v>
      </c>
      <c r="F240" s="17" t="n">
        <v>45869</v>
      </c>
      <c r="G240" s="4" t="n">
        <v>1014.4794</v>
      </c>
      <c r="H240" s="4" t="n">
        <f aca="false">+G240+$S$148+$S$150+$S$152+$S$154+$S$156+$S$158</f>
        <v>1014.4794</v>
      </c>
      <c r="I240" s="25" t="n">
        <f aca="false">+(H240/H239-1)/(F240-F239)*30</f>
        <v>0.00600114352105589</v>
      </c>
      <c r="J240" s="18" t="n">
        <f aca="false">+J239*(1+I240)</f>
        <v>101.424975252786</v>
      </c>
      <c r="K240" s="18" t="n">
        <v>6197.6884</v>
      </c>
      <c r="L240" s="25" t="n">
        <f aca="false">+(K240/K239-1)/(F240-F239)*30</f>
        <v>0.00295065916311505</v>
      </c>
      <c r="M240" s="19" t="n">
        <f aca="false">+M239*(1+L240)</f>
        <v>108.943647516591</v>
      </c>
    </row>
    <row r="241" customFormat="false" ht="15" hidden="false" customHeight="false" outlineLevel="0" collapsed="false">
      <c r="A241" s="17" t="n">
        <v>45900</v>
      </c>
      <c r="B241" s="3" t="n">
        <v>25619.09</v>
      </c>
      <c r="C241" s="25" t="n">
        <f aca="false">(B241/B240-1)/(A241-A240)*30</f>
        <v>0.00370962066717663</v>
      </c>
      <c r="D241" s="19" t="n">
        <f aca="false">+D240*(1+C241)</f>
        <v>112.512114153679</v>
      </c>
      <c r="F241" s="17" t="n">
        <v>45900</v>
      </c>
      <c r="G241" s="4" t="n">
        <v>1020.691</v>
      </c>
      <c r="H241" s="4" t="n">
        <f aca="false">+G241+$S$148+$S$150+$S$152+$S$154+$S$156+$S$158</f>
        <v>1020.691</v>
      </c>
      <c r="I241" s="25" t="n">
        <f aca="false">+(H241/H240-1)/(F241-F240)*30</f>
        <v>0.00592542914765099</v>
      </c>
      <c r="J241" s="18" t="n">
        <f aca="false">+J240*(1+I241)</f>
        <v>102.025961757449</v>
      </c>
      <c r="K241" s="18" t="n">
        <v>6215.6746</v>
      </c>
      <c r="L241" s="25" t="n">
        <f aca="false">+(K241/K240-1)/(F241-F240)*30</f>
        <v>0.00280846645984984</v>
      </c>
      <c r="M241" s="19" t="n">
        <f aca="false">+M240*(1+L241)</f>
        <v>109.249612096655</v>
      </c>
    </row>
    <row r="242" customFormat="false" ht="15" hidden="false" customHeight="false" outlineLevel="0" collapsed="false">
      <c r="A242" s="17" t="n">
        <v>45930</v>
      </c>
      <c r="B242" s="3" t="n">
        <v>25727.46</v>
      </c>
      <c r="C242" s="25" t="n">
        <f aca="false">(B242/B241-1)/(A242-A241)*30</f>
        <v>0.00423004876441735</v>
      </c>
      <c r="D242" s="19" t="n">
        <f aca="false">+D241*(1+C242)</f>
        <v>112.988045883136</v>
      </c>
      <c r="F242" s="17" t="n">
        <v>45930</v>
      </c>
      <c r="G242" s="4" t="n">
        <v>1026.5784</v>
      </c>
      <c r="H242" s="4" t="n">
        <f aca="false">+G242+$S$148+$S$150+$S$152+$S$154+$S$156+$S$158</f>
        <v>1026.5784</v>
      </c>
      <c r="I242" s="25" t="n">
        <f aca="false">+(H242/H241-1)/(F242-F241)*30</f>
        <v>0.00576805321101115</v>
      </c>
      <c r="J242" s="18" t="n">
        <f aca="false">+J241*(1+I242)</f>
        <v>102.61445293377</v>
      </c>
      <c r="K242" s="18" t="n">
        <v>6232.8399</v>
      </c>
      <c r="L242" s="25" t="n">
        <f aca="false">+(K242/K241-1)/(F242-F241)*30</f>
        <v>0.00276161496613736</v>
      </c>
      <c r="M242" s="19" t="n">
        <f aca="false">+M241*(1+L242)</f>
        <v>109.551317460466</v>
      </c>
    </row>
    <row r="243" customFormat="false" ht="15" hidden="false" customHeight="false" outlineLevel="0" collapsed="false">
      <c r="A243" s="17" t="n">
        <v>45961</v>
      </c>
      <c r="B243" s="3" t="n">
        <v>25829.5</v>
      </c>
      <c r="C243" s="25" t="n">
        <f aca="false">(B243/B242-1)/(A243-A242)*30</f>
        <v>0.00383824859106876</v>
      </c>
      <c r="D243" s="19" t="n">
        <f aca="false">+D242*(1+C243)</f>
        <v>113.421722091055</v>
      </c>
      <c r="F243" s="17" t="n">
        <v>45961</v>
      </c>
      <c r="G243" s="4" t="n">
        <v>1033.2547</v>
      </c>
      <c r="H243" s="4" t="n">
        <f aca="false">+G243+$S$148+$S$150+$S$152+$S$154+$S$156+$S$158</f>
        <v>1033.2547</v>
      </c>
      <c r="I243" s="25" t="n">
        <f aca="false">+(H243/H242-1)/(F243-F242)*30</f>
        <v>0.00629366006909051</v>
      </c>
      <c r="J243" s="18" t="n">
        <f aca="false">+J242*(1+I243)</f>
        <v>103.260273418711</v>
      </c>
      <c r="K243" s="3" t="n">
        <v>6250.6982</v>
      </c>
      <c r="L243" s="25" t="n">
        <f aca="false">+(K243/K242-1)/(F243-F242)*30</f>
        <v>0.00277276908820515</v>
      </c>
      <c r="M243" s="19" t="n">
        <f aca="false">+M242*(1+L243)</f>
        <v>109.855077967093</v>
      </c>
    </row>
    <row r="244" customFormat="false" ht="15" hidden="false" customHeight="false" outlineLevel="0" collapsed="false">
      <c r="A244" s="17" t="n">
        <v>45991</v>
      </c>
      <c r="B244" s="3" t="n">
        <v>25928.49</v>
      </c>
      <c r="C244" s="25" t="n">
        <f aca="false">(B244/B243-1)/(A244-A243)*30</f>
        <v>0.00383243965233548</v>
      </c>
      <c r="D244" s="19" t="n">
        <f aca="false">+D243*(1+C244)</f>
        <v>113.856403996233</v>
      </c>
      <c r="F244" s="17" t="n">
        <v>45991</v>
      </c>
      <c r="G244" s="4" t="n">
        <v>1039.2601</v>
      </c>
      <c r="H244" s="4" t="n">
        <f aca="false">+G244+$S$148+$S$150+$S$152+$S$154+$S$156+$S$158</f>
        <v>1039.2601</v>
      </c>
      <c r="I244" s="25" t="n">
        <f aca="false">+(H244/H243-1)/(F244-F243)*30</f>
        <v>0.00581211970291551</v>
      </c>
      <c r="J244" s="18" t="n">
        <f aca="false">+J243*(1+I244)</f>
        <v>103.860434488376</v>
      </c>
      <c r="K244" s="3" t="n">
        <v>6268.169</v>
      </c>
      <c r="L244" s="25" t="n">
        <f aca="false">+(K244/K243-1)/(F244-F243)*30</f>
        <v>0.00279501576319907</v>
      </c>
      <c r="M244" s="19" t="n">
        <f aca="false">+M243*(1+L244)</f>
        <v>110.162124641678</v>
      </c>
    </row>
    <row r="245" customFormat="false" ht="15" hidden="false" customHeight="false" outlineLevel="0" collapsed="false">
      <c r="A245" s="69" t="n">
        <v>46022</v>
      </c>
      <c r="B245" s="70" t="n">
        <v>26035.82</v>
      </c>
      <c r="C245" s="25" t="n">
        <f aca="false">(B245/B244-1)/(A245-A244)*30</f>
        <v>0.00400593100236385</v>
      </c>
      <c r="D245" s="19" t="n">
        <f aca="false">+D244*(1+C245)</f>
        <v>114.312504894819</v>
      </c>
      <c r="F245" s="69" t="n">
        <v>46022</v>
      </c>
      <c r="G245" s="71" t="n">
        <v>1045.7936</v>
      </c>
      <c r="H245" s="4" t="n">
        <f aca="false">+G245+$S$148+$S$150+$S$152+$S$154+$S$156+$S$158</f>
        <v>1045.7936</v>
      </c>
      <c r="I245" s="25" t="n">
        <f aca="false">+IFERROR((H245/H244-1)/(F245-F244)*30,0)</f>
        <v>0.00608388788858913</v>
      </c>
      <c r="J245" s="18" t="n">
        <v>101</v>
      </c>
      <c r="K245" s="70" t="n">
        <v>6285.9566</v>
      </c>
      <c r="L245" s="25" t="n">
        <f aca="false">+(K245/K244-1)/(F245-F244)*30</f>
        <v>0.00274622564446067</v>
      </c>
      <c r="M245" s="19" t="n">
        <f aca="false">+M244*(1+L245)</f>
        <v>110.464654693417</v>
      </c>
    </row>
    <row r="246" customFormat="false" ht="15.75" hidden="false" customHeight="true" outlineLevel="0" collapsed="false">
      <c r="A246" s="69" t="n">
        <v>46053</v>
      </c>
      <c r="B246" s="70" t="n">
        <v>26136.9</v>
      </c>
      <c r="C246" s="25" t="n">
        <f aca="false">(B246/B245-1)/(A246-A245)*30</f>
        <v>0.00375710674135526</v>
      </c>
      <c r="D246" s="19" t="n">
        <f aca="false">+D245*(1+C246)</f>
        <v>114.741989177581</v>
      </c>
      <c r="F246" s="69" t="n">
        <v>46053</v>
      </c>
      <c r="G246" s="71" t="n">
        <v>1051.9576</v>
      </c>
      <c r="H246" s="4" t="n">
        <f aca="false">+G246+$S$148+$S$150+$S$152+$S$154+$S$156+$S$158</f>
        <v>1051.9576</v>
      </c>
      <c r="I246" s="25" t="n">
        <f aca="false">+(H246/H245-1)/(F246-F245)*30</f>
        <v>0.00570395658409321</v>
      </c>
      <c r="J246" s="18" t="n">
        <f aca="false">+J245*(1+I246)</f>
        <v>101.576099614993</v>
      </c>
      <c r="K246" s="70" t="n">
        <v>6303.0823</v>
      </c>
      <c r="L246" s="25" t="n">
        <f aca="false">+(K246/K245-1)/(F246-F245)*30</f>
        <v>0.00263655305296194</v>
      </c>
      <c r="M246" s="19" t="n">
        <f aca="false">+M245*(1+L246)</f>
        <v>110.755900615994</v>
      </c>
    </row>
    <row r="247" customFormat="false" ht="16.5" hidden="false" customHeight="true" outlineLevel="0" collapsed="false">
      <c r="A247" s="72" t="n">
        <v>46081</v>
      </c>
      <c r="B247" s="73" t="n">
        <v>26231.81</v>
      </c>
      <c r="C247" s="25" t="n">
        <f aca="false">(B247/B246-1)/(A247-A246)*30</f>
        <v>0.00389064065418173</v>
      </c>
      <c r="D247" s="19" t="n">
        <f aca="false">+D246*(1+C247)</f>
        <v>115.188409025417</v>
      </c>
      <c r="F247" s="72" t="n">
        <v>46081</v>
      </c>
      <c r="G247" s="71" t="n">
        <v>1057.7544</v>
      </c>
      <c r="H247" s="4" t="n">
        <f aca="false">+G247+$S$148+$S$150+$S$152+$S$154+$S$156+$S$158</f>
        <v>1057.7544</v>
      </c>
      <c r="I247" s="25" t="n">
        <f aca="false">+(H247/H246-1)/(F247-F246)*30</f>
        <v>0.00590409455937881</v>
      </c>
      <c r="J247" s="18" t="n">
        <f aca="false">+J246*(1+I247)</f>
        <v>102.175814512093</v>
      </c>
      <c r="K247" s="74" t="n">
        <v>6318.4947</v>
      </c>
      <c r="L247" s="25" t="n">
        <f aca="false">+(K247/K246-1)/(F247-F246)*30</f>
        <v>0.00261987467850238</v>
      </c>
      <c r="M247" s="19" t="n">
        <f aca="false">+M246*(1+L247)</f>
        <v>111.046067195512</v>
      </c>
    </row>
    <row r="248" customFormat="false" ht="16.5" hidden="false" customHeight="true" outlineLevel="0" collapsed="false">
      <c r="A248" s="72" t="n">
        <v>46112</v>
      </c>
      <c r="B248" s="73" t="n">
        <v>26333.64</v>
      </c>
      <c r="C248" s="25" t="n">
        <f aca="false">(B248/B247-1)/(A248-A247)*30</f>
        <v>0.00375670459988545</v>
      </c>
      <c r="D248" s="19" t="n">
        <f aca="false">+D247*(1+C248)</f>
        <v>115.621137851456</v>
      </c>
      <c r="F248" s="72" t="n">
        <v>46112</v>
      </c>
      <c r="G248" s="75" t="n">
        <v>1064.2617</v>
      </c>
      <c r="H248" s="4" t="n">
        <f aca="false">+G248+$S$148+$S$150+$S$152+$S$154+$S$156+$S$158</f>
        <v>1064.2617</v>
      </c>
      <c r="I248" s="25" t="n">
        <f aca="false">+(H248/H247-1)/(F248-F247)*30</f>
        <v>0.00595354374964006</v>
      </c>
      <c r="J248" s="18" t="n">
        <f aca="false">+J247*(1+I248)</f>
        <v>102.784122693946</v>
      </c>
      <c r="K248" s="76" t="n">
        <v>6335.4774</v>
      </c>
      <c r="L248" s="25" t="n">
        <f aca="false">+(K248/K247-1)/(F248-F247)*30</f>
        <v>0.00260107379179124</v>
      </c>
      <c r="M248" s="19" t="n">
        <f aca="false">+M247*(1+L248)</f>
        <v>111.334906210576</v>
      </c>
    </row>
    <row r="249" customFormat="false" ht="15" hidden="false" customHeight="false" outlineLevel="0" collapsed="false">
      <c r="A249" s="17" t="n">
        <v>46142</v>
      </c>
      <c r="B249" s="3" t="n">
        <v>19916.8502383877</v>
      </c>
      <c r="C249" s="25" t="n">
        <f aca="false">(B249/B248-1)/(A249-A248)*30</f>
        <v>-0.243672722859896</v>
      </c>
      <c r="D249" s="19" t="n">
        <f aca="false">+D248*(1+C249)</f>
        <v>87.4474203710322</v>
      </c>
      <c r="F249" s="17" t="n">
        <v>46142</v>
      </c>
      <c r="G249" s="77" t="n">
        <v>1070.5872</v>
      </c>
      <c r="H249" s="4" t="n">
        <f aca="false">+G249+$S$148+$S$150+$S$152+$S$154+$S$156+$S$158</f>
        <v>1070.5872</v>
      </c>
      <c r="I249" s="25" t="n">
        <f aca="false">+(H249/H248-1)/(F249-F248)*30</f>
        <v>0.00594355692777437</v>
      </c>
      <c r="J249" s="18" t="n">
        <f aca="false">+J248*(1+I249)</f>
        <v>103.395025978449</v>
      </c>
      <c r="L249" s="25" t="n">
        <f aca="false">+(K249/K248-1)/(F249-F248)*30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selection pane="topLeft" activeCell="H33" activeCellId="0" sqref="H33"/>
    </sheetView>
  </sheetViews>
  <sheetFormatPr defaultColWidth="11.42578125" defaultRowHeight="15" zeroHeight="false" outlineLevelRow="0" outlineLevelCol="0"/>
  <cols>
    <col collapsed="false" customWidth="true" hidden="false" outlineLevel="0" max="3" min="3" style="78" width="6.29"/>
    <col collapsed="false" customWidth="true" hidden="false" outlineLevel="0" max="4" min="4" style="0" width="23.42"/>
    <col collapsed="false" customWidth="true" hidden="false" outlineLevel="0" max="16" min="5" style="0" width="7.42"/>
    <col collapsed="false" customWidth="true" hidden="false" outlineLevel="0" max="17" min="17" style="0" width="8.71"/>
    <col collapsed="false" customWidth="true" hidden="false" outlineLevel="0" max="19" min="19" style="0" width="19.71"/>
    <col collapsed="false" customWidth="true" hidden="false" outlineLevel="0" max="20" min="20" style="0" width="7.86"/>
    <col collapsed="false" customWidth="true" hidden="false" outlineLevel="0" max="21" min="21" style="0" width="9.71"/>
    <col collapsed="false" customWidth="true" hidden="false" outlineLevel="0" max="22" min="22" style="0" width="9.57"/>
    <col collapsed="false" customWidth="true" hidden="false" outlineLevel="0" max="23" min="23" style="0" width="6"/>
    <col collapsed="false" customWidth="true" hidden="false" outlineLevel="0" max="24" min="24" style="0" width="11"/>
  </cols>
  <sheetData>
    <row r="1" customFormat="false" ht="24" hidden="false" customHeight="true" outlineLevel="0" collapsed="false">
      <c r="S1" s="79" t="s">
        <v>32</v>
      </c>
      <c r="T1" s="80" t="s">
        <v>33</v>
      </c>
      <c r="U1" s="80" t="s">
        <v>34</v>
      </c>
      <c r="V1" s="80" t="s">
        <v>35</v>
      </c>
      <c r="W1" s="80" t="s">
        <v>36</v>
      </c>
      <c r="X1" s="81" t="s">
        <v>47</v>
      </c>
    </row>
    <row r="2" customFormat="false" ht="15" hidden="false" customHeight="false" outlineLevel="0" collapsed="false">
      <c r="S2" s="82" t="s">
        <v>48</v>
      </c>
      <c r="T2" s="83" t="n">
        <f aca="false">+'Datos ICP (2)'!AX29</f>
        <v>-0.243672722859896</v>
      </c>
      <c r="U2" s="83" t="n">
        <f aca="false">+'Datos ICP (2)'!AY29</f>
        <v>-0.237979628862347</v>
      </c>
      <c r="V2" s="83" t="n">
        <f aca="false">+'Datos ICP (2)'!AZ29</f>
        <v>-0.228910732364632</v>
      </c>
      <c r="W2" s="83"/>
      <c r="X2" s="83" t="n">
        <f aca="false">+'Datos ICP (2)'!BB29</f>
        <v>-0.71393888658704</v>
      </c>
    </row>
    <row r="3" customFormat="false" ht="15" hidden="false" customHeight="false" outlineLevel="0" collapsed="false">
      <c r="S3" s="82" t="s">
        <v>26</v>
      </c>
      <c r="T3" s="83" t="n">
        <f aca="false">+'Datos ICP (2)'!AX30</f>
        <v>-1</v>
      </c>
      <c r="U3" s="83" t="n">
        <f aca="false">+'Datos ICP (2)'!AY30</f>
        <v>-1</v>
      </c>
      <c r="V3" s="83" t="n">
        <f aca="false">+'Datos ICP (2)'!AZ30</f>
        <v>-1</v>
      </c>
      <c r="W3" s="83"/>
      <c r="X3" s="83" t="n">
        <f aca="false">+'Datos ICP (2)'!BB30</f>
        <v>-3</v>
      </c>
    </row>
    <row r="4" customFormat="false" ht="15" hidden="false" customHeight="false" outlineLevel="0" collapsed="false">
      <c r="S4" s="84" t="s">
        <v>39</v>
      </c>
      <c r="T4" s="83" t="n">
        <f aca="false">+'Datos ICP (2)'!AX31</f>
        <v>0.00594355692777437</v>
      </c>
      <c r="U4" s="83" t="n">
        <f aca="false">+'Datos ICP (2)'!AY31</f>
        <v>0.0177094590124165</v>
      </c>
      <c r="V4" s="83" t="n">
        <f aca="false">+'Datos ICP (2)'!AZ31</f>
        <v>0.0361309752571171</v>
      </c>
      <c r="W4" s="83"/>
      <c r="X4" s="83" t="n">
        <f aca="false">+'Datos ICP (2)'!BB31</f>
        <v>0.0531283770372495</v>
      </c>
    </row>
    <row r="5" customFormat="false" ht="15" hidden="false" customHeight="false" outlineLevel="0" collapsed="false">
      <c r="B5" s="85"/>
      <c r="C5" s="86"/>
      <c r="D5" s="85"/>
      <c r="E5" s="85"/>
      <c r="F5" s="85"/>
      <c r="G5" s="85"/>
      <c r="H5" s="85"/>
      <c r="I5" s="85"/>
      <c r="J5" s="85"/>
      <c r="K5" s="85"/>
      <c r="L5" s="85"/>
      <c r="M5" s="85"/>
      <c r="N5" s="85"/>
      <c r="O5" s="85"/>
      <c r="P5" s="85"/>
      <c r="Q5" s="85"/>
      <c r="R5" s="85"/>
    </row>
    <row r="6" customFormat="false" ht="31.5" hidden="false" customHeight="true" outlineLevel="0" collapsed="false">
      <c r="B6" s="85"/>
      <c r="C6" s="87" t="s">
        <v>40</v>
      </c>
      <c r="D6" s="88" t="s">
        <v>41</v>
      </c>
      <c r="E6" s="89" t="s">
        <v>4</v>
      </c>
      <c r="F6" s="89" t="s">
        <v>5</v>
      </c>
      <c r="G6" s="89" t="s">
        <v>6</v>
      </c>
      <c r="H6" s="89" t="s">
        <v>7</v>
      </c>
      <c r="I6" s="89" t="s">
        <v>8</v>
      </c>
      <c r="J6" s="89" t="s">
        <v>9</v>
      </c>
      <c r="K6" s="89" t="s">
        <v>10</v>
      </c>
      <c r="L6" s="89" t="s">
        <v>11</v>
      </c>
      <c r="M6" s="89" t="s">
        <v>12</v>
      </c>
      <c r="N6" s="89" t="s">
        <v>13</v>
      </c>
      <c r="O6" s="89" t="s">
        <v>14</v>
      </c>
      <c r="P6" s="89" t="s">
        <v>15</v>
      </c>
      <c r="Q6" s="90" t="s">
        <v>49</v>
      </c>
      <c r="R6" s="91"/>
    </row>
    <row r="7" customFormat="false" ht="9" hidden="false" customHeight="true" outlineLevel="0" collapsed="false">
      <c r="B7" s="85"/>
      <c r="C7" s="86"/>
      <c r="D7" s="85"/>
      <c r="E7" s="92"/>
      <c r="F7" s="92"/>
      <c r="G7" s="92"/>
      <c r="H7" s="92"/>
      <c r="I7" s="92"/>
      <c r="J7" s="92"/>
      <c r="K7" s="92"/>
      <c r="L7" s="92"/>
      <c r="M7" s="92"/>
      <c r="N7" s="92"/>
      <c r="O7" s="92"/>
      <c r="P7" s="92"/>
      <c r="Q7" s="92"/>
      <c r="R7" s="93"/>
    </row>
    <row r="8" customFormat="false" ht="16.5" hidden="true" customHeight="true" outlineLevel="0" collapsed="false">
      <c r="B8" s="85"/>
      <c r="C8" s="94" t="n">
        <v>2013</v>
      </c>
      <c r="D8" s="84" t="s">
        <v>3</v>
      </c>
      <c r="E8" s="92"/>
      <c r="F8" s="92"/>
      <c r="G8" s="92"/>
      <c r="H8" s="92"/>
      <c r="I8" s="92"/>
      <c r="J8" s="92"/>
      <c r="K8" s="92"/>
      <c r="L8" s="92"/>
      <c r="M8" s="92"/>
      <c r="N8" s="92"/>
      <c r="O8" s="92"/>
      <c r="P8" s="92"/>
      <c r="Q8" s="92"/>
      <c r="R8" s="85"/>
    </row>
    <row r="9" customFormat="false" ht="16.5" hidden="true" customHeight="true" outlineLevel="0" collapsed="false">
      <c r="B9" s="85"/>
      <c r="C9" s="94" t="n">
        <v>2014</v>
      </c>
      <c r="D9" s="84" t="s">
        <v>3</v>
      </c>
      <c r="E9" s="92"/>
      <c r="F9" s="92"/>
      <c r="G9" s="92"/>
      <c r="H9" s="92"/>
      <c r="I9" s="92"/>
      <c r="J9" s="92"/>
      <c r="K9" s="92"/>
      <c r="L9" s="92"/>
      <c r="M9" s="92"/>
      <c r="N9" s="92"/>
      <c r="O9" s="92"/>
      <c r="P9" s="92"/>
      <c r="Q9" s="92"/>
      <c r="R9" s="85"/>
    </row>
    <row r="10" customFormat="false" ht="16.5" hidden="true" customHeight="true" outlineLevel="0" collapsed="false">
      <c r="B10" s="85"/>
      <c r="C10" s="94" t="n">
        <v>2015</v>
      </c>
      <c r="D10" s="84" t="s">
        <v>3</v>
      </c>
      <c r="E10" s="92"/>
      <c r="F10" s="92"/>
      <c r="G10" s="92"/>
      <c r="H10" s="92"/>
      <c r="I10" s="92"/>
      <c r="J10" s="92"/>
      <c r="K10" s="92"/>
      <c r="L10" s="92"/>
      <c r="M10" s="92"/>
      <c r="N10" s="92"/>
      <c r="O10" s="92"/>
      <c r="P10" s="92"/>
      <c r="Q10" s="92"/>
      <c r="R10" s="85"/>
    </row>
    <row r="11" customFormat="false" ht="16.5" hidden="true" customHeight="true" outlineLevel="0" collapsed="false">
      <c r="B11" s="85"/>
      <c r="C11" s="94" t="n">
        <v>2016</v>
      </c>
      <c r="D11" s="84" t="s">
        <v>3</v>
      </c>
      <c r="E11" s="92"/>
      <c r="F11" s="92"/>
      <c r="G11" s="92"/>
      <c r="H11" s="92"/>
      <c r="I11" s="92"/>
      <c r="J11" s="92"/>
      <c r="K11" s="92"/>
      <c r="L11" s="92"/>
      <c r="M11" s="92"/>
      <c r="N11" s="92"/>
      <c r="O11" s="92"/>
      <c r="P11" s="92"/>
      <c r="Q11" s="92"/>
      <c r="R11" s="85"/>
    </row>
    <row r="12" customFormat="false" ht="16.5" hidden="true" customHeight="true" outlineLevel="0" collapsed="false">
      <c r="B12" s="85"/>
      <c r="C12" s="94" t="n">
        <v>2017</v>
      </c>
      <c r="D12" s="84" t="s">
        <v>3</v>
      </c>
      <c r="E12" s="92"/>
      <c r="F12" s="92"/>
      <c r="G12" s="92"/>
      <c r="H12" s="92"/>
      <c r="I12" s="92"/>
      <c r="J12" s="92"/>
      <c r="K12" s="92"/>
      <c r="L12" s="92"/>
      <c r="M12" s="92"/>
      <c r="N12" s="92"/>
      <c r="O12" s="92"/>
      <c r="P12" s="92"/>
      <c r="Q12" s="92"/>
      <c r="R12" s="85"/>
    </row>
    <row r="13" customFormat="false" ht="16.5" hidden="true" customHeight="true" outlineLevel="0" collapsed="false">
      <c r="B13" s="85"/>
      <c r="C13" s="94"/>
      <c r="D13" s="84" t="s">
        <v>26</v>
      </c>
      <c r="E13" s="92"/>
      <c r="F13" s="92"/>
      <c r="G13" s="92"/>
      <c r="H13" s="92"/>
      <c r="I13" s="92"/>
      <c r="J13" s="92"/>
      <c r="K13" s="92"/>
      <c r="L13" s="92"/>
      <c r="M13" s="92"/>
      <c r="N13" s="92"/>
      <c r="O13" s="92"/>
      <c r="P13" s="92"/>
      <c r="Q13" s="92"/>
      <c r="R13" s="85"/>
    </row>
    <row r="14" customFormat="false" ht="16.5" hidden="true" customHeight="true" outlineLevel="0" collapsed="false">
      <c r="B14" s="85"/>
      <c r="C14" s="94"/>
      <c r="D14" s="84" t="s">
        <v>50</v>
      </c>
      <c r="E14" s="92"/>
      <c r="F14" s="92"/>
      <c r="G14" s="92"/>
      <c r="H14" s="92"/>
      <c r="I14" s="92"/>
      <c r="J14" s="92"/>
      <c r="K14" s="92"/>
      <c r="L14" s="92"/>
      <c r="M14" s="92"/>
      <c r="N14" s="92"/>
      <c r="O14" s="92"/>
      <c r="P14" s="92"/>
      <c r="Q14" s="92"/>
      <c r="R14" s="85"/>
    </row>
    <row r="15" customFormat="false" ht="16.5" hidden="true" customHeight="true" outlineLevel="0" collapsed="false">
      <c r="B15" s="85"/>
      <c r="C15" s="94" t="n">
        <v>2018</v>
      </c>
      <c r="D15" s="84" t="s">
        <v>3</v>
      </c>
      <c r="E15" s="92"/>
      <c r="F15" s="92"/>
      <c r="G15" s="92"/>
      <c r="H15" s="92"/>
      <c r="I15" s="92"/>
      <c r="J15" s="92"/>
      <c r="K15" s="92"/>
      <c r="L15" s="92"/>
      <c r="M15" s="92"/>
      <c r="N15" s="92"/>
      <c r="O15" s="92"/>
      <c r="P15" s="92"/>
      <c r="Q15" s="92"/>
      <c r="R15" s="85"/>
    </row>
    <row r="16" customFormat="false" ht="16.5" hidden="true" customHeight="true" outlineLevel="0" collapsed="false">
      <c r="B16" s="85"/>
      <c r="C16" s="94"/>
      <c r="D16" s="84" t="s">
        <v>26</v>
      </c>
      <c r="E16" s="92"/>
      <c r="F16" s="92"/>
      <c r="G16" s="92"/>
      <c r="H16" s="92"/>
      <c r="I16" s="92"/>
      <c r="J16" s="92"/>
      <c r="K16" s="92"/>
      <c r="L16" s="92"/>
      <c r="M16" s="92"/>
      <c r="N16" s="92"/>
      <c r="O16" s="92"/>
      <c r="P16" s="92"/>
      <c r="Q16" s="92"/>
      <c r="R16" s="85"/>
    </row>
    <row r="17" customFormat="false" ht="16.5" hidden="true" customHeight="true" outlineLevel="0" collapsed="false">
      <c r="B17" s="85"/>
      <c r="C17" s="94"/>
      <c r="D17" s="84" t="s">
        <v>50</v>
      </c>
      <c r="E17" s="92"/>
      <c r="F17" s="92"/>
      <c r="G17" s="92"/>
      <c r="H17" s="92"/>
      <c r="I17" s="92"/>
      <c r="J17" s="92"/>
      <c r="K17" s="92"/>
      <c r="L17" s="92"/>
      <c r="M17" s="92"/>
      <c r="N17" s="92"/>
      <c r="O17" s="92"/>
      <c r="P17" s="92"/>
      <c r="Q17" s="92"/>
      <c r="R17" s="85"/>
    </row>
    <row r="18" customFormat="false" ht="16.5" hidden="true" customHeight="true" outlineLevel="0" collapsed="false">
      <c r="B18" s="85"/>
      <c r="C18" s="94" t="n">
        <v>2019</v>
      </c>
      <c r="D18" s="84" t="s">
        <v>3</v>
      </c>
      <c r="E18" s="92"/>
      <c r="F18" s="92"/>
      <c r="G18" s="92"/>
      <c r="H18" s="92"/>
      <c r="I18" s="92"/>
      <c r="J18" s="92"/>
      <c r="K18" s="92"/>
      <c r="L18" s="92"/>
      <c r="M18" s="92"/>
      <c r="N18" s="92"/>
      <c r="O18" s="92"/>
      <c r="P18" s="92"/>
      <c r="Q18" s="92"/>
      <c r="R18" s="85"/>
    </row>
    <row r="19" customFormat="false" ht="16.5" hidden="true" customHeight="true" outlineLevel="0" collapsed="false">
      <c r="B19" s="85"/>
      <c r="C19" s="94"/>
      <c r="D19" s="84" t="s">
        <v>26</v>
      </c>
      <c r="E19" s="92"/>
      <c r="F19" s="92"/>
      <c r="G19" s="92"/>
      <c r="H19" s="92"/>
      <c r="I19" s="92"/>
      <c r="J19" s="92"/>
      <c r="K19" s="92"/>
      <c r="L19" s="92"/>
      <c r="M19" s="92"/>
      <c r="N19" s="92"/>
      <c r="O19" s="92"/>
      <c r="P19" s="92"/>
      <c r="Q19" s="92"/>
      <c r="R19" s="85"/>
    </row>
    <row r="20" customFormat="false" ht="16.5" hidden="true" customHeight="true" outlineLevel="0" collapsed="false">
      <c r="B20" s="85"/>
      <c r="C20" s="94"/>
      <c r="D20" s="84" t="s">
        <v>50</v>
      </c>
      <c r="E20" s="92"/>
      <c r="F20" s="92"/>
      <c r="G20" s="92"/>
      <c r="H20" s="92"/>
      <c r="I20" s="92"/>
      <c r="J20" s="92"/>
      <c r="K20" s="92"/>
      <c r="L20" s="92"/>
      <c r="M20" s="92"/>
      <c r="N20" s="92"/>
      <c r="O20" s="92"/>
      <c r="P20" s="92"/>
      <c r="Q20" s="92"/>
      <c r="R20" s="85"/>
    </row>
    <row r="21" customFormat="false" ht="16.5" hidden="true" customHeight="true" outlineLevel="0" collapsed="false">
      <c r="B21" s="85"/>
      <c r="C21" s="94" t="n">
        <v>2020</v>
      </c>
      <c r="D21" s="84" t="s">
        <v>3</v>
      </c>
      <c r="E21" s="92"/>
      <c r="F21" s="92"/>
      <c r="G21" s="92"/>
      <c r="H21" s="92"/>
      <c r="I21" s="92"/>
      <c r="J21" s="92"/>
      <c r="K21" s="92"/>
      <c r="L21" s="92"/>
      <c r="M21" s="92"/>
      <c r="N21" s="92"/>
      <c r="O21" s="92"/>
      <c r="P21" s="92"/>
      <c r="Q21" s="92"/>
      <c r="R21" s="85"/>
    </row>
    <row r="22" customFormat="false" ht="16.5" hidden="true" customHeight="true" outlineLevel="0" collapsed="false">
      <c r="B22" s="85"/>
      <c r="C22" s="94"/>
      <c r="D22" s="84" t="s">
        <v>26</v>
      </c>
      <c r="E22" s="92"/>
      <c r="F22" s="92"/>
      <c r="G22" s="92"/>
      <c r="H22" s="92"/>
      <c r="I22" s="92"/>
      <c r="J22" s="92"/>
      <c r="K22" s="92"/>
      <c r="L22" s="92"/>
      <c r="M22" s="92"/>
      <c r="N22" s="92"/>
      <c r="O22" s="92"/>
      <c r="P22" s="92"/>
      <c r="Q22" s="92"/>
      <c r="R22" s="85"/>
    </row>
    <row r="23" customFormat="false" ht="16.5" hidden="true" customHeight="true" outlineLevel="0" collapsed="false">
      <c r="B23" s="85"/>
      <c r="C23" s="94"/>
      <c r="D23" s="84" t="s">
        <v>50</v>
      </c>
      <c r="E23" s="92"/>
      <c r="F23" s="92"/>
      <c r="G23" s="92"/>
      <c r="H23" s="92"/>
      <c r="I23" s="92"/>
      <c r="J23" s="92"/>
      <c r="K23" s="92"/>
      <c r="L23" s="92"/>
      <c r="M23" s="92"/>
      <c r="N23" s="92"/>
      <c r="O23" s="92"/>
      <c r="P23" s="92"/>
      <c r="Q23" s="92"/>
      <c r="R23" s="85"/>
    </row>
    <row r="24" customFormat="false" ht="16.5" hidden="true" customHeight="true" outlineLevel="0" collapsed="false">
      <c r="B24" s="85"/>
      <c r="C24" s="94" t="n">
        <v>2021</v>
      </c>
      <c r="D24" s="84" t="s">
        <v>3</v>
      </c>
      <c r="E24" s="92"/>
      <c r="F24" s="92"/>
      <c r="G24" s="92"/>
      <c r="H24" s="92"/>
      <c r="I24" s="92"/>
      <c r="J24" s="92"/>
      <c r="K24" s="92"/>
      <c r="L24" s="92"/>
      <c r="M24" s="92"/>
      <c r="N24" s="92"/>
      <c r="O24" s="92"/>
      <c r="P24" s="92"/>
      <c r="Q24" s="92"/>
      <c r="R24" s="85"/>
    </row>
    <row r="25" customFormat="false" ht="16.5" hidden="true" customHeight="true" outlineLevel="0" collapsed="false">
      <c r="B25" s="85"/>
      <c r="C25" s="94"/>
      <c r="D25" s="84" t="s">
        <v>26</v>
      </c>
      <c r="E25" s="92"/>
      <c r="F25" s="92"/>
      <c r="G25" s="92"/>
      <c r="H25" s="92"/>
      <c r="I25" s="92"/>
      <c r="J25" s="92"/>
      <c r="K25" s="92"/>
      <c r="L25" s="92"/>
      <c r="M25" s="92"/>
      <c r="N25" s="92"/>
      <c r="O25" s="92"/>
      <c r="P25" s="92"/>
      <c r="Q25" s="92"/>
      <c r="R25" s="85"/>
    </row>
    <row r="26" customFormat="false" ht="16.5" hidden="true" customHeight="true" outlineLevel="0" collapsed="false">
      <c r="B26" s="85"/>
      <c r="C26" s="94"/>
      <c r="D26" s="84" t="s">
        <v>50</v>
      </c>
      <c r="E26" s="92"/>
      <c r="F26" s="92"/>
      <c r="G26" s="92"/>
      <c r="H26" s="92"/>
      <c r="I26" s="92"/>
      <c r="J26" s="92"/>
      <c r="K26" s="92"/>
      <c r="L26" s="92"/>
      <c r="M26" s="92"/>
      <c r="N26" s="92"/>
      <c r="O26" s="92"/>
      <c r="P26" s="92"/>
      <c r="Q26" s="92"/>
      <c r="R26" s="85"/>
    </row>
    <row r="27" customFormat="false" ht="16.5" hidden="true" customHeight="true" outlineLevel="0" collapsed="false">
      <c r="B27" s="85"/>
      <c r="C27" s="94" t="n">
        <v>2022</v>
      </c>
      <c r="D27" s="84" t="s">
        <v>3</v>
      </c>
      <c r="E27" s="92"/>
      <c r="F27" s="92"/>
      <c r="G27" s="92"/>
      <c r="H27" s="92"/>
      <c r="I27" s="92"/>
      <c r="J27" s="92"/>
      <c r="K27" s="92"/>
      <c r="L27" s="92"/>
      <c r="M27" s="92"/>
      <c r="N27" s="92"/>
      <c r="O27" s="92"/>
      <c r="P27" s="92"/>
      <c r="Q27" s="92"/>
      <c r="R27" s="85"/>
    </row>
    <row r="28" customFormat="false" ht="16.5" hidden="true" customHeight="true" outlineLevel="0" collapsed="false">
      <c r="B28" s="85"/>
      <c r="C28" s="94"/>
      <c r="D28" s="84" t="s">
        <v>26</v>
      </c>
      <c r="E28" s="92"/>
      <c r="F28" s="92"/>
      <c r="G28" s="92"/>
      <c r="H28" s="92"/>
      <c r="I28" s="92"/>
      <c r="J28" s="92"/>
      <c r="K28" s="92"/>
      <c r="L28" s="92"/>
      <c r="M28" s="92"/>
      <c r="N28" s="92"/>
      <c r="O28" s="92"/>
      <c r="P28" s="92"/>
      <c r="Q28" s="92"/>
      <c r="R28" s="85"/>
    </row>
    <row r="29" customFormat="false" ht="16.5" hidden="true" customHeight="true" outlineLevel="0" collapsed="false">
      <c r="B29" s="85"/>
      <c r="C29" s="94"/>
      <c r="D29" s="84" t="s">
        <v>50</v>
      </c>
      <c r="E29" s="92"/>
      <c r="F29" s="92"/>
      <c r="G29" s="92"/>
      <c r="H29" s="92"/>
      <c r="I29" s="92"/>
      <c r="J29" s="92"/>
      <c r="K29" s="92"/>
      <c r="L29" s="92"/>
      <c r="M29" s="92"/>
      <c r="N29" s="92"/>
      <c r="O29" s="92"/>
      <c r="P29" s="92"/>
      <c r="Q29" s="92"/>
      <c r="R29" s="85"/>
    </row>
    <row r="30" customFormat="false" ht="16.5" hidden="false" customHeight="true" outlineLevel="0" collapsed="false">
      <c r="B30" s="85"/>
      <c r="C30" s="94" t="n">
        <v>2023</v>
      </c>
      <c r="D30" s="84" t="s">
        <v>3</v>
      </c>
      <c r="E30" s="92"/>
      <c r="F30" s="92"/>
      <c r="G30" s="92"/>
      <c r="H30" s="92"/>
      <c r="I30" s="92"/>
      <c r="J30" s="92"/>
      <c r="K30" s="92"/>
      <c r="L30" s="92"/>
      <c r="M30" s="92" t="n">
        <f aca="false">+'Datos ICP (2)'!AM77</f>
        <v>0</v>
      </c>
      <c r="N30" s="92" t="n">
        <f aca="false">+'Datos ICP (2)'!AN77</f>
        <v>0</v>
      </c>
      <c r="O30" s="92" t="n">
        <f aca="false">+'Datos ICP (2)'!AO77</f>
        <v>0</v>
      </c>
      <c r="P30" s="92" t="n">
        <f aca="false">+'Datos ICP (2)'!AP77</f>
        <v>0</v>
      </c>
      <c r="Q30" s="92" t="n">
        <f aca="false">+'Datos ICP (2)'!AQ77</f>
        <v>0</v>
      </c>
      <c r="R30" s="85"/>
    </row>
    <row r="31" customFormat="false" ht="16.5" hidden="false" customHeight="true" outlineLevel="0" collapsed="false">
      <c r="B31" s="85"/>
      <c r="C31" s="94"/>
      <c r="D31" s="84" t="s">
        <v>26</v>
      </c>
      <c r="E31" s="92"/>
      <c r="F31" s="92"/>
      <c r="G31" s="92"/>
      <c r="H31" s="92"/>
      <c r="I31" s="92"/>
      <c r="J31" s="92"/>
      <c r="K31" s="92"/>
      <c r="L31" s="92"/>
      <c r="M31" s="92" t="n">
        <f aca="false">+'Datos ICP (2)'!AM78</f>
        <v>0</v>
      </c>
      <c r="N31" s="92" t="n">
        <f aca="false">+'Datos ICP (2)'!AN78</f>
        <v>0</v>
      </c>
      <c r="O31" s="92" t="n">
        <f aca="false">+'Datos ICP (2)'!AO78</f>
        <v>0</v>
      </c>
      <c r="P31" s="92" t="n">
        <f aca="false">+'Datos ICP (2)'!AP78</f>
        <v>0</v>
      </c>
      <c r="Q31" s="92" t="n">
        <f aca="false">+'Datos ICP (2)'!AQ78</f>
        <v>0</v>
      </c>
      <c r="R31" s="85"/>
    </row>
    <row r="32" customFormat="false" ht="16.5" hidden="false" customHeight="true" outlineLevel="0" collapsed="false">
      <c r="B32" s="85"/>
      <c r="C32" s="94"/>
      <c r="D32" s="84" t="s">
        <v>39</v>
      </c>
      <c r="E32" s="92"/>
      <c r="F32" s="92"/>
      <c r="G32" s="92"/>
      <c r="H32" s="92"/>
      <c r="I32" s="92"/>
      <c r="J32" s="92"/>
      <c r="K32" s="92"/>
      <c r="L32" s="92"/>
      <c r="M32" s="92" t="n">
        <f aca="false">+'Datos ICP (2)'!AM79</f>
        <v>0</v>
      </c>
      <c r="N32" s="92" t="n">
        <f aca="false">+'Datos ICP (2)'!AN79</f>
        <v>0</v>
      </c>
      <c r="O32" s="92" t="n">
        <f aca="false">+'Datos ICP (2)'!AO79</f>
        <v>0</v>
      </c>
      <c r="P32" s="92" t="n">
        <f aca="false">+'Datos ICP (2)'!AP79</f>
        <v>0</v>
      </c>
      <c r="Q32" s="92" t="n">
        <f aca="false">+'Datos ICP (2)'!AQ79</f>
        <v>0</v>
      </c>
      <c r="R32" s="85"/>
    </row>
    <row r="33" customFormat="false" ht="16.5" hidden="false" customHeight="true" outlineLevel="0" collapsed="false">
      <c r="B33" s="85"/>
      <c r="C33" s="94" t="n">
        <v>2024</v>
      </c>
      <c r="D33" s="84" t="s">
        <v>3</v>
      </c>
      <c r="E33" s="92" t="n">
        <f aca="false">+'Datos ICP (2)'!AE80</f>
        <v>0</v>
      </c>
      <c r="F33" s="92" t="n">
        <f aca="false">+'Datos ICP (2)'!AF80</f>
        <v>0</v>
      </c>
      <c r="G33" s="92" t="n">
        <f aca="false">+'Datos ICP (2)'!AG80</f>
        <v>0</v>
      </c>
      <c r="H33" s="92" t="n">
        <f aca="false">+'Datos ICP (2)'!AH80</f>
        <v>0</v>
      </c>
      <c r="I33" s="92" t="n">
        <f aca="false">+'Datos ICP (2)'!AI80</f>
        <v>0</v>
      </c>
      <c r="J33" s="92" t="n">
        <f aca="false">+'Datos ICP (2)'!AJ80</f>
        <v>0</v>
      </c>
      <c r="K33" s="92" t="n">
        <f aca="false">+'Datos ICP (2)'!AK80</f>
        <v>0</v>
      </c>
      <c r="L33" s="92" t="n">
        <f aca="false">+'Datos ICP (2)'!AL80</f>
        <v>0</v>
      </c>
      <c r="M33" s="92" t="n">
        <f aca="false">+'Datos ICP (2)'!AM80</f>
        <v>0</v>
      </c>
      <c r="N33" s="92" t="n">
        <f aca="false">+'Datos ICP (2)'!AN80</f>
        <v>0</v>
      </c>
      <c r="O33" s="92" t="n">
        <f aca="false">+'Datos ICP (2)'!AO80</f>
        <v>0</v>
      </c>
      <c r="P33" s="92" t="n">
        <f aca="false">+'Datos ICP (2)'!AP80</f>
        <v>0</v>
      </c>
      <c r="Q33" s="92" t="n">
        <f aca="false">+'Datos ICP (2)'!AQ80</f>
        <v>0</v>
      </c>
      <c r="R33" s="85"/>
    </row>
    <row r="34" customFormat="false" ht="16.5" hidden="false" customHeight="true" outlineLevel="0" collapsed="false">
      <c r="B34" s="85"/>
      <c r="C34" s="94"/>
      <c r="D34" s="84" t="s">
        <v>26</v>
      </c>
      <c r="E34" s="92" t="n">
        <f aca="false">+'Datos ICP (2)'!AE81</f>
        <v>0</v>
      </c>
      <c r="F34" s="92" t="n">
        <f aca="false">+'Datos ICP (2)'!AF81</f>
        <v>0</v>
      </c>
      <c r="G34" s="92" t="n">
        <f aca="false">+'Datos ICP (2)'!AG81</f>
        <v>0</v>
      </c>
      <c r="H34" s="92" t="n">
        <f aca="false">+'Datos ICP (2)'!AH81</f>
        <v>0</v>
      </c>
      <c r="I34" s="92" t="n">
        <f aca="false">+'Datos ICP (2)'!AI81</f>
        <v>0</v>
      </c>
      <c r="J34" s="92" t="n">
        <f aca="false">+'Datos ICP (2)'!AJ81</f>
        <v>0</v>
      </c>
      <c r="K34" s="92" t="n">
        <f aca="false">+'Datos ICP (2)'!AK81</f>
        <v>0</v>
      </c>
      <c r="L34" s="92" t="n">
        <f aca="false">+'Datos ICP (2)'!AL81</f>
        <v>0</v>
      </c>
      <c r="M34" s="92" t="n">
        <f aca="false">+'Datos ICP (2)'!AM81</f>
        <v>0</v>
      </c>
      <c r="N34" s="92" t="n">
        <f aca="false">+'Datos ICP (2)'!AN81</f>
        <v>0</v>
      </c>
      <c r="O34" s="92" t="n">
        <f aca="false">+'Datos ICP (2)'!AO81</f>
        <v>0</v>
      </c>
      <c r="P34" s="92" t="n">
        <f aca="false">+'Datos ICP (2)'!AP81</f>
        <v>0</v>
      </c>
      <c r="Q34" s="92" t="n">
        <f aca="false">+'Datos ICP (2)'!AQ81</f>
        <v>0</v>
      </c>
      <c r="R34" s="85"/>
    </row>
    <row r="35" customFormat="false" ht="16.5" hidden="false" customHeight="true" outlineLevel="0" collapsed="false">
      <c r="B35" s="85"/>
      <c r="C35" s="94"/>
      <c r="D35" s="84" t="s">
        <v>39</v>
      </c>
      <c r="E35" s="92" t="n">
        <f aca="false">+'Datos ICP (2)'!AE82</f>
        <v>0</v>
      </c>
      <c r="F35" s="92" t="n">
        <f aca="false">+'Datos ICP (2)'!AF82</f>
        <v>0</v>
      </c>
      <c r="G35" s="92" t="n">
        <f aca="false">+'Datos ICP (2)'!AG82</f>
        <v>0</v>
      </c>
      <c r="H35" s="92" t="n">
        <f aca="false">+'Datos ICP (2)'!AH82</f>
        <v>0</v>
      </c>
      <c r="I35" s="92" t="n">
        <f aca="false">+'Datos ICP (2)'!AI82</f>
        <v>0</v>
      </c>
      <c r="J35" s="92" t="n">
        <f aca="false">+'Datos ICP (2)'!AJ82</f>
        <v>0</v>
      </c>
      <c r="K35" s="92" t="n">
        <f aca="false">+'Datos ICP (2)'!AK82</f>
        <v>0</v>
      </c>
      <c r="L35" s="92" t="n">
        <f aca="false">+'Datos ICP (2)'!AL82</f>
        <v>0</v>
      </c>
      <c r="M35" s="92" t="n">
        <f aca="false">+'Datos ICP (2)'!AM82</f>
        <v>0</v>
      </c>
      <c r="N35" s="92" t="n">
        <f aca="false">+'Datos ICP (2)'!AN82</f>
        <v>0</v>
      </c>
      <c r="O35" s="92" t="n">
        <f aca="false">+'Datos ICP (2)'!AO82</f>
        <v>0</v>
      </c>
      <c r="P35" s="92" t="n">
        <f aca="false">+'Datos ICP (2)'!AP82</f>
        <v>0</v>
      </c>
      <c r="Q35" s="92" t="n">
        <f aca="false">+'Datos ICP (2)'!AQ82</f>
        <v>0</v>
      </c>
      <c r="R35" s="85"/>
    </row>
    <row r="36" customFormat="false" ht="15" hidden="false" customHeight="false" outlineLevel="0" collapsed="false">
      <c r="C36" s="94" t="n">
        <v>2025</v>
      </c>
      <c r="D36" s="84" t="s">
        <v>3</v>
      </c>
      <c r="E36" s="92" t="n">
        <f aca="false">+'Datos ICP (2)'!AE83</f>
        <v>0.00445443017437541</v>
      </c>
      <c r="F36" s="92" t="n">
        <f aca="false">+'Datos ICP (2)'!AF83</f>
        <v>0.00389626305099444</v>
      </c>
      <c r="G36" s="92" t="n">
        <f aca="false">+'Datos ICP (2)'!AG83</f>
        <v>0.0043138020854181</v>
      </c>
      <c r="H36" s="92" t="n">
        <f aca="false">+'Datos ICP (2)'!AH83</f>
        <v>0.00417571644342774</v>
      </c>
      <c r="I36" s="92" t="n">
        <f aca="false">+'Datos ICP (2)'!AI83</f>
        <v>0.00417422694650416</v>
      </c>
      <c r="J36" s="92" t="n">
        <f aca="false">+'Datos ICP (2)'!AJ83</f>
        <v>0.00431456613652492</v>
      </c>
      <c r="K36" s="92" t="n">
        <f aca="false">+'Datos ICP (2)'!AK83</f>
        <v>0.00430626208344687</v>
      </c>
      <c r="L36" s="92" t="n">
        <f aca="false">+'Datos ICP (2)'!AL83</f>
        <v>0.00383327468941586</v>
      </c>
      <c r="M36" s="92" t="n">
        <f aca="false">+'Datos ICP (2)'!AM83</f>
        <v>0.00423004876441735</v>
      </c>
      <c r="N36" s="92" t="n">
        <f aca="false">+'Datos ICP (2)'!AN83</f>
        <v>0.00396619021077105</v>
      </c>
      <c r="O36" s="92" t="n">
        <f aca="false">+'Datos ICP (2)'!AO83</f>
        <v>0.00383243965233548</v>
      </c>
      <c r="P36" s="92" t="n">
        <f aca="false">+'Datos ICP (2)'!AP83</f>
        <v>0.00413946203577598</v>
      </c>
      <c r="Q36" s="92" t="n">
        <f aca="false">+'Datos ICP (2)'!AQ83</f>
        <v>0.0461215166375695</v>
      </c>
    </row>
    <row r="37" customFormat="false" ht="15" hidden="false" customHeight="false" outlineLevel="0" collapsed="false">
      <c r="C37" s="94"/>
      <c r="D37" s="84" t="s">
        <v>26</v>
      </c>
      <c r="E37" s="92" t="n">
        <f aca="false">+'Datos ICP (2)'!AE84</f>
        <v>0.00302021033404665</v>
      </c>
      <c r="F37" s="92" t="n">
        <f aca="false">+'Datos ICP (2)'!AF84</f>
        <v>0.00276213771028111</v>
      </c>
      <c r="G37" s="92" t="n">
        <f aca="false">+'Datos ICP (2)'!AG84</f>
        <v>0.00306282692323312</v>
      </c>
      <c r="H37" s="92" t="n">
        <f aca="false">+'Datos ICP (2)'!AH84</f>
        <v>0.00297594968581905</v>
      </c>
      <c r="I37" s="92" t="n">
        <f aca="false">+'Datos ICP (2)'!AI84</f>
        <v>0.00308976252279503</v>
      </c>
      <c r="J37" s="92" t="n">
        <f aca="false">+'Datos ICP (2)'!AJ84</f>
        <v>0.00299705245742721</v>
      </c>
      <c r="K37" s="92" t="n">
        <f aca="false">+'Datos ICP (2)'!AK84</f>
        <v>0.00304901446855221</v>
      </c>
      <c r="L37" s="92" t="n">
        <f aca="false">+'Datos ICP (2)'!AL84</f>
        <v>0.0029020820085115</v>
      </c>
      <c r="M37" s="92" t="n">
        <f aca="false">+'Datos ICP (2)'!AM84</f>
        <v>0.00276161496613736</v>
      </c>
      <c r="N37" s="92" t="n">
        <f aca="false">+'Datos ICP (2)'!AN84</f>
        <v>0.00286519472447866</v>
      </c>
      <c r="O37" s="92" t="n">
        <f aca="false">+'Datos ICP (2)'!AO84</f>
        <v>0.00279501576319907</v>
      </c>
      <c r="P37" s="92" t="n">
        <f aca="false">+'Datos ICP (2)'!AP84</f>
        <v>0.00283776649927603</v>
      </c>
      <c r="Q37" s="92" t="n">
        <f aca="false">+'Datos ICP (2)'!AQ84</f>
        <v>0.0325707862057447</v>
      </c>
    </row>
    <row r="38" customFormat="false" ht="15" hidden="false" customHeight="false" outlineLevel="0" collapsed="false">
      <c r="C38" s="94"/>
      <c r="D38" s="84" t="s">
        <v>39</v>
      </c>
      <c r="E38" s="92" t="n">
        <f aca="false">+'Datos ICP (2)'!AE85</f>
        <v>0</v>
      </c>
      <c r="F38" s="92" t="n">
        <f aca="false">+'Datos ICP (2)'!AF85</f>
        <v>0</v>
      </c>
      <c r="G38" s="92" t="n">
        <f aca="false">+'Datos ICP (2)'!AG85</f>
        <v>0</v>
      </c>
      <c r="H38" s="92" t="n">
        <f aca="false">+'Datos ICP (2)'!AH85</f>
        <v>0.00100100100100109</v>
      </c>
      <c r="I38" s="92" t="n">
        <f aca="false">+'Datos ICP (2)'!AI85</f>
        <v>0.000855400000000062</v>
      </c>
      <c r="J38" s="92" t="n">
        <f aca="false">+'Datos ICP (2)'!AJ85</f>
        <v>0.00736549955168342</v>
      </c>
      <c r="K38" s="92" t="n">
        <f aca="false">+'Datos ICP (2)'!AK85</f>
        <v>0.00620118163842442</v>
      </c>
      <c r="L38" s="92" t="n">
        <f aca="false">+'Datos ICP (2)'!AL85</f>
        <v>0.00612294345257269</v>
      </c>
      <c r="M38" s="92" t="n">
        <f aca="false">+'Datos ICP (2)'!AM85</f>
        <v>0.00576805321101115</v>
      </c>
      <c r="N38" s="92" t="n">
        <f aca="false">+'Datos ICP (2)'!AN85</f>
        <v>0.00650344873806019</v>
      </c>
      <c r="O38" s="92" t="n">
        <f aca="false">+'Datos ICP (2)'!AO85</f>
        <v>0.00581211970291551</v>
      </c>
      <c r="P38" s="92" t="n">
        <f aca="false">+'Datos ICP (2)'!AP85</f>
        <v>0.0062866841515421</v>
      </c>
      <c r="Q38" s="92" t="n">
        <f aca="false">+'Datos ICP (2)'!AQ85</f>
        <v>0.0468404404404403</v>
      </c>
    </row>
    <row r="39" customFormat="false" ht="15" hidden="false" customHeight="false" outlineLevel="0" collapsed="false">
      <c r="C39" s="94" t="n">
        <v>2026</v>
      </c>
      <c r="D39" s="84" t="s">
        <v>3</v>
      </c>
      <c r="E39" s="92" t="n">
        <f aca="false">+'Datos ICP (2)'!AE86</f>
        <v>0.00388234363273376</v>
      </c>
      <c r="F39" s="92" t="n">
        <f aca="false">+'Datos ICP (2)'!AF86</f>
        <v>0.00363126461056962</v>
      </c>
      <c r="G39" s="92" t="n">
        <f aca="false">+'Datos ICP (2)'!AG86</f>
        <v>0.0038819280865483</v>
      </c>
      <c r="H39" s="92" t="n">
        <f aca="false">+'Datos ICP (2)'!AH86</f>
        <v>-0.243672722859896</v>
      </c>
      <c r="I39" s="92"/>
      <c r="J39" s="92"/>
      <c r="K39" s="92"/>
      <c r="L39" s="92"/>
      <c r="M39" s="92"/>
      <c r="N39" s="92"/>
      <c r="O39" s="92"/>
      <c r="P39" s="92"/>
      <c r="Q39" s="92" t="n">
        <f aca="false">+'Datos ICP (2)'!AQ86</f>
        <v>-0.71393888658704</v>
      </c>
    </row>
    <row r="40" customFormat="false" ht="15" hidden="false" customHeight="false" outlineLevel="0" collapsed="false">
      <c r="C40" s="94"/>
      <c r="D40" s="84" t="s">
        <v>26</v>
      </c>
      <c r="E40" s="92" t="n">
        <f aca="false">+'Datos ICP (2)'!AE87</f>
        <v>0.00272443815472734</v>
      </c>
      <c r="F40" s="92" t="n">
        <f aca="false">+'Datos ICP (2)'!AF87</f>
        <v>0.00244521636660222</v>
      </c>
      <c r="G40" s="92" t="n">
        <f aca="false">+'Datos ICP (2)'!AG87</f>
        <v>0.00268777625151762</v>
      </c>
      <c r="H40" s="92" t="n">
        <f aca="false">+'Datos ICP (2)'!AH87</f>
        <v>-1</v>
      </c>
      <c r="I40" s="92"/>
      <c r="J40" s="92"/>
      <c r="K40" s="92"/>
      <c r="L40" s="92"/>
      <c r="M40" s="92"/>
      <c r="N40" s="92"/>
      <c r="O40" s="92"/>
      <c r="P40" s="92"/>
      <c r="Q40" s="92" t="n">
        <f aca="false">+'Datos ICP (2)'!AQ87</f>
        <v>-3</v>
      </c>
    </row>
    <row r="41" customFormat="false" ht="15" hidden="false" customHeight="false" outlineLevel="0" collapsed="false">
      <c r="C41" s="94"/>
      <c r="D41" s="84" t="s">
        <v>39</v>
      </c>
      <c r="E41" s="92" t="n">
        <f aca="false">+'Datos ICP (2)'!AE88</f>
        <v>0.00589408847022965</v>
      </c>
      <c r="F41" s="92" t="n">
        <f aca="false">+'Datos ICP (2)'!AF88</f>
        <v>0.00551048825542022</v>
      </c>
      <c r="G41" s="92" t="n">
        <f aca="false">+'Datos ICP (2)'!AG88</f>
        <v>0.00615199520796139</v>
      </c>
      <c r="H41" s="92" t="n">
        <f aca="false">+'Datos ICP (2)'!AH88</f>
        <v>0.00594355692777437</v>
      </c>
      <c r="I41" s="92"/>
      <c r="J41" s="92"/>
      <c r="K41" s="92"/>
      <c r="L41" s="92"/>
      <c r="M41" s="92"/>
      <c r="N41" s="92"/>
      <c r="O41" s="92"/>
      <c r="P41" s="92"/>
      <c r="Q41" s="92" t="n">
        <f aca="false">+'Datos ICP (2)'!AQ88</f>
        <v>0.0531283770372495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F1" colorId="64" zoomScale="100" zoomScaleNormal="100" zoomScalePageLayoutView="100" workbookViewId="0">
      <selection pane="topLeft" activeCell="P5" activeCellId="0" sqref="P5"/>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85"/>
    <col collapsed="false" customWidth="true" hidden="false" outlineLevel="0" max="16" min="16" style="0" width="9"/>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95"/>
      <c r="C1" s="96"/>
      <c r="J1" s="97" t="s">
        <v>51</v>
      </c>
      <c r="K1" s="95"/>
      <c r="L1" s="98"/>
      <c r="N1" s="97" t="s">
        <v>52</v>
      </c>
      <c r="O1" s="95"/>
      <c r="P1" s="98"/>
      <c r="R1" s="97" t="s">
        <v>53</v>
      </c>
      <c r="S1" s="95"/>
      <c r="T1" s="98"/>
    </row>
    <row r="2" customFormat="false" ht="15" hidden="false" customHeight="false" outlineLevel="0" collapsed="false">
      <c r="C2" s="96"/>
      <c r="O2" s="99" t="s">
        <v>54</v>
      </c>
      <c r="P2" s="100" t="n">
        <v>0</v>
      </c>
    </row>
    <row r="3" customFormat="false" ht="15" hidden="false" customHeight="false" outlineLevel="0" collapsed="false">
      <c r="C3" s="96"/>
      <c r="K3" s="99" t="s">
        <v>55</v>
      </c>
      <c r="L3" s="100" t="n">
        <v>0.6316</v>
      </c>
      <c r="O3" s="99" t="s">
        <v>56</v>
      </c>
      <c r="P3" s="100" t="n">
        <v>0</v>
      </c>
      <c r="S3" s="99" t="s">
        <v>57</v>
      </c>
      <c r="T3" s="100" t="n">
        <v>1</v>
      </c>
    </row>
    <row r="4" customFormat="false" ht="15" hidden="false" customHeight="false" outlineLevel="0" collapsed="false">
      <c r="C4" s="96"/>
      <c r="K4" s="99" t="s">
        <v>58</v>
      </c>
      <c r="L4" s="100" t="n">
        <v>0.28</v>
      </c>
      <c r="O4" s="99" t="s">
        <v>59</v>
      </c>
      <c r="P4" s="100" t="n">
        <v>0</v>
      </c>
      <c r="S4" s="99" t="s">
        <v>60</v>
      </c>
      <c r="T4" s="100" t="n">
        <v>0</v>
      </c>
    </row>
    <row r="5" customFormat="false" ht="15" hidden="false" customHeight="false" outlineLevel="0" collapsed="false">
      <c r="A5" s="95"/>
      <c r="B5" s="95"/>
      <c r="C5" s="96"/>
      <c r="K5" s="99" t="s">
        <v>61</v>
      </c>
      <c r="L5" s="100" t="n">
        <v>0.0884</v>
      </c>
      <c r="O5" s="99" t="s">
        <v>62</v>
      </c>
      <c r="P5" s="100" t="n">
        <v>0</v>
      </c>
    </row>
    <row r="6" customFormat="false" ht="15" hidden="false" customHeight="false" outlineLevel="0" collapsed="false">
      <c r="A6" s="95"/>
      <c r="B6" s="95"/>
      <c r="C6" s="96"/>
      <c r="K6" s="99" t="s">
        <v>63</v>
      </c>
      <c r="L6" s="100" t="n">
        <v>0</v>
      </c>
      <c r="O6" s="99" t="s">
        <v>64</v>
      </c>
      <c r="P6" s="100" t="n">
        <v>1</v>
      </c>
    </row>
    <row r="7" customFormat="false" ht="15" hidden="false" customHeight="false" outlineLevel="0" collapsed="false">
      <c r="B7" s="95"/>
      <c r="C7" s="96"/>
      <c r="L7" s="101" t="n">
        <f aca="false">SUM(L3:L6)</f>
        <v>1</v>
      </c>
      <c r="O7" s="99" t="s">
        <v>65</v>
      </c>
      <c r="P7" s="100" t="n">
        <v>0</v>
      </c>
      <c r="Q7" s="101"/>
    </row>
    <row r="8" customFormat="false" ht="15" hidden="false" customHeight="false" outlineLevel="0" collapsed="false">
      <c r="C8" s="96"/>
      <c r="O8" s="99" t="s">
        <v>66</v>
      </c>
      <c r="P8" s="100" t="n">
        <v>0</v>
      </c>
    </row>
    <row r="9" customFormat="false" ht="15" hidden="false" customHeight="false" outlineLevel="0" collapsed="false">
      <c r="C9" s="96"/>
      <c r="O9" s="99" t="s">
        <v>67</v>
      </c>
      <c r="P9" s="100" t="n">
        <v>0</v>
      </c>
    </row>
    <row r="10" customFormat="false" ht="15" hidden="false" customHeight="false" outlineLevel="0" collapsed="false">
      <c r="C10" s="96"/>
      <c r="O10" s="99" t="s">
        <v>68</v>
      </c>
      <c r="P10" s="100" t="n">
        <v>0</v>
      </c>
    </row>
    <row r="11" customFormat="false" ht="15" hidden="false" customHeight="false" outlineLevel="0" collapsed="false">
      <c r="C11" s="96"/>
      <c r="O11" s="99" t="s">
        <v>69</v>
      </c>
      <c r="P11" s="100" t="n">
        <v>0</v>
      </c>
    </row>
    <row r="12" customFormat="false" ht="15" hidden="true" customHeight="false" outlineLevel="0" collapsed="false">
      <c r="C12" s="96"/>
      <c r="O12" s="99"/>
      <c r="P12" s="100"/>
    </row>
    <row r="13" customFormat="false" ht="15" hidden="false" customHeight="false" outlineLevel="0" collapsed="false">
      <c r="C13" s="96"/>
      <c r="O13" s="99" t="s">
        <v>70</v>
      </c>
      <c r="P13" s="100" t="n">
        <v>0</v>
      </c>
    </row>
    <row r="14" customFormat="false" ht="15" hidden="true" customHeight="false" outlineLevel="0" collapsed="false">
      <c r="A14" s="95" t="s">
        <v>71</v>
      </c>
      <c r="B14" s="102" t="n">
        <v>0</v>
      </c>
      <c r="C14" s="96"/>
    </row>
    <row r="15" customFormat="false" ht="15" hidden="false" customHeight="false" outlineLevel="0" collapsed="false">
      <c r="A15" s="95"/>
      <c r="B15" s="102"/>
      <c r="C15" s="96"/>
      <c r="P15" s="101" t="n">
        <f aca="false">SUM(P2:P14)</f>
        <v>1</v>
      </c>
    </row>
    <row r="16" customFormat="false" ht="15" hidden="false" customHeight="false" outlineLevel="0" collapsed="false">
      <c r="B16" s="95"/>
      <c r="C16" s="96"/>
    </row>
    <row r="17" customFormat="false" ht="15" hidden="false" customHeight="false" outlineLevel="0" collapsed="false">
      <c r="C17" s="96"/>
    </row>
    <row r="18" customFormat="false" ht="15" hidden="false" customHeight="false" outlineLevel="0" collapsed="false">
      <c r="C18" s="96"/>
    </row>
    <row r="19" customFormat="false" ht="15" hidden="false" customHeight="false" outlineLevel="0" collapsed="false">
      <c r="C19" s="96"/>
    </row>
    <row r="20" customFormat="false" ht="15" hidden="false" customHeight="false" outlineLevel="0" collapsed="false">
      <c r="C20" s="96"/>
    </row>
    <row r="21" customFormat="false" ht="15" hidden="false" customHeight="false" outlineLevel="0" collapsed="false">
      <c r="C21" s="96"/>
      <c r="N21" s="103"/>
      <c r="O21" s="104"/>
    </row>
    <row r="22" customFormat="false" ht="15" hidden="false" customHeight="false" outlineLevel="0" collapsed="false">
      <c r="A22" s="96"/>
      <c r="B22" s="96"/>
      <c r="C22" s="96"/>
    </row>
    <row r="23" customFormat="false" ht="15" hidden="false" customHeight="false" outlineLevel="0" collapsed="false">
      <c r="A23" s="96"/>
      <c r="B23" s="96"/>
      <c r="C23" s="96"/>
    </row>
    <row r="24" customFormat="false" ht="15" hidden="false" customHeight="false" outlineLevel="0" collapsed="false">
      <c r="A24" s="96"/>
      <c r="B24" s="96"/>
      <c r="C24" s="96"/>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2026-05-19T15:28:14Z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