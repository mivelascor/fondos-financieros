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<sst xmlns="http://schemas.openxmlformats.org/spreadsheetml/2006/main" count="246" uniqueCount="72">
  <si>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</si>
  <si>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</si>
  <si>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</si>
  <si>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</si>
  <si>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</si>
  <si>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</si>
  <si>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</si>
  <si>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</si>
  <si>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</si>
  <si>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</si>
  <si>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</si>
  <si>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</si>
  <si>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</si>
  <si>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</si>
  <si>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</si>
  <si>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</si>
  <si>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</si>
  <si>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</si>
  <si>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</si>
  <si>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Activa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</si>
  <si>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</si>
  <si>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</si>
  <si>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</si>
  <si>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</si>
  <si>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</si>
  <si>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</si>
  <si>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</si>
  <si>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Activa</t>
  </si>
  <si>
    <t xml:space="preserve">(*) Acum a Mar</t>
  </si>
  <si>
    <t xml:space="preserve">FONDO LIQUIDEZ ACTIVA</t>
  </si>
  <si>
    <t xml:space="preserve">-</t>
  </si>
  <si>
    <t xml:space="preserve">ACTIVA</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</si>
  <si>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</si>
  <si>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</si>
  <si>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</si>
  <si>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</si>
  <si>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</si>
  <si>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</si>
  <si>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</si>
  <si>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ACTIVA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</si>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</sst>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2" borderId="0" xfId="0"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1" fontId="0"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71"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Activa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21471211"/>
        <c:axId val="15197694"/>
      </c:lineChart>
      <c:dateAx>
        <c:axId val="21471211"/>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5197694"/>
        <c:crosses val="autoZero"/>
        <c:auto val="1"/>
        <c:lblOffset val="100"/>
        <c:baseTimeUnit val="months"/>
        <c:majorUnit val="6"/>
        <c:majorTimeUnit val="months"/>
        <c:minorUnit val="6"/>
        <c:minorTimeUnit val="months"/>
        <c:noMultiLvlLbl val="0"/>
      </c:dateAx>
      <c:valAx>
        <c:axId val="1519769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147121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Activa</a:t>
            </a:r>
          </a:p>
        </c:rich>
      </c:tx>
      <c:overlay val="0"/>
      <c:spPr>
        <a:noFill/>
        <a:ln w="0">
          <a:noFill/>
        </a:ln>
      </c:spPr>
    </c:title>
    <c:autoTitleDeleted val="0"/>
    <c:plotArea>
      <c:lineChart>
        <c:grouping val="standard"/>
        <c:varyColors val="0"/>
        <c:ser>
          <c:idx val="0"/>
          <c:order val="0"/>
          <c:tx>
            <c:strRef>
              <c:f>"FIP Liquidez Activa"</c:f>
              <c:strCache>
                <c:ptCount val="1"/>
                <c:pt idx="0">
                  <c:v>FIP Liquidez Activa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(2)'!$J$237:$J$244</c:f>
              <c:numCache>
                <c:formatCode>#,##0.00</c:formatCode>
                <c:ptCount val="8"/>
                <c:pt idx="0">
                  <c:v>100</c:v>
                </c:pt>
                <c:pt idx="1">
                  <c:v>100.082780645161</c:v>
                </c:pt>
                <c:pt idx="2">
                  <c:v>100.819940321134</c:v>
                </c:pt>
                <c:pt idx="3">
                  <c:v>101.424975252786</c:v>
                </c:pt>
                <c:pt idx="4">
                  <c:v>102.025961757449</c:v>
                </c:pt>
                <c:pt idx="5">
                  <c:v>102.61445293377</c:v>
                </c:pt>
                <c:pt idx="6">
                  <c:v>103.260273418711</c:v>
                </c:pt>
                <c:pt idx="7">
                  <c:v>103.860434488376</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(2)'!$M$237:$M$244</c:f>
              <c:numCache>
                <c:formatCode>0.00</c:formatCode>
                <c:ptCount val="8"/>
                <c:pt idx="0">
                  <c:v>107.975703820493</c:v>
                </c:pt>
                <c:pt idx="1">
                  <c:v>108.298561191174</c:v>
                </c:pt>
                <c:pt idx="2">
                  <c:v>108.623137660128</c:v>
                </c:pt>
                <c:pt idx="3">
                  <c:v>108.943647516591</c:v>
                </c:pt>
                <c:pt idx="4">
                  <c:v>109.249612096655</c:v>
                </c:pt>
                <c:pt idx="5">
                  <c:v>109.551317460466</c:v>
                </c:pt>
                <c:pt idx="6">
                  <c:v>109.855077967093</c:v>
                </c:pt>
                <c:pt idx="7">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(2)'!$D$237:$D$244</c:f>
              <c:numCache>
                <c:formatCode>0.00</c:formatCode>
                <c:ptCount val="8"/>
                <c:pt idx="0">
                  <c:v>110.704304883999</c:v>
                </c:pt>
                <c:pt idx="1">
                  <c:v>111.151503167103</c:v>
                </c:pt>
                <c:pt idx="2">
                  <c:v>111.631073678691</c:v>
                </c:pt>
                <c:pt idx="3">
                  <c:v>112.096279478611</c:v>
                </c:pt>
                <c:pt idx="4">
                  <c:v>112.512114153679</c:v>
                </c:pt>
                <c:pt idx="5">
                  <c:v>112.988045883136</c:v>
                </c:pt>
                <c:pt idx="6">
                  <c:v>113.421722091055</c:v>
                </c:pt>
                <c:pt idx="7">
                  <c:v>113.856403996233</c:v>
                </c:pt>
              </c:numCache>
            </c:numRef>
          </c:val>
          <c:smooth val="0"/>
        </c:ser>
        <c:hiLowLines>
          <c:spPr>
            <a:ln w="0">
              <a:noFill/>
            </a:ln>
          </c:spPr>
        </c:hiLowLines>
        <c:marker val="1"/>
        <c:axId val="19417590"/>
        <c:axId val="92824377"/>
      </c:lineChart>
      <c:dateAx>
        <c:axId val="1941759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2824377"/>
        <c:auto val="1"/>
        <c:lblOffset val="100"/>
        <c:baseTimeUnit val="days"/>
        <c:noMultiLvlLbl val="0"/>
      </c:dateAx>
      <c:valAx>
        <c:axId val="92824377"/>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19417590"/>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0.6316</c:v>
                </c:pt>
                <c:pt idx="1">
                  <c:v>0.28</c:v>
                </c:pt>
                <c:pt idx="2">
                  <c:v>0.0884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41167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6480</xdr:colOff>
      <xdr:row>267</xdr:row>
      <xdr:rowOff>113400</xdr:rowOff>
    </xdr:from>
    <xdr:to>
      <xdr:col>11</xdr:col>
      <xdr:colOff>706680</xdr:colOff>
      <xdr:row>296</xdr:row>
      <xdr:rowOff>45000</xdr:rowOff>
    </xdr:to>
    <xdr:graphicFrame>
      <xdr:nvGraphicFramePr>
        <xdr:cNvPr id="1" name="Chart 2"/>
        <xdr:cNvGraphicFramePr/>
      </xdr:nvGraphicFramePr>
      <xdr:xfrm>
        <a:off x="2584440" y="51062760"/>
        <a:ext cx="935028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78" colorId="64" zoomScale="83" zoomScaleNormal="83"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42" min="31" style="3" width="11.57"/>
    <col collapsed="false" customWidth="true" hidden="false" outlineLevel="0" max="43" min="43" style="3" width="12"/>
    <col collapsed="false" customWidth="true" hidden="false" outlineLevel="0" max="44" min="44" style="3" width="4"/>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t="n">
        <f aca="false">AA3/N3-1</f>
        <v>-1</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A21" s="3" t="n">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1070.5872</v>
      </c>
      <c r="AX22" s="32" t="n">
        <f aca="false">LOOKUP(AX19,$F$2:$F$2972,$H$2:$H$2972)</f>
        <v>1064.2617</v>
      </c>
      <c r="AY22" s="32" t="n">
        <f aca="false">LOOKUP(AY19,$F$2:$F$2972,$H$2:$H$2972)</f>
        <v>1051.9576</v>
      </c>
      <c r="AZ22" s="32" t="n">
        <f aca="false">LOOKUP(AZ19,$F$2:$F$2972,$H$2:$H$2972)</f>
        <v>1033.2547</v>
      </c>
      <c r="BA22" s="32" t="n">
        <f aca="false">LOOKUP(BA19,$F$2:$F$2972,$H$2:$H$2972)</f>
        <v>1000</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3"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s">
        <v>30</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31</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32</v>
      </c>
      <c r="AX28" s="37" t="s">
        <v>33</v>
      </c>
      <c r="AY28" s="37" t="s">
        <v>34</v>
      </c>
      <c r="AZ28" s="37" t="s">
        <v>35</v>
      </c>
      <c r="BA28" s="37" t="s">
        <v>36</v>
      </c>
      <c r="BB28" s="37" t="s">
        <v>37</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38</v>
      </c>
      <c r="AX29" s="42" t="n">
        <f aca="false">$AW20/AX20-1</f>
        <v>-0.243672722859896</v>
      </c>
      <c r="AY29" s="42" t="n">
        <f aca="false">$AW20/AY20-1</f>
        <v>-0.237979628862347</v>
      </c>
      <c r="AZ29" s="42" t="n">
        <f aca="false">$AW20/AZ20-1</f>
        <v>-0.228910732364632</v>
      </c>
      <c r="BA29" s="43" t="n">
        <f aca="false">$AW20/BA20-1</f>
        <v>-0.209569757039683</v>
      </c>
      <c r="BB29" s="42"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3" t="n">
        <f aca="false">$AW21/BA21-1</f>
        <v>-1</v>
      </c>
      <c r="BB30" s="42"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39</v>
      </c>
      <c r="AX31" s="42" t="n">
        <f aca="false">$AW22/AX22-1</f>
        <v>0.00594355692777437</v>
      </c>
      <c r="AY31" s="42" t="n">
        <f aca="false">IFERROR(($AW22/AY22-1),0)</f>
        <v>0.0177094590124165</v>
      </c>
      <c r="AZ31" s="42" t="n">
        <f aca="false">IFERROR(($AW22/AZ22-1),0)</f>
        <v>0.0361309752571171</v>
      </c>
      <c r="BA31" s="43" t="n">
        <f aca="false">$AW22/BA22-1</f>
        <v>0.0705871999999999</v>
      </c>
      <c r="BB31" s="42" t="n">
        <f aca="false">+AQ88</f>
        <v>0.0531283770372495</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t="n">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+H236</f>
        <v>999</v>
      </c>
      <c r="Q36" s="20" t="n">
        <f aca="false">+G236</f>
        <v>999</v>
      </c>
      <c r="R36" s="20" t="n">
        <f aca="false">+H236</f>
        <v>999</v>
      </c>
      <c r="S36" s="20" t="n">
        <f aca="false">+H237</f>
        <v>1000</v>
      </c>
      <c r="T36" s="20" t="n">
        <f aca="false">+H238</f>
        <v>1000.8554</v>
      </c>
      <c r="U36" s="20" t="n">
        <f aca="false">+H239</f>
        <v>1008.2272</v>
      </c>
      <c r="V36" s="20" t="n">
        <f aca="false">+H240</f>
        <v>1014.4794</v>
      </c>
      <c r="W36" s="20" t="n">
        <f aca="false">+H241</f>
        <v>1020.691</v>
      </c>
      <c r="X36" s="20" t="n">
        <f aca="false">+H242</f>
        <v>1026.5784</v>
      </c>
      <c r="Y36" s="20" t="n">
        <f aca="false">+H243</f>
        <v>1033.2547</v>
      </c>
      <c r="Z36" s="20" t="n">
        <f aca="false">+H244</f>
        <v>1039.2601</v>
      </c>
      <c r="AA36" s="20" t="n">
        <f aca="false">+H245</f>
        <v>1045.7936</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1051.9576</v>
      </c>
      <c r="Q37" s="20" t="n">
        <f aca="false">+H247</f>
        <v>1057.7544</v>
      </c>
      <c r="R37" s="20" t="n">
        <f aca="false">+H248</f>
        <v>1064.2617</v>
      </c>
      <c r="S37" s="20" t="n">
        <f aca="false">+H249</f>
        <v>1070.5872</v>
      </c>
      <c r="T37" s="20"/>
      <c r="U37" s="20"/>
      <c r="V37" s="20"/>
      <c r="W37" s="20"/>
      <c r="X37" s="20"/>
      <c r="Y37" s="20"/>
      <c r="Z37" s="20"/>
      <c r="AA37" s="20"/>
      <c r="AD37" s="21" t="n">
        <v>2025</v>
      </c>
      <c r="AE37" s="22" t="n">
        <v>0</v>
      </c>
      <c r="AF37" s="22" t="n">
        <f aca="false">+(Q36/P36-1)</f>
        <v>0</v>
      </c>
      <c r="AG37" s="22" t="n">
        <f aca="false">+(R36/Q36-1)</f>
        <v>0</v>
      </c>
      <c r="AH37" s="22" t="n">
        <f aca="false">+(S36/R36-1)</f>
        <v>0.00100100100100109</v>
      </c>
      <c r="AI37" s="22" t="n">
        <f aca="false">+(T36/S36-1)</f>
        <v>0.000855400000000062</v>
      </c>
      <c r="AJ37" s="22" t="n">
        <f aca="false">+(U36/T36-1)</f>
        <v>0.00736549955168342</v>
      </c>
      <c r="AK37" s="22" t="n">
        <f aca="false">+(V36/U36-1)</f>
        <v>0.00620118163842442</v>
      </c>
      <c r="AL37" s="22" t="n">
        <f aca="false">+(W36/V36-1)</f>
        <v>0.00612294345257269</v>
      </c>
      <c r="AM37" s="22" t="n">
        <f aca="false">+(X36/W36-1)</f>
        <v>0.00576805321101115</v>
      </c>
      <c r="AN37" s="22" t="n">
        <f aca="false">+(Y36/X36-1)</f>
        <v>0.00650344873806019</v>
      </c>
      <c r="AO37" s="22" t="n">
        <f aca="false">+(Z36/Y36-1)</f>
        <v>0.00581211970291551</v>
      </c>
      <c r="AP37" s="22" t="n">
        <f aca="false">+(AA36/Z36-1)</f>
        <v>0.0062866841515421</v>
      </c>
      <c r="AQ37" s="23" t="n">
        <f aca="false">+(AA36/P36-1)/COUNTA(AE37:AP37)*12</f>
        <v>0.0468404404404403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0.00589408847022965</v>
      </c>
      <c r="AF38" s="22" t="n">
        <f aca="false">+(Q37/P37-1)</f>
        <v>0.00551048825542022</v>
      </c>
      <c r="AG38" s="22" t="n">
        <f aca="false">+(R37/Q37-1)</f>
        <v>0.00615199520796139</v>
      </c>
      <c r="AH38" s="22" t="n">
        <f aca="false">+(S37/R37-1)</f>
        <v>0.00594355692777437</v>
      </c>
      <c r="AQ38" s="23" t="n">
        <f aca="false">+(S37/P37-1)/COUNTA(AE38:AP38)*12</f>
        <v>0.0531283770372495</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8"/>
      <c r="Y44" s="48"/>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v>6069.3455</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18" t="n">
        <f aca="false">+K240</f>
        <v>6197.6884</v>
      </c>
      <c r="W50" s="18" t="n">
        <f aca="false">+K241</f>
        <v>6215.6746</v>
      </c>
      <c r="X50" s="18"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40</v>
      </c>
      <c r="AD54" s="51" t="s">
        <v>41</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v>
      </c>
      <c r="AP77" s="60" t="n">
        <f aca="false">+AP19</f>
        <v>0</v>
      </c>
      <c r="AQ77" s="60"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v>
      </c>
      <c r="AP78" s="60" t="n">
        <f aca="false">+AP48</f>
        <v>0</v>
      </c>
      <c r="AQ78" s="60"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v>
      </c>
      <c r="AP79" s="60" t="n">
        <f aca="false">+AP35</f>
        <v>0</v>
      </c>
      <c r="AQ79" s="60"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v>
      </c>
      <c r="AF80" s="60" t="n">
        <f aca="false">+AF20</f>
        <v>0</v>
      </c>
      <c r="AG80" s="60" t="n">
        <f aca="false">+AG20</f>
        <v>0</v>
      </c>
      <c r="AH80" s="60" t="n">
        <f aca="false">+AH20</f>
        <v>0</v>
      </c>
      <c r="AI80" s="60" t="n">
        <f aca="false">+AI20</f>
        <v>0</v>
      </c>
      <c r="AJ80" s="60" t="n">
        <f aca="false">+AJ20</f>
        <v>0</v>
      </c>
      <c r="AK80" s="60" t="n">
        <f aca="false">+AK20</f>
        <v>0</v>
      </c>
      <c r="AL80" s="60" t="n">
        <f aca="false">+AL20</f>
        <v>0</v>
      </c>
      <c r="AM80" s="60" t="n">
        <f aca="false">+AM20</f>
        <v>0</v>
      </c>
      <c r="AN80" s="60" t="n">
        <f aca="false">+AN20</f>
        <v>0</v>
      </c>
      <c r="AO80" s="60" t="n">
        <f aca="false">+AO20</f>
        <v>0</v>
      </c>
      <c r="AP80" s="60" t="n">
        <f aca="false">+AP20</f>
        <v>0</v>
      </c>
      <c r="AQ80" s="60"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v>
      </c>
      <c r="AF81" s="60" t="n">
        <f aca="false">+AF49</f>
        <v>0</v>
      </c>
      <c r="AG81" s="60" t="n">
        <f aca="false">+AG49</f>
        <v>0</v>
      </c>
      <c r="AH81" s="60" t="n">
        <f aca="false">+AH49</f>
        <v>0</v>
      </c>
      <c r="AI81" s="60" t="n">
        <f aca="false">+AI49</f>
        <v>0</v>
      </c>
      <c r="AJ81" s="60" t="n">
        <f aca="false">+AJ49</f>
        <v>0</v>
      </c>
      <c r="AK81" s="60" t="n">
        <f aca="false">+AK49</f>
        <v>0</v>
      </c>
      <c r="AL81" s="60" t="n">
        <f aca="false">+AL49</f>
        <v>0</v>
      </c>
      <c r="AM81" s="60" t="n">
        <f aca="false">+AM49</f>
        <v>0</v>
      </c>
      <c r="AN81" s="60" t="n">
        <f aca="false">+AN49</f>
        <v>0</v>
      </c>
      <c r="AO81" s="60" t="n">
        <f aca="false">+AO49</f>
        <v>0</v>
      </c>
      <c r="AP81" s="60" t="n">
        <f aca="false">+AP49</f>
        <v>0</v>
      </c>
      <c r="AQ81" s="60"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v>
      </c>
      <c r="AF82" s="60" t="n">
        <f aca="false">+AF36</f>
        <v>0</v>
      </c>
      <c r="AG82" s="60" t="n">
        <f aca="false">+AG36</f>
        <v>0</v>
      </c>
      <c r="AH82" s="60" t="n">
        <f aca="false">+AH36</f>
        <v>0</v>
      </c>
      <c r="AI82" s="60" t="n">
        <f aca="false">+AI36</f>
        <v>0</v>
      </c>
      <c r="AJ82" s="60" t="n">
        <f aca="false">+AJ36</f>
        <v>0</v>
      </c>
      <c r="AK82" s="60" t="n">
        <f aca="false">+AK36</f>
        <v>0</v>
      </c>
      <c r="AL82" s="60" t="n">
        <f aca="false">+AL36</f>
        <v>0</v>
      </c>
      <c r="AM82" s="60" t="n">
        <f aca="false">+AM36</f>
        <v>0</v>
      </c>
      <c r="AN82" s="60" t="n">
        <f aca="false">+AN36</f>
        <v>0</v>
      </c>
      <c r="AO82" s="60" t="n">
        <f aca="false">+AO36</f>
        <v>0</v>
      </c>
      <c r="AP82" s="60" t="n">
        <f aca="false">+AP36</f>
        <v>0</v>
      </c>
      <c r="AQ82" s="60"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0.00304901446855221</v>
      </c>
      <c r="AL84" s="60" t="n">
        <f aca="false">+AL50</f>
        <v>0.0029020820085115</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v>
      </c>
      <c r="AF85" s="60" t="n">
        <f aca="false">+AF37</f>
        <v>0</v>
      </c>
      <c r="AG85" s="60" t="n">
        <f aca="false">+AG37</f>
        <v>0</v>
      </c>
      <c r="AH85" s="60" t="n">
        <f aca="false">+AH37</f>
        <v>0.00100100100100109</v>
      </c>
      <c r="AI85" s="60" t="n">
        <f aca="false">+AI37</f>
        <v>0.000855400000000062</v>
      </c>
      <c r="AJ85" s="60" t="n">
        <f aca="false">+AJ37</f>
        <v>0.00736549955168342</v>
      </c>
      <c r="AK85" s="60" t="n">
        <f aca="false">+AK37</f>
        <v>0.00620118163842442</v>
      </c>
      <c r="AL85" s="60" t="n">
        <f aca="false">+AL37</f>
        <v>0.00612294345257269</v>
      </c>
      <c r="AM85" s="60" t="n">
        <f aca="false">+AM37</f>
        <v>0.00576805321101115</v>
      </c>
      <c r="AN85" s="60" t="n">
        <f aca="false">+AN37</f>
        <v>0.00650344873806019</v>
      </c>
      <c r="AO85" s="60" t="n">
        <f aca="false">+AO37</f>
        <v>0.00581211970291551</v>
      </c>
      <c r="AP85" s="60" t="n">
        <f aca="false">+AP37</f>
        <v>0.0062866841515421</v>
      </c>
      <c r="AQ85" s="60" t="n">
        <f aca="false">+AQ37</f>
        <v>0.0468404404404403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0.00589408847022965</v>
      </c>
      <c r="AF88" s="60" t="n">
        <f aca="false">+AF38</f>
        <v>0.00551048825542022</v>
      </c>
      <c r="AG88" s="60" t="n">
        <f aca="false">+AG38</f>
        <v>0.00615199520796139</v>
      </c>
      <c r="AH88" s="60" t="n">
        <f aca="false">+AH38</f>
        <v>0.00594355692777437</v>
      </c>
      <c r="AI88" s="60"/>
      <c r="AJ88" s="60"/>
      <c r="AK88" s="60"/>
      <c r="AL88" s="60"/>
      <c r="AM88" s="60"/>
      <c r="AN88" s="60"/>
      <c r="AO88" s="60"/>
      <c r="AP88" s="60"/>
      <c r="AQ88" s="60" t="n">
        <f aca="false">+AQ38</f>
        <v>0.0531283770372495</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43008</v>
      </c>
      <c r="AE98" s="62" t="n">
        <v>0.00311210000000006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43039</v>
      </c>
      <c r="AE99" s="62" t="n">
        <v>0.00266354947734888</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43069</v>
      </c>
      <c r="AE100" s="62" t="n">
        <v>0.00270401929468234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43100</v>
      </c>
      <c r="AE101" s="62" t="n">
        <v>0.00300965446914445</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43131</v>
      </c>
      <c r="AE102" s="62" t="n">
        <v>0.00473727239934226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43159</v>
      </c>
      <c r="AE103" s="62" t="n">
        <v>0.00378152301954046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43190</v>
      </c>
      <c r="AE104" s="62" t="n">
        <v>0.00300527511908573</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43220</v>
      </c>
      <c r="AE105" s="62" t="n">
        <v>0.00316130254575997</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43251</v>
      </c>
      <c r="AE106" s="62" t="n">
        <v>0.00310067866389014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43281</v>
      </c>
      <c r="AE107" s="62" t="n">
        <v>0.00287709140845549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43312</v>
      </c>
      <c r="AE108" s="62" t="n">
        <v>0.00279025405786912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43343</v>
      </c>
      <c r="AE109" s="62" t="n">
        <v>0.00269722002207049</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43373</v>
      </c>
      <c r="AE110" s="62" t="n">
        <v>0.00294678677406712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43404</v>
      </c>
      <c r="AE111" s="62" t="n">
        <v>0.00273411579812808</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43434</v>
      </c>
      <c r="AE112" s="62" t="n">
        <v>0.00284409288655185</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43465</v>
      </c>
      <c r="AE113" s="62" t="n">
        <v>0.00262659891580654</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43496</v>
      </c>
      <c r="AE114" s="62" t="n">
        <v>0.00281430328228941</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43524</v>
      </c>
      <c r="AE115" s="62" t="n">
        <v>0.00282360638687196</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43555</v>
      </c>
      <c r="AE116" s="62" t="n">
        <v>0.00286536279403882</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43585</v>
      </c>
      <c r="AE117" s="62" t="n">
        <v>0.00293240905161363</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+VLOOKUP(A148,[1]Simple!$A$3790:$B$3818,2)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+VLOOKUP(A149,[1]Simple!$A$3790:$B$3818,2)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999</v>
      </c>
      <c r="H236" s="4" t="n">
        <f aca="false">+G236+$S$148+$S$150+$S$152+$S$154+$S$156+$S$158</f>
        <v>999</v>
      </c>
      <c r="I236" s="25" t="n">
        <f aca="false">+IFERROR((H236/H235-1)/(F236-F235)*30,0)</f>
        <v>0</v>
      </c>
      <c r="J236" s="18"/>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1000</v>
      </c>
      <c r="H237" s="4" t="n">
        <f aca="false">+G237+$S$148+$S$150+$S$152+$S$154+$S$156+$S$158</f>
        <v>1000</v>
      </c>
      <c r="I237" s="25" t="n">
        <f aca="false">+(H237/H236-1)/(F237-F236)*30</f>
        <v>0.00100100100100109</v>
      </c>
      <c r="J237" s="18" t="n">
        <v>100</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1000.8554</v>
      </c>
      <c r="H238" s="4" t="n">
        <f aca="false">+G238+$S$148+$S$150+$S$152+$S$154+$S$156+$S$158</f>
        <v>1000.8554</v>
      </c>
      <c r="I238" s="25" t="n">
        <f aca="false">+(H238/H237-1)/(F238-F237)*30</f>
        <v>0.000827806451612963</v>
      </c>
      <c r="J238" s="18" t="n">
        <f aca="false">+J237*(1+I238)</f>
        <v>100.082780645161</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1008.2272</v>
      </c>
      <c r="H239" s="4" t="n">
        <f aca="false">+G239+$S$148+$S$150+$S$152+$S$154+$S$156+$S$158</f>
        <v>1008.2272</v>
      </c>
      <c r="I239" s="25" t="n">
        <f aca="false">+(H239/H238-1)/(F239-F238)*30</f>
        <v>0.00736549955168342</v>
      </c>
      <c r="J239" s="18" t="n">
        <f aca="false">+J238*(1+I239)</f>
        <v>100.819940321134</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1014.4794</v>
      </c>
      <c r="H240" s="4" t="n">
        <f aca="false">+G240+$S$148+$S$150+$S$152+$S$154+$S$156+$S$158</f>
        <v>1014.4794</v>
      </c>
      <c r="I240" s="25" t="n">
        <f aca="false">+(H240/H239-1)/(F240-F239)*30</f>
        <v>0.00600114352105589</v>
      </c>
      <c r="J240" s="18" t="n">
        <f aca="false">+J239*(1+I240)</f>
        <v>101.424975252786</v>
      </c>
      <c r="K240" s="18"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1020.691</v>
      </c>
      <c r="H241" s="4" t="n">
        <f aca="false">+G241+$S$148+$S$150+$S$152+$S$154+$S$156+$S$158</f>
        <v>1020.691</v>
      </c>
      <c r="I241" s="25" t="n">
        <f aca="false">+(H241/H240-1)/(F241-F240)*30</f>
        <v>0.00592542914765099</v>
      </c>
      <c r="J241" s="18" t="n">
        <f aca="false">+J240*(1+I241)</f>
        <v>102.025961757449</v>
      </c>
      <c r="K241" s="18"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1026.5784</v>
      </c>
      <c r="H242" s="4" t="n">
        <f aca="false">+G242+$S$148+$S$150+$S$152+$S$154+$S$156+$S$158</f>
        <v>1026.5784</v>
      </c>
      <c r="I242" s="25" t="n">
        <f aca="false">+(H242/H241-1)/(F242-F241)*30</f>
        <v>0.00576805321101115</v>
      </c>
      <c r="J242" s="18" t="n">
        <f aca="false">+J241*(1+I242)</f>
        <v>102.61445293377</v>
      </c>
      <c r="K242" s="18"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1033.2547</v>
      </c>
      <c r="H243" s="4" t="n">
        <f aca="false">+G243+$S$148+$S$150+$S$152+$S$154+$S$156+$S$158</f>
        <v>1033.2547</v>
      </c>
      <c r="I243" s="25" t="n">
        <f aca="false">+(H243/H242-1)/(F243-F242)*30</f>
        <v>0.00629366006909051</v>
      </c>
      <c r="J243" s="18" t="n">
        <f aca="false">+J242*(1+I243)</f>
        <v>103.260273418711</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1039.2601</v>
      </c>
      <c r="H244" s="4" t="n">
        <f aca="false">+G244+$S$148+$S$150+$S$152+$S$154+$S$156+$S$158</f>
        <v>1039.2601</v>
      </c>
      <c r="I244" s="25" t="n">
        <f aca="false">+(H244/H243-1)/(F244-F243)*30</f>
        <v>0.00581211970291551</v>
      </c>
      <c r="J244" s="18" t="n">
        <f aca="false">+J243*(1+I244)</f>
        <v>103.860434488376</v>
      </c>
      <c r="K244" s="3" t="n">
        <v>6268.169</v>
      </c>
      <c r="L244" s="25" t="n">
        <f aca="false">+(K244/K243-1)/(F244-F243)*30</f>
        <v>0.00279501576319907</v>
      </c>
      <c r="M244" s="19" t="n">
        <f aca="false">+M243*(1+L244)</f>
        <v>110.162124641678</v>
      </c>
    </row>
    <row r="245" customFormat="false" ht="15" hidden="false" customHeight="false" outlineLevel="0" collapsed="false">
      <c r="A245" s="69" t="n">
        <v>46022</v>
      </c>
      <c r="B245" s="70" t="n">
        <v>26035.82</v>
      </c>
      <c r="C245" s="25" t="n">
        <f aca="false">(B245/B244-1)/(A245-A244)*30</f>
        <v>0.00400593100236385</v>
      </c>
      <c r="D245" s="19" t="n">
        <f aca="false">+D244*(1+C245)</f>
        <v>114.312504894819</v>
      </c>
      <c r="F245" s="69" t="n">
        <v>46022</v>
      </c>
      <c r="G245" s="71" t="n">
        <v>1045.7936</v>
      </c>
      <c r="H245" s="4" t="n">
        <f aca="false">+G245+$S$148+$S$150+$S$152+$S$154+$S$156+$S$158</f>
        <v>1045.7936</v>
      </c>
      <c r="I245" s="25" t="n">
        <f aca="false">+IFERROR((H245/H244-1)/(F245-F244)*30,0)</f>
        <v>0.00608388788858913</v>
      </c>
      <c r="J245" s="18" t="n">
        <v>101</v>
      </c>
      <c r="K245" s="70" t="n">
        <v>6285.9566</v>
      </c>
      <c r="L245" s="25" t="n">
        <f aca="false">+(K245/K244-1)/(F245-F244)*30</f>
        <v>0.00274622564446067</v>
      </c>
      <c r="M245" s="19" t="n">
        <f aca="false">+M244*(1+L245)</f>
        <v>110.464654693417</v>
      </c>
    </row>
    <row r="246" customFormat="false" ht="15.75" hidden="false" customHeight="true" outlineLevel="0" collapsed="false">
      <c r="A246" s="69" t="n">
        <v>46053</v>
      </c>
      <c r="B246" s="70" t="n">
        <v>26136.9</v>
      </c>
      <c r="C246" s="25" t="n">
        <f aca="false">(B246/B245-1)/(A246-A245)*30</f>
        <v>0.00375710674135526</v>
      </c>
      <c r="D246" s="19" t="n">
        <f aca="false">+D245*(1+C246)</f>
        <v>114.741989177581</v>
      </c>
      <c r="F246" s="69" t="n">
        <v>46053</v>
      </c>
      <c r="G246" s="71" t="n">
        <v>1051.9576</v>
      </c>
      <c r="H246" s="4" t="n">
        <f aca="false">+G246+$S$148+$S$150+$S$152+$S$154+$S$156+$S$158</f>
        <v>1051.9576</v>
      </c>
      <c r="I246" s="25" t="n">
        <f aca="false">+(H246/H245-1)/(F246-F245)*30</f>
        <v>0.00570395658409321</v>
      </c>
      <c r="J246" s="18" t="n">
        <f aca="false">+J245*(1+I246)</f>
        <v>101.576099614993</v>
      </c>
      <c r="K246" s="70" t="n">
        <v>6303.0823</v>
      </c>
      <c r="L246" s="25" t="n">
        <f aca="false">+(K246/K245-1)/(F246-F245)*30</f>
        <v>0.00263655305296194</v>
      </c>
      <c r="M246" s="19" t="n">
        <f aca="false">+M245*(1+L246)</f>
        <v>110.755900615994</v>
      </c>
    </row>
    <row r="247" customFormat="false" ht="16.5" hidden="false" customHeight="true" outlineLevel="0" collapsed="false">
      <c r="A247" s="72" t="n">
        <v>46081</v>
      </c>
      <c r="B247" s="73" t="n">
        <v>26231.81</v>
      </c>
      <c r="C247" s="25" t="n">
        <f aca="false">(B247/B246-1)/(A247-A246)*30</f>
        <v>0.00389064065418173</v>
      </c>
      <c r="D247" s="19" t="n">
        <f aca="false">+D246*(1+C247)</f>
        <v>115.188409025417</v>
      </c>
      <c r="F247" s="72" t="n">
        <v>46081</v>
      </c>
      <c r="G247" s="71" t="n">
        <v>1057.7544</v>
      </c>
      <c r="H247" s="4" t="n">
        <f aca="false">+G247+$S$148+$S$150+$S$152+$S$154+$S$156+$S$158</f>
        <v>1057.7544</v>
      </c>
      <c r="I247" s="25" t="n">
        <f aca="false">+(H247/H246-1)/(F247-F246)*30</f>
        <v>0.00590409455937881</v>
      </c>
      <c r="J247" s="18" t="n">
        <f aca="false">+J246*(1+I247)</f>
        <v>102.175814512093</v>
      </c>
      <c r="K247" s="74" t="n">
        <v>6318.4947</v>
      </c>
      <c r="L247" s="25" t="n">
        <f aca="false">+(K247/K246-1)/(F247-F246)*30</f>
        <v>0.00261987467850238</v>
      </c>
      <c r="M247" s="19" t="n">
        <f aca="false">+M246*(1+L247)</f>
        <v>111.046067195512</v>
      </c>
    </row>
    <row r="248" customFormat="false" ht="16.5" hidden="false" customHeight="true" outlineLevel="0" collapsed="false">
      <c r="A248" s="72" t="n">
        <v>46112</v>
      </c>
      <c r="B248" s="73" t="n">
        <v>26333.64</v>
      </c>
      <c r="C248" s="25" t="n">
        <f aca="false">(B248/B247-1)/(A248-A247)*30</f>
        <v>0.00375670459988545</v>
      </c>
      <c r="D248" s="19" t="n">
        <f aca="false">+D247*(1+C248)</f>
        <v>115.621137851456</v>
      </c>
      <c r="F248" s="72" t="n">
        <v>46112</v>
      </c>
      <c r="G248" s="75" t="n">
        <v>1064.2617</v>
      </c>
      <c r="H248" s="4" t="n">
        <f aca="false">+G248+$S$148+$S$150+$S$152+$S$154+$S$156+$S$158</f>
        <v>1064.2617</v>
      </c>
      <c r="I248" s="25" t="n">
        <f aca="false">+(H248/H247-1)/(F248-F247)*30</f>
        <v>0.00595354374964006</v>
      </c>
      <c r="J248" s="18" t="n">
        <f aca="false">+J247*(1+I248)</f>
        <v>102.784122693946</v>
      </c>
      <c r="K248" s="76"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7" t="n">
        <v>1070.5872</v>
      </c>
      <c r="H249" s="4" t="n">
        <f aca="false">+G249+$S$148+$S$150+$S$152+$S$154+$S$156+$S$158</f>
        <v>1070.5872</v>
      </c>
      <c r="I249" s="25" t="n">
        <f aca="false">+(H249/H248-1)/(F249-F248)*30</f>
        <v>0.00594355692777437</v>
      </c>
      <c r="J249" s="18" t="n">
        <f aca="false">+J248*(1+I249)</f>
        <v>103.395025978449</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3" activeCellId="0" sqref="H33"/>
    </sheetView>
  </sheetViews>
  <sheetFormatPr defaultColWidth="11.42578125" defaultRowHeight="15" zeroHeight="false" outlineLevelRow="0" outlineLevelCol="0"/>
  <cols>
    <col collapsed="false" customWidth="true" hidden="false" outlineLevel="0" max="3" min="3" style="78"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9" t="s">
        <v>32</v>
      </c>
      <c r="T1" s="80" t="s">
        <v>33</v>
      </c>
      <c r="U1" s="80" t="s">
        <v>34</v>
      </c>
      <c r="V1" s="80" t="s">
        <v>35</v>
      </c>
      <c r="W1" s="80" t="s">
        <v>36</v>
      </c>
      <c r="X1" s="81" t="s">
        <v>47</v>
      </c>
    </row>
    <row r="2" customFormat="false" ht="15" hidden="false" customHeight="false" outlineLevel="0" collapsed="false">
      <c r="S2" s="82" t="s">
        <v>48</v>
      </c>
      <c r="T2" s="83" t="n">
        <f aca="false">+'Datos ICP (2)'!AX29</f>
        <v>-0.243672722859896</v>
      </c>
      <c r="U2" s="83" t="n">
        <f aca="false">+'Datos ICP (2)'!AY29</f>
        <v>-0.237979628862347</v>
      </c>
      <c r="V2" s="83" t="n">
        <f aca="false">+'Datos ICP (2)'!AZ29</f>
        <v>-0.228910732364632</v>
      </c>
      <c r="W2" s="83"/>
      <c r="X2" s="83" t="n">
        <f aca="false">+'Datos ICP (2)'!BB29</f>
        <v>-0.71393888658704</v>
      </c>
    </row>
    <row r="3" customFormat="false" ht="15" hidden="false" customHeight="false" outlineLevel="0" collapsed="false">
      <c r="S3" s="82" t="s">
        <v>26</v>
      </c>
      <c r="T3" s="83" t="n">
        <f aca="false">+'Datos ICP (2)'!AX30</f>
        <v>-1</v>
      </c>
      <c r="U3" s="83" t="n">
        <f aca="false">+'Datos ICP (2)'!AY30</f>
        <v>-1</v>
      </c>
      <c r="V3" s="83" t="n">
        <f aca="false">+'Datos ICP (2)'!AZ30</f>
        <v>-1</v>
      </c>
      <c r="W3" s="83"/>
      <c r="X3" s="83" t="n">
        <f aca="false">+'Datos ICP (2)'!BB30</f>
        <v>-3</v>
      </c>
    </row>
    <row r="4" customFormat="false" ht="15" hidden="false" customHeight="false" outlineLevel="0" collapsed="false">
      <c r="S4" s="84" t="s">
        <v>39</v>
      </c>
      <c r="T4" s="83" t="n">
        <f aca="false">+'Datos ICP (2)'!AX31</f>
        <v>0.00594355692777437</v>
      </c>
      <c r="U4" s="83" t="n">
        <f aca="false">+'Datos ICP (2)'!AY31</f>
        <v>0.0177094590124165</v>
      </c>
      <c r="V4" s="83" t="n">
        <f aca="false">+'Datos ICP (2)'!AZ31</f>
        <v>0.0361309752571171</v>
      </c>
      <c r="W4" s="83"/>
      <c r="X4" s="83" t="n">
        <f aca="false">+'Datos ICP (2)'!BB31</f>
        <v>0.0531283770372495</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31.5" hidden="false" customHeight="true" outlineLevel="0" collapsed="false">
      <c r="B6" s="85"/>
      <c r="C6" s="87" t="s">
        <v>40</v>
      </c>
      <c r="D6" s="88" t="s">
        <v>41</v>
      </c>
      <c r="E6" s="89" t="s">
        <v>4</v>
      </c>
      <c r="F6" s="89" t="s">
        <v>5</v>
      </c>
      <c r="G6" s="89" t="s">
        <v>6</v>
      </c>
      <c r="H6" s="89" t="s">
        <v>7</v>
      </c>
      <c r="I6" s="89" t="s">
        <v>8</v>
      </c>
      <c r="J6" s="89" t="s">
        <v>9</v>
      </c>
      <c r="K6" s="89" t="s">
        <v>10</v>
      </c>
      <c r="L6" s="89" t="s">
        <v>11</v>
      </c>
      <c r="M6" s="89" t="s">
        <v>12</v>
      </c>
      <c r="N6" s="89" t="s">
        <v>13</v>
      </c>
      <c r="O6" s="89" t="s">
        <v>14</v>
      </c>
      <c r="P6" s="89" t="s">
        <v>15</v>
      </c>
      <c r="Q6" s="90" t="s">
        <v>49</v>
      </c>
      <c r="R6" s="91"/>
    </row>
    <row r="7" customFormat="false" ht="9" hidden="false" customHeight="true" outlineLevel="0" collapsed="false">
      <c r="B7" s="85"/>
      <c r="C7" s="86"/>
      <c r="D7" s="85"/>
      <c r="E7" s="92"/>
      <c r="F7" s="92"/>
      <c r="G7" s="92"/>
      <c r="H7" s="92"/>
      <c r="I7" s="92"/>
      <c r="J7" s="92"/>
      <c r="K7" s="92"/>
      <c r="L7" s="92"/>
      <c r="M7" s="92"/>
      <c r="N7" s="92"/>
      <c r="O7" s="92"/>
      <c r="P7" s="92"/>
      <c r="Q7" s="92"/>
      <c r="R7" s="93"/>
    </row>
    <row r="8" customFormat="false" ht="16.5" hidden="true" customHeight="true" outlineLevel="0" collapsed="false">
      <c r="B8" s="85"/>
      <c r="C8" s="94" t="n">
        <v>2013</v>
      </c>
      <c r="D8" s="84" t="s">
        <v>3</v>
      </c>
      <c r="E8" s="92"/>
      <c r="F8" s="92"/>
      <c r="G8" s="92"/>
      <c r="H8" s="92"/>
      <c r="I8" s="92"/>
      <c r="J8" s="92"/>
      <c r="K8" s="92"/>
      <c r="L8" s="92"/>
      <c r="M8" s="92"/>
      <c r="N8" s="92"/>
      <c r="O8" s="92"/>
      <c r="P8" s="92"/>
      <c r="Q8" s="92"/>
      <c r="R8" s="85"/>
    </row>
    <row r="9" customFormat="false" ht="16.5" hidden="true" customHeight="true" outlineLevel="0" collapsed="false">
      <c r="B9" s="85"/>
      <c r="C9" s="94" t="n">
        <v>2014</v>
      </c>
      <c r="D9" s="84" t="s">
        <v>3</v>
      </c>
      <c r="E9" s="92"/>
      <c r="F9" s="92"/>
      <c r="G9" s="92"/>
      <c r="H9" s="92"/>
      <c r="I9" s="92"/>
      <c r="J9" s="92"/>
      <c r="K9" s="92"/>
      <c r="L9" s="92"/>
      <c r="M9" s="92"/>
      <c r="N9" s="92"/>
      <c r="O9" s="92"/>
      <c r="P9" s="92"/>
      <c r="Q9" s="92"/>
      <c r="R9" s="85"/>
    </row>
    <row r="10" customFormat="false" ht="16.5" hidden="true" customHeight="true" outlineLevel="0" collapsed="false">
      <c r="B10" s="85"/>
      <c r="C10" s="94" t="n">
        <v>2015</v>
      </c>
      <c r="D10" s="84" t="s">
        <v>3</v>
      </c>
      <c r="E10" s="92"/>
      <c r="F10" s="92"/>
      <c r="G10" s="92"/>
      <c r="H10" s="92"/>
      <c r="I10" s="92"/>
      <c r="J10" s="92"/>
      <c r="K10" s="92"/>
      <c r="L10" s="92"/>
      <c r="M10" s="92"/>
      <c r="N10" s="92"/>
      <c r="O10" s="92"/>
      <c r="P10" s="92"/>
      <c r="Q10" s="92"/>
      <c r="R10" s="85"/>
    </row>
    <row r="11" customFormat="false" ht="16.5" hidden="true" customHeight="true" outlineLevel="0" collapsed="false">
      <c r="B11" s="85"/>
      <c r="C11" s="94" t="n">
        <v>2016</v>
      </c>
      <c r="D11" s="84" t="s">
        <v>3</v>
      </c>
      <c r="E11" s="92"/>
      <c r="F11" s="92"/>
      <c r="G11" s="92"/>
      <c r="H11" s="92"/>
      <c r="I11" s="92"/>
      <c r="J11" s="92"/>
      <c r="K11" s="92"/>
      <c r="L11" s="92"/>
      <c r="M11" s="92"/>
      <c r="N11" s="92"/>
      <c r="O11" s="92"/>
      <c r="P11" s="92"/>
      <c r="Q11" s="92"/>
      <c r="R11" s="85"/>
    </row>
    <row r="12" customFormat="false" ht="16.5" hidden="true" customHeight="true" outlineLevel="0" collapsed="false">
      <c r="B12" s="85"/>
      <c r="C12" s="94" t="n">
        <v>2017</v>
      </c>
      <c r="D12" s="84" t="s">
        <v>3</v>
      </c>
      <c r="E12" s="92"/>
      <c r="F12" s="92"/>
      <c r="G12" s="92"/>
      <c r="H12" s="92"/>
      <c r="I12" s="92"/>
      <c r="J12" s="92"/>
      <c r="K12" s="92"/>
      <c r="L12" s="92"/>
      <c r="M12" s="92"/>
      <c r="N12" s="92"/>
      <c r="O12" s="92"/>
      <c r="P12" s="92"/>
      <c r="Q12" s="92"/>
      <c r="R12" s="85"/>
    </row>
    <row r="13" customFormat="false" ht="16.5" hidden="true" customHeight="true" outlineLevel="0" collapsed="false">
      <c r="B13" s="85"/>
      <c r="C13" s="94"/>
      <c r="D13" s="84" t="s">
        <v>26</v>
      </c>
      <c r="E13" s="92"/>
      <c r="F13" s="92"/>
      <c r="G13" s="92"/>
      <c r="H13" s="92"/>
      <c r="I13" s="92"/>
      <c r="J13" s="92"/>
      <c r="K13" s="92"/>
      <c r="L13" s="92"/>
      <c r="M13" s="92"/>
      <c r="N13" s="92"/>
      <c r="O13" s="92"/>
      <c r="P13" s="92"/>
      <c r="Q13" s="92"/>
      <c r="R13" s="85"/>
    </row>
    <row r="14" customFormat="false" ht="16.5" hidden="true" customHeight="true" outlineLevel="0" collapsed="false">
      <c r="B14" s="85"/>
      <c r="C14" s="94"/>
      <c r="D14" s="84" t="s">
        <v>50</v>
      </c>
      <c r="E14" s="92"/>
      <c r="F14" s="92"/>
      <c r="G14" s="92"/>
      <c r="H14" s="92"/>
      <c r="I14" s="92"/>
      <c r="J14" s="92"/>
      <c r="K14" s="92"/>
      <c r="L14" s="92"/>
      <c r="M14" s="92"/>
      <c r="N14" s="92"/>
      <c r="O14" s="92"/>
      <c r="P14" s="92"/>
      <c r="Q14" s="92"/>
      <c r="R14" s="85"/>
    </row>
    <row r="15" customFormat="false" ht="16.5" hidden="true" customHeight="true" outlineLevel="0" collapsed="false">
      <c r="B15" s="85"/>
      <c r="C15" s="94" t="n">
        <v>2018</v>
      </c>
      <c r="D15" s="84" t="s">
        <v>3</v>
      </c>
      <c r="E15" s="92"/>
      <c r="F15" s="92"/>
      <c r="G15" s="92"/>
      <c r="H15" s="92"/>
      <c r="I15" s="92"/>
      <c r="J15" s="92"/>
      <c r="K15" s="92"/>
      <c r="L15" s="92"/>
      <c r="M15" s="92"/>
      <c r="N15" s="92"/>
      <c r="O15" s="92"/>
      <c r="P15" s="92"/>
      <c r="Q15" s="92"/>
      <c r="R15" s="85"/>
    </row>
    <row r="16" customFormat="false" ht="16.5" hidden="true" customHeight="true" outlineLevel="0" collapsed="false">
      <c r="B16" s="85"/>
      <c r="C16" s="94"/>
      <c r="D16" s="84" t="s">
        <v>26</v>
      </c>
      <c r="E16" s="92"/>
      <c r="F16" s="92"/>
      <c r="G16" s="92"/>
      <c r="H16" s="92"/>
      <c r="I16" s="92"/>
      <c r="J16" s="92"/>
      <c r="K16" s="92"/>
      <c r="L16" s="92"/>
      <c r="M16" s="92"/>
      <c r="N16" s="92"/>
      <c r="O16" s="92"/>
      <c r="P16" s="92"/>
      <c r="Q16" s="92"/>
      <c r="R16" s="85"/>
    </row>
    <row r="17" customFormat="false" ht="16.5" hidden="true" customHeight="true" outlineLevel="0" collapsed="false">
      <c r="B17" s="85"/>
      <c r="C17" s="94"/>
      <c r="D17" s="84" t="s">
        <v>50</v>
      </c>
      <c r="E17" s="92"/>
      <c r="F17" s="92"/>
      <c r="G17" s="92"/>
      <c r="H17" s="92"/>
      <c r="I17" s="92"/>
      <c r="J17" s="92"/>
      <c r="K17" s="92"/>
      <c r="L17" s="92"/>
      <c r="M17" s="92"/>
      <c r="N17" s="92"/>
      <c r="O17" s="92"/>
      <c r="P17" s="92"/>
      <c r="Q17" s="92"/>
      <c r="R17" s="85"/>
    </row>
    <row r="18" customFormat="false" ht="16.5" hidden="true" customHeight="true" outlineLevel="0" collapsed="false">
      <c r="B18" s="85"/>
      <c r="C18" s="94" t="n">
        <v>2019</v>
      </c>
      <c r="D18" s="84" t="s">
        <v>3</v>
      </c>
      <c r="E18" s="92"/>
      <c r="F18" s="92"/>
      <c r="G18" s="92"/>
      <c r="H18" s="92"/>
      <c r="I18" s="92"/>
      <c r="J18" s="92"/>
      <c r="K18" s="92"/>
      <c r="L18" s="92"/>
      <c r="M18" s="92"/>
      <c r="N18" s="92"/>
      <c r="O18" s="92"/>
      <c r="P18" s="92"/>
      <c r="Q18" s="92"/>
      <c r="R18" s="85"/>
    </row>
    <row r="19" customFormat="false" ht="16.5" hidden="true" customHeight="true" outlineLevel="0" collapsed="false">
      <c r="B19" s="85"/>
      <c r="C19" s="94"/>
      <c r="D19" s="84" t="s">
        <v>26</v>
      </c>
      <c r="E19" s="92"/>
      <c r="F19" s="92"/>
      <c r="G19" s="92"/>
      <c r="H19" s="92"/>
      <c r="I19" s="92"/>
      <c r="J19" s="92"/>
      <c r="K19" s="92"/>
      <c r="L19" s="92"/>
      <c r="M19" s="92"/>
      <c r="N19" s="92"/>
      <c r="O19" s="92"/>
      <c r="P19" s="92"/>
      <c r="Q19" s="92"/>
      <c r="R19" s="85"/>
    </row>
    <row r="20" customFormat="false" ht="16.5" hidden="true" customHeight="true" outlineLevel="0" collapsed="false">
      <c r="B20" s="85"/>
      <c r="C20" s="94"/>
      <c r="D20" s="84" t="s">
        <v>50</v>
      </c>
      <c r="E20" s="92"/>
      <c r="F20" s="92"/>
      <c r="G20" s="92"/>
      <c r="H20" s="92"/>
      <c r="I20" s="92"/>
      <c r="J20" s="92"/>
      <c r="K20" s="92"/>
      <c r="L20" s="92"/>
      <c r="M20" s="92"/>
      <c r="N20" s="92"/>
      <c r="O20" s="92"/>
      <c r="P20" s="92"/>
      <c r="Q20" s="92"/>
      <c r="R20" s="85"/>
    </row>
    <row r="21" customFormat="false" ht="16.5" hidden="true" customHeight="true" outlineLevel="0" collapsed="false">
      <c r="B21" s="85"/>
      <c r="C21" s="94" t="n">
        <v>2020</v>
      </c>
      <c r="D21" s="84" t="s">
        <v>3</v>
      </c>
      <c r="E21" s="92"/>
      <c r="F21" s="92"/>
      <c r="G21" s="92"/>
      <c r="H21" s="92"/>
      <c r="I21" s="92"/>
      <c r="J21" s="92"/>
      <c r="K21" s="92"/>
      <c r="L21" s="92"/>
      <c r="M21" s="92"/>
      <c r="N21" s="92"/>
      <c r="O21" s="92"/>
      <c r="P21" s="92"/>
      <c r="Q21" s="92"/>
      <c r="R21" s="85"/>
    </row>
    <row r="22" customFormat="false" ht="16.5" hidden="true" customHeight="true" outlineLevel="0" collapsed="false">
      <c r="B22" s="85"/>
      <c r="C22" s="94"/>
      <c r="D22" s="84" t="s">
        <v>26</v>
      </c>
      <c r="E22" s="92"/>
      <c r="F22" s="92"/>
      <c r="G22" s="92"/>
      <c r="H22" s="92"/>
      <c r="I22" s="92"/>
      <c r="J22" s="92"/>
      <c r="K22" s="92"/>
      <c r="L22" s="92"/>
      <c r="M22" s="92"/>
      <c r="N22" s="92"/>
      <c r="O22" s="92"/>
      <c r="P22" s="92"/>
      <c r="Q22" s="92"/>
      <c r="R22" s="85"/>
    </row>
    <row r="23" customFormat="false" ht="16.5" hidden="true" customHeight="true" outlineLevel="0" collapsed="false">
      <c r="B23" s="85"/>
      <c r="C23" s="94"/>
      <c r="D23" s="84" t="s">
        <v>50</v>
      </c>
      <c r="E23" s="92"/>
      <c r="F23" s="92"/>
      <c r="G23" s="92"/>
      <c r="H23" s="92"/>
      <c r="I23" s="92"/>
      <c r="J23" s="92"/>
      <c r="K23" s="92"/>
      <c r="L23" s="92"/>
      <c r="M23" s="92"/>
      <c r="N23" s="92"/>
      <c r="O23" s="92"/>
      <c r="P23" s="92"/>
      <c r="Q23" s="92"/>
      <c r="R23" s="85"/>
    </row>
    <row r="24" customFormat="false" ht="16.5" hidden="true" customHeight="true" outlineLevel="0" collapsed="false">
      <c r="B24" s="85"/>
      <c r="C24" s="94" t="n">
        <v>2021</v>
      </c>
      <c r="D24" s="84" t="s">
        <v>3</v>
      </c>
      <c r="E24" s="92"/>
      <c r="F24" s="92"/>
      <c r="G24" s="92"/>
      <c r="H24" s="92"/>
      <c r="I24" s="92"/>
      <c r="J24" s="92"/>
      <c r="K24" s="92"/>
      <c r="L24" s="92"/>
      <c r="M24" s="92"/>
      <c r="N24" s="92"/>
      <c r="O24" s="92"/>
      <c r="P24" s="92"/>
      <c r="Q24" s="92"/>
      <c r="R24" s="85"/>
    </row>
    <row r="25" customFormat="false" ht="16.5" hidden="true" customHeight="true" outlineLevel="0" collapsed="false">
      <c r="B25" s="85"/>
      <c r="C25" s="94"/>
      <c r="D25" s="84" t="s">
        <v>26</v>
      </c>
      <c r="E25" s="92"/>
      <c r="F25" s="92"/>
      <c r="G25" s="92"/>
      <c r="H25" s="92"/>
      <c r="I25" s="92"/>
      <c r="J25" s="92"/>
      <c r="K25" s="92"/>
      <c r="L25" s="92"/>
      <c r="M25" s="92"/>
      <c r="N25" s="92"/>
      <c r="O25" s="92"/>
      <c r="P25" s="92"/>
      <c r="Q25" s="92"/>
      <c r="R25" s="85"/>
    </row>
    <row r="26" customFormat="false" ht="16.5" hidden="true" customHeight="true" outlineLevel="0" collapsed="false">
      <c r="B26" s="85"/>
      <c r="C26" s="94"/>
      <c r="D26" s="84" t="s">
        <v>50</v>
      </c>
      <c r="E26" s="92"/>
      <c r="F26" s="92"/>
      <c r="G26" s="92"/>
      <c r="H26" s="92"/>
      <c r="I26" s="92"/>
      <c r="J26" s="92"/>
      <c r="K26" s="92"/>
      <c r="L26" s="92"/>
      <c r="M26" s="92"/>
      <c r="N26" s="92"/>
      <c r="O26" s="92"/>
      <c r="P26" s="92"/>
      <c r="Q26" s="92"/>
      <c r="R26" s="85"/>
    </row>
    <row r="27" customFormat="false" ht="16.5" hidden="true" customHeight="true" outlineLevel="0" collapsed="false">
      <c r="B27" s="85"/>
      <c r="C27" s="94" t="n">
        <v>2022</v>
      </c>
      <c r="D27" s="84" t="s">
        <v>3</v>
      </c>
      <c r="E27" s="92"/>
      <c r="F27" s="92"/>
      <c r="G27" s="92"/>
      <c r="H27" s="92"/>
      <c r="I27" s="92"/>
      <c r="J27" s="92"/>
      <c r="K27" s="92"/>
      <c r="L27" s="92"/>
      <c r="M27" s="92"/>
      <c r="N27" s="92"/>
      <c r="O27" s="92"/>
      <c r="P27" s="92"/>
      <c r="Q27" s="92"/>
      <c r="R27" s="85"/>
    </row>
    <row r="28" customFormat="false" ht="16.5" hidden="true" customHeight="true" outlineLevel="0" collapsed="false">
      <c r="B28" s="85"/>
      <c r="C28" s="94"/>
      <c r="D28" s="84" t="s">
        <v>26</v>
      </c>
      <c r="E28" s="92"/>
      <c r="F28" s="92"/>
      <c r="G28" s="92"/>
      <c r="H28" s="92"/>
      <c r="I28" s="92"/>
      <c r="J28" s="92"/>
      <c r="K28" s="92"/>
      <c r="L28" s="92"/>
      <c r="M28" s="92"/>
      <c r="N28" s="92"/>
      <c r="O28" s="92"/>
      <c r="P28" s="92"/>
      <c r="Q28" s="92"/>
      <c r="R28" s="85"/>
    </row>
    <row r="29" customFormat="false" ht="16.5" hidden="true" customHeight="true" outlineLevel="0" collapsed="false">
      <c r="B29" s="85"/>
      <c r="C29" s="94"/>
      <c r="D29" s="84" t="s">
        <v>50</v>
      </c>
      <c r="E29" s="92"/>
      <c r="F29" s="92"/>
      <c r="G29" s="92"/>
      <c r="H29" s="92"/>
      <c r="I29" s="92"/>
      <c r="J29" s="92"/>
      <c r="K29" s="92"/>
      <c r="L29" s="92"/>
      <c r="M29" s="92"/>
      <c r="N29" s="92"/>
      <c r="O29" s="92"/>
      <c r="P29" s="92"/>
      <c r="Q29" s="92"/>
      <c r="R29" s="85"/>
    </row>
    <row r="30" customFormat="false" ht="16.5" hidden="false" customHeight="true" outlineLevel="0" collapsed="false">
      <c r="B30" s="85"/>
      <c r="C30" s="94" t="n">
        <v>2023</v>
      </c>
      <c r="D30" s="84" t="s">
        <v>3</v>
      </c>
      <c r="E30" s="92"/>
      <c r="F30" s="92"/>
      <c r="G30" s="92"/>
      <c r="H30" s="92"/>
      <c r="I30" s="92"/>
      <c r="J30" s="92"/>
      <c r="K30" s="92"/>
      <c r="L30" s="92"/>
      <c r="M30" s="92" t="n">
        <f aca="false">+'Datos ICP (2)'!AM77</f>
        <v>0</v>
      </c>
      <c r="N30" s="92" t="n">
        <f aca="false">+'Datos ICP (2)'!AN77</f>
        <v>0</v>
      </c>
      <c r="O30" s="92" t="n">
        <f aca="false">+'Datos ICP (2)'!AO77</f>
        <v>0</v>
      </c>
      <c r="P30" s="92" t="n">
        <f aca="false">+'Datos ICP (2)'!AP77</f>
        <v>0</v>
      </c>
      <c r="Q30" s="92" t="n">
        <f aca="false">+'Datos ICP (2)'!AQ77</f>
        <v>0</v>
      </c>
      <c r="R30" s="85"/>
    </row>
    <row r="31" customFormat="false" ht="16.5" hidden="false" customHeight="true" outlineLevel="0" collapsed="false">
      <c r="B31" s="85"/>
      <c r="C31" s="94"/>
      <c r="D31" s="84" t="s">
        <v>26</v>
      </c>
      <c r="E31" s="92"/>
      <c r="F31" s="92"/>
      <c r="G31" s="92"/>
      <c r="H31" s="92"/>
      <c r="I31" s="92"/>
      <c r="J31" s="92"/>
      <c r="K31" s="92"/>
      <c r="L31" s="92"/>
      <c r="M31" s="92" t="n">
        <f aca="false">+'Datos ICP (2)'!AM78</f>
        <v>0</v>
      </c>
      <c r="N31" s="92" t="n">
        <f aca="false">+'Datos ICP (2)'!AN78</f>
        <v>0</v>
      </c>
      <c r="O31" s="92" t="n">
        <f aca="false">+'Datos ICP (2)'!AO78</f>
        <v>0</v>
      </c>
      <c r="P31" s="92" t="n">
        <f aca="false">+'Datos ICP (2)'!AP78</f>
        <v>0</v>
      </c>
      <c r="Q31" s="92" t="n">
        <f aca="false">+'Datos ICP (2)'!AQ78</f>
        <v>0</v>
      </c>
      <c r="R31" s="85"/>
    </row>
    <row r="32" customFormat="false" ht="16.5" hidden="false" customHeight="true" outlineLevel="0" collapsed="false">
      <c r="B32" s="85"/>
      <c r="C32" s="94"/>
      <c r="D32" s="84" t="s">
        <v>39</v>
      </c>
      <c r="E32" s="92"/>
      <c r="F32" s="92"/>
      <c r="G32" s="92"/>
      <c r="H32" s="92"/>
      <c r="I32" s="92"/>
      <c r="J32" s="92"/>
      <c r="K32" s="92"/>
      <c r="L32" s="92"/>
      <c r="M32" s="92" t="n">
        <f aca="false">+'Datos ICP (2)'!AM79</f>
        <v>0</v>
      </c>
      <c r="N32" s="92" t="n">
        <f aca="false">+'Datos ICP (2)'!AN79</f>
        <v>0</v>
      </c>
      <c r="O32" s="92" t="n">
        <f aca="false">+'Datos ICP (2)'!AO79</f>
        <v>0</v>
      </c>
      <c r="P32" s="92" t="n">
        <f aca="false">+'Datos ICP (2)'!AP79</f>
        <v>0</v>
      </c>
      <c r="Q32" s="92" t="n">
        <f aca="false">+'Datos ICP (2)'!AQ79</f>
        <v>0</v>
      </c>
      <c r="R32" s="85"/>
    </row>
    <row r="33" customFormat="false" ht="16.5" hidden="false" customHeight="true" outlineLevel="0" collapsed="false">
      <c r="B33" s="85"/>
      <c r="C33" s="94" t="n">
        <v>2024</v>
      </c>
      <c r="D33" s="84" t="s">
        <v>3</v>
      </c>
      <c r="E33" s="92" t="n">
        <f aca="false">+'Datos ICP (2)'!AE80</f>
        <v>0</v>
      </c>
      <c r="F33" s="92" t="n">
        <f aca="false">+'Datos ICP (2)'!AF80</f>
        <v>0</v>
      </c>
      <c r="G33" s="92" t="n">
        <f aca="false">+'Datos ICP (2)'!AG80</f>
        <v>0</v>
      </c>
      <c r="H33" s="92" t="n">
        <f aca="false">+'Datos ICP (2)'!AH80</f>
        <v>0</v>
      </c>
      <c r="I33" s="92" t="n">
        <f aca="false">+'Datos ICP (2)'!AI80</f>
        <v>0</v>
      </c>
      <c r="J33" s="92" t="n">
        <f aca="false">+'Datos ICP (2)'!AJ80</f>
        <v>0</v>
      </c>
      <c r="K33" s="92" t="n">
        <f aca="false">+'Datos ICP (2)'!AK80</f>
        <v>0</v>
      </c>
      <c r="L33" s="92" t="n">
        <f aca="false">+'Datos ICP (2)'!AL80</f>
        <v>0</v>
      </c>
      <c r="M33" s="92" t="n">
        <f aca="false">+'Datos ICP (2)'!AM80</f>
        <v>0</v>
      </c>
      <c r="N33" s="92" t="n">
        <f aca="false">+'Datos ICP (2)'!AN80</f>
        <v>0</v>
      </c>
      <c r="O33" s="92" t="n">
        <f aca="false">+'Datos ICP (2)'!AO80</f>
        <v>0</v>
      </c>
      <c r="P33" s="92" t="n">
        <f aca="false">+'Datos ICP (2)'!AP80</f>
        <v>0</v>
      </c>
      <c r="Q33" s="92" t="n">
        <f aca="false">+'Datos ICP (2)'!AQ80</f>
        <v>0</v>
      </c>
      <c r="R33" s="85"/>
    </row>
    <row r="34" customFormat="false" ht="16.5" hidden="false" customHeight="true" outlineLevel="0" collapsed="false">
      <c r="B34" s="85"/>
      <c r="C34" s="94"/>
      <c r="D34" s="84" t="s">
        <v>26</v>
      </c>
      <c r="E34" s="92" t="n">
        <f aca="false">+'Datos ICP (2)'!AE81</f>
        <v>0</v>
      </c>
      <c r="F34" s="92" t="n">
        <f aca="false">+'Datos ICP (2)'!AF81</f>
        <v>0</v>
      </c>
      <c r="G34" s="92" t="n">
        <f aca="false">+'Datos ICP (2)'!AG81</f>
        <v>0</v>
      </c>
      <c r="H34" s="92" t="n">
        <f aca="false">+'Datos ICP (2)'!AH81</f>
        <v>0</v>
      </c>
      <c r="I34" s="92" t="n">
        <f aca="false">+'Datos ICP (2)'!AI81</f>
        <v>0</v>
      </c>
      <c r="J34" s="92" t="n">
        <f aca="false">+'Datos ICP (2)'!AJ81</f>
        <v>0</v>
      </c>
      <c r="K34" s="92" t="n">
        <f aca="false">+'Datos ICP (2)'!AK81</f>
        <v>0</v>
      </c>
      <c r="L34" s="92" t="n">
        <f aca="false">+'Datos ICP (2)'!AL81</f>
        <v>0</v>
      </c>
      <c r="M34" s="92" t="n">
        <f aca="false">+'Datos ICP (2)'!AM81</f>
        <v>0</v>
      </c>
      <c r="N34" s="92" t="n">
        <f aca="false">+'Datos ICP (2)'!AN81</f>
        <v>0</v>
      </c>
      <c r="O34" s="92" t="n">
        <f aca="false">+'Datos ICP (2)'!AO81</f>
        <v>0</v>
      </c>
      <c r="P34" s="92" t="n">
        <f aca="false">+'Datos ICP (2)'!AP81</f>
        <v>0</v>
      </c>
      <c r="Q34" s="92" t="n">
        <f aca="false">+'Datos ICP (2)'!AQ81</f>
        <v>0</v>
      </c>
      <c r="R34" s="85"/>
    </row>
    <row r="35" customFormat="false" ht="16.5" hidden="false" customHeight="true" outlineLevel="0" collapsed="false">
      <c r="B35" s="85"/>
      <c r="C35" s="94"/>
      <c r="D35" s="84" t="s">
        <v>39</v>
      </c>
      <c r="E35" s="92" t="n">
        <f aca="false">+'Datos ICP (2)'!AE82</f>
        <v>0</v>
      </c>
      <c r="F35" s="92" t="n">
        <f aca="false">+'Datos ICP (2)'!AF82</f>
        <v>0</v>
      </c>
      <c r="G35" s="92" t="n">
        <f aca="false">+'Datos ICP (2)'!AG82</f>
        <v>0</v>
      </c>
      <c r="H35" s="92" t="n">
        <f aca="false">+'Datos ICP (2)'!AH82</f>
        <v>0</v>
      </c>
      <c r="I35" s="92" t="n">
        <f aca="false">+'Datos ICP (2)'!AI82</f>
        <v>0</v>
      </c>
      <c r="J35" s="92" t="n">
        <f aca="false">+'Datos ICP (2)'!AJ82</f>
        <v>0</v>
      </c>
      <c r="K35" s="92" t="n">
        <f aca="false">+'Datos ICP (2)'!AK82</f>
        <v>0</v>
      </c>
      <c r="L35" s="92" t="n">
        <f aca="false">+'Datos ICP (2)'!AL82</f>
        <v>0</v>
      </c>
      <c r="M35" s="92" t="n">
        <f aca="false">+'Datos ICP (2)'!AM82</f>
        <v>0</v>
      </c>
      <c r="N35" s="92" t="n">
        <f aca="false">+'Datos ICP (2)'!AN82</f>
        <v>0</v>
      </c>
      <c r="O35" s="92" t="n">
        <f aca="false">+'Datos ICP (2)'!AO82</f>
        <v>0</v>
      </c>
      <c r="P35" s="92" t="n">
        <f aca="false">+'Datos ICP (2)'!AP82</f>
        <v>0</v>
      </c>
      <c r="Q35" s="92" t="n">
        <f aca="false">+'Datos ICP (2)'!AQ82</f>
        <v>0</v>
      </c>
      <c r="R35" s="85"/>
    </row>
    <row r="36" customFormat="false" ht="15" hidden="false" customHeight="false" outlineLevel="0" collapsed="false">
      <c r="C36" s="94" t="n">
        <v>2025</v>
      </c>
      <c r="D36" s="84" t="s">
        <v>3</v>
      </c>
      <c r="E36" s="92" t="n">
        <f aca="false">+'Datos ICP (2)'!AE83</f>
        <v>0.00445443017437541</v>
      </c>
      <c r="F36" s="92" t="n">
        <f aca="false">+'Datos ICP (2)'!AF83</f>
        <v>0.00389626305099444</v>
      </c>
      <c r="G36" s="92" t="n">
        <f aca="false">+'Datos ICP (2)'!AG83</f>
        <v>0.0043138020854181</v>
      </c>
      <c r="H36" s="92" t="n">
        <f aca="false">+'Datos ICP (2)'!AH83</f>
        <v>0.00417571644342774</v>
      </c>
      <c r="I36" s="92" t="n">
        <f aca="false">+'Datos ICP (2)'!AI83</f>
        <v>0.00417422694650416</v>
      </c>
      <c r="J36" s="92" t="n">
        <f aca="false">+'Datos ICP (2)'!AJ83</f>
        <v>0.00431456613652492</v>
      </c>
      <c r="K36" s="92" t="n">
        <f aca="false">+'Datos ICP (2)'!AK83</f>
        <v>0.00430626208344687</v>
      </c>
      <c r="L36" s="92" t="n">
        <f aca="false">+'Datos ICP (2)'!AL83</f>
        <v>0.00383327468941586</v>
      </c>
      <c r="M36" s="92" t="n">
        <f aca="false">+'Datos ICP (2)'!AM83</f>
        <v>0.00423004876441735</v>
      </c>
      <c r="N36" s="92" t="n">
        <f aca="false">+'Datos ICP (2)'!AN83</f>
        <v>0.00396619021077105</v>
      </c>
      <c r="O36" s="92" t="n">
        <f aca="false">+'Datos ICP (2)'!AO83</f>
        <v>0.00383243965233548</v>
      </c>
      <c r="P36" s="92" t="n">
        <f aca="false">+'Datos ICP (2)'!AP83</f>
        <v>0.00413946203577598</v>
      </c>
      <c r="Q36" s="92" t="n">
        <f aca="false">+'Datos ICP (2)'!AQ83</f>
        <v>0.0461215166375695</v>
      </c>
    </row>
    <row r="37" customFormat="false" ht="15" hidden="false" customHeight="false" outlineLevel="0" collapsed="false">
      <c r="C37" s="94"/>
      <c r="D37" s="84" t="s">
        <v>26</v>
      </c>
      <c r="E37" s="92" t="n">
        <f aca="false">+'Datos ICP (2)'!AE84</f>
        <v>0.00302021033404665</v>
      </c>
      <c r="F37" s="92" t="n">
        <f aca="false">+'Datos ICP (2)'!AF84</f>
        <v>0.00276213771028111</v>
      </c>
      <c r="G37" s="92" t="n">
        <f aca="false">+'Datos ICP (2)'!AG84</f>
        <v>0.00306282692323312</v>
      </c>
      <c r="H37" s="92" t="n">
        <f aca="false">+'Datos ICP (2)'!AH84</f>
        <v>0.00297594968581905</v>
      </c>
      <c r="I37" s="92" t="n">
        <f aca="false">+'Datos ICP (2)'!AI84</f>
        <v>0.00308976252279503</v>
      </c>
      <c r="J37" s="92" t="n">
        <f aca="false">+'Datos ICP (2)'!AJ84</f>
        <v>0.00299705245742721</v>
      </c>
      <c r="K37" s="92" t="n">
        <f aca="false">+'Datos ICP (2)'!AK84</f>
        <v>0.00304901446855221</v>
      </c>
      <c r="L37" s="92" t="n">
        <f aca="false">+'Datos ICP (2)'!AL84</f>
        <v>0.0029020820085115</v>
      </c>
      <c r="M37" s="92" t="n">
        <f aca="false">+'Datos ICP (2)'!AM84</f>
        <v>0.00276161496613736</v>
      </c>
      <c r="N37" s="92" t="n">
        <f aca="false">+'Datos ICP (2)'!AN84</f>
        <v>0.00286519472447866</v>
      </c>
      <c r="O37" s="92" t="n">
        <f aca="false">+'Datos ICP (2)'!AO84</f>
        <v>0.00279501576319907</v>
      </c>
      <c r="P37" s="92" t="n">
        <f aca="false">+'Datos ICP (2)'!AP84</f>
        <v>0.00283776649927603</v>
      </c>
      <c r="Q37" s="92" t="n">
        <f aca="false">+'Datos ICP (2)'!AQ84</f>
        <v>0.0325707862057447</v>
      </c>
    </row>
    <row r="38" customFormat="false" ht="15" hidden="false" customHeight="false" outlineLevel="0" collapsed="false">
      <c r="C38" s="94"/>
      <c r="D38" s="84" t="s">
        <v>39</v>
      </c>
      <c r="E38" s="92" t="n">
        <f aca="false">+'Datos ICP (2)'!AE85</f>
        <v>0</v>
      </c>
      <c r="F38" s="92" t="n">
        <f aca="false">+'Datos ICP (2)'!AF85</f>
        <v>0</v>
      </c>
      <c r="G38" s="92" t="n">
        <f aca="false">+'Datos ICP (2)'!AG85</f>
        <v>0</v>
      </c>
      <c r="H38" s="92" t="n">
        <f aca="false">+'Datos ICP (2)'!AH85</f>
        <v>0.00100100100100109</v>
      </c>
      <c r="I38" s="92" t="n">
        <f aca="false">+'Datos ICP (2)'!AI85</f>
        <v>0.000855400000000062</v>
      </c>
      <c r="J38" s="92" t="n">
        <f aca="false">+'Datos ICP (2)'!AJ85</f>
        <v>0.00736549955168342</v>
      </c>
      <c r="K38" s="92" t="n">
        <f aca="false">+'Datos ICP (2)'!AK85</f>
        <v>0.00620118163842442</v>
      </c>
      <c r="L38" s="92" t="n">
        <f aca="false">+'Datos ICP (2)'!AL85</f>
        <v>0.00612294345257269</v>
      </c>
      <c r="M38" s="92" t="n">
        <f aca="false">+'Datos ICP (2)'!AM85</f>
        <v>0.00576805321101115</v>
      </c>
      <c r="N38" s="92" t="n">
        <f aca="false">+'Datos ICP (2)'!AN85</f>
        <v>0.00650344873806019</v>
      </c>
      <c r="O38" s="92" t="n">
        <f aca="false">+'Datos ICP (2)'!AO85</f>
        <v>0.00581211970291551</v>
      </c>
      <c r="P38" s="92" t="n">
        <f aca="false">+'Datos ICP (2)'!AP85</f>
        <v>0.0062866841515421</v>
      </c>
      <c r="Q38" s="92" t="n">
        <f aca="false">+'Datos ICP (2)'!AQ85</f>
        <v>0.0468404404404403</v>
      </c>
    </row>
    <row r="39" customFormat="false" ht="15" hidden="false" customHeight="false" outlineLevel="0" collapsed="false">
      <c r="C39" s="94" t="n">
        <v>2026</v>
      </c>
      <c r="D39" s="84" t="s">
        <v>3</v>
      </c>
      <c r="E39" s="92" t="n">
        <f aca="false">+'Datos ICP (2)'!AE86</f>
        <v>0.00388234363273376</v>
      </c>
      <c r="F39" s="92" t="n">
        <f aca="false">+'Datos ICP (2)'!AF86</f>
        <v>0.00363126461056962</v>
      </c>
      <c r="G39" s="92" t="n">
        <f aca="false">+'Datos ICP (2)'!AG86</f>
        <v>0.0038819280865483</v>
      </c>
      <c r="H39" s="92" t="n">
        <f aca="false">+'Datos ICP (2)'!AH86</f>
        <v>-0.243672722859896</v>
      </c>
      <c r="I39" s="92"/>
      <c r="J39" s="92"/>
      <c r="K39" s="92"/>
      <c r="L39" s="92"/>
      <c r="M39" s="92"/>
      <c r="N39" s="92"/>
      <c r="O39" s="92"/>
      <c r="P39" s="92"/>
      <c r="Q39" s="92" t="n">
        <f aca="false">+'Datos ICP (2)'!AQ86</f>
        <v>-0.71393888658704</v>
      </c>
    </row>
    <row r="40" customFormat="false" ht="15" hidden="false" customHeight="false" outlineLevel="0" collapsed="false">
      <c r="C40" s="94"/>
      <c r="D40" s="84" t="s">
        <v>26</v>
      </c>
      <c r="E40" s="92" t="n">
        <f aca="false">+'Datos ICP (2)'!AE87</f>
        <v>0.00272443815472734</v>
      </c>
      <c r="F40" s="92" t="n">
        <f aca="false">+'Datos ICP (2)'!AF87</f>
        <v>0.00244521636660222</v>
      </c>
      <c r="G40" s="92" t="n">
        <f aca="false">+'Datos ICP (2)'!AG87</f>
        <v>0.00268777625151762</v>
      </c>
      <c r="H40" s="92" t="n">
        <f aca="false">+'Datos ICP (2)'!AH87</f>
        <v>-1</v>
      </c>
      <c r="I40" s="92"/>
      <c r="J40" s="92"/>
      <c r="K40" s="92"/>
      <c r="L40" s="92"/>
      <c r="M40" s="92"/>
      <c r="N40" s="92"/>
      <c r="O40" s="92"/>
      <c r="P40" s="92"/>
      <c r="Q40" s="92" t="n">
        <f aca="false">+'Datos ICP (2)'!AQ87</f>
        <v>-3</v>
      </c>
    </row>
    <row r="41" customFormat="false" ht="15" hidden="false" customHeight="false" outlineLevel="0" collapsed="false">
      <c r="C41" s="94"/>
      <c r="D41" s="84" t="s">
        <v>39</v>
      </c>
      <c r="E41" s="92" t="n">
        <f aca="false">+'Datos ICP (2)'!AE88</f>
        <v>0.00589408847022965</v>
      </c>
      <c r="F41" s="92" t="n">
        <f aca="false">+'Datos ICP (2)'!AF88</f>
        <v>0.00551048825542022</v>
      </c>
      <c r="G41" s="92" t="n">
        <f aca="false">+'Datos ICP (2)'!AG88</f>
        <v>0.00615199520796139</v>
      </c>
      <c r="H41" s="92" t="n">
        <f aca="false">+'Datos ICP (2)'!AH88</f>
        <v>0.00594355692777437</v>
      </c>
      <c r="I41" s="92"/>
      <c r="J41" s="92"/>
      <c r="K41" s="92"/>
      <c r="L41" s="92"/>
      <c r="M41" s="92"/>
      <c r="N41" s="92"/>
      <c r="O41" s="92"/>
      <c r="P41" s="92"/>
      <c r="Q41" s="92" t="n">
        <f aca="false">+'Datos ICP (2)'!AQ88</f>
        <v>0.0531283770372495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51</v>
      </c>
      <c r="K1" s="95"/>
      <c r="L1" s="98"/>
      <c r="N1" s="97" t="s">
        <v>52</v>
      </c>
      <c r="O1" s="95"/>
      <c r="P1" s="98"/>
      <c r="R1" s="97" t="s">
        <v>53</v>
      </c>
      <c r="S1" s="95"/>
      <c r="T1" s="98"/>
    </row>
    <row r="2" customFormat="false" ht="15" hidden="false" customHeight="false" outlineLevel="0" collapsed="false">
      <c r="C2" s="96"/>
      <c r="O2" s="99" t="s">
        <v>54</v>
      </c>
      <c r="P2" s="100" t="n">
        <v>0</v>
      </c>
    </row>
    <row r="3" customFormat="false" ht="15" hidden="false" customHeight="false" outlineLevel="0" collapsed="false">
      <c r="C3" s="96"/>
      <c r="K3" s="99" t="s">
        <v>55</v>
      </c>
      <c r="L3" s="100" t="n">
        <v>0.6316</v>
      </c>
      <c r="O3" s="99" t="s">
        <v>56</v>
      </c>
      <c r="P3" s="100" t="n">
        <v>0</v>
      </c>
      <c r="S3" s="99" t="s">
        <v>57</v>
      </c>
      <c r="T3" s="100" t="n">
        <v>1</v>
      </c>
    </row>
    <row r="4" customFormat="false" ht="15" hidden="false" customHeight="false" outlineLevel="0" collapsed="false">
      <c r="C4" s="96"/>
      <c r="K4" s="99" t="s">
        <v>58</v>
      </c>
      <c r="L4" s="100" t="n">
        <v>0.28</v>
      </c>
      <c r="O4" s="99" t="s">
        <v>59</v>
      </c>
      <c r="P4" s="100" t="n">
        <v>0</v>
      </c>
      <c r="S4" s="99" t="s">
        <v>60</v>
      </c>
      <c r="T4" s="100" t="n">
        <v>0</v>
      </c>
    </row>
    <row r="5" customFormat="false" ht="15" hidden="false" customHeight="false" outlineLevel="0" collapsed="false">
      <c r="A5" s="95"/>
      <c r="B5" s="95"/>
      <c r="C5" s="96"/>
      <c r="K5" s="99" t="s">
        <v>61</v>
      </c>
      <c r="L5" s="100" t="n">
        <v>0.0884</v>
      </c>
      <c r="O5" s="99" t="s">
        <v>62</v>
      </c>
      <c r="P5" s="100" t="n">
        <v>0</v>
      </c>
    </row>
    <row r="6" customFormat="false" ht="15" hidden="false" customHeight="false" outlineLevel="0" collapsed="false">
      <c r="A6" s="95"/>
      <c r="B6" s="95"/>
      <c r="C6" s="96"/>
      <c r="K6" s="99" t="s">
        <v>63</v>
      </c>
      <c r="L6" s="100" t="n">
        <v>0</v>
      </c>
      <c r="O6" s="99" t="s">
        <v>64</v>
      </c>
      <c r="P6" s="100" t="n">
        <v>1</v>
      </c>
    </row>
    <row r="7" customFormat="false" ht="15" hidden="false" customHeight="false" outlineLevel="0" collapsed="false">
      <c r="B7" s="95"/>
      <c r="C7" s="96"/>
      <c r="L7" s="101" t="n">
        <f aca="false">SUM(L3:L6)</f>
        <v>1</v>
      </c>
      <c r="O7" s="99" t="s">
        <v>65</v>
      </c>
      <c r="P7" s="100" t="n">
        <v>0</v>
      </c>
      <c r="Q7" s="101"/>
    </row>
    <row r="8" customFormat="false" ht="15" hidden="false" customHeight="false" outlineLevel="0" collapsed="false">
      <c r="C8" s="96"/>
      <c r="O8" s="99" t="s">
        <v>66</v>
      </c>
      <c r="P8" s="100" t="n">
        <v>0</v>
      </c>
    </row>
    <row r="9" customFormat="false" ht="15" hidden="false" customHeight="false" outlineLevel="0" collapsed="false">
      <c r="C9" s="96"/>
      <c r="O9" s="99" t="s">
        <v>67</v>
      </c>
      <c r="P9" s="100" t="n">
        <v>0</v>
      </c>
    </row>
    <row r="10" customFormat="false" ht="15" hidden="false" customHeight="false" outlineLevel="0" collapsed="false">
      <c r="C10" s="96"/>
      <c r="O10" s="99" t="s">
        <v>68</v>
      </c>
      <c r="P10" s="100" t="n">
        <v>0</v>
      </c>
    </row>
    <row r="11" customFormat="false" ht="15" hidden="false" customHeight="false" outlineLevel="0" collapsed="false">
      <c r="C11" s="96"/>
      <c r="O11" s="99" t="s">
        <v>69</v>
      </c>
      <c r="P11" s="100" t="n">
        <v>0</v>
      </c>
    </row>
    <row r="12" customFormat="false" ht="15" hidden="true" customHeight="false" outlineLevel="0" collapsed="false">
      <c r="C12" s="96"/>
      <c r="O12" s="99"/>
      <c r="P12" s="100"/>
    </row>
    <row r="13" customFormat="false" ht="15" hidden="false" customHeight="false" outlineLevel="0" collapsed="false">
      <c r="C13" s="96"/>
      <c r="O13" s="99" t="s">
        <v>70</v>
      </c>
      <c r="P13" s="100" t="n">
        <v>0</v>
      </c>
    </row>
    <row r="14" customFormat="false" ht="15" hidden="true" customHeight="false" outlineLevel="0" collapsed="false">
      <c r="A14" s="95" t="s">
        <v>71</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2026-05-19T14:29:55Z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