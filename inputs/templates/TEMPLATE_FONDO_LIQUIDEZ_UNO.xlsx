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s>
  <definedNames>
    <definedName function="false" hidden="true" localSheetId="3" name="_xlnm._FilterDatabase" vbProcedure="false">composición!$K$1:$T$24</definedName>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<sst xmlns="http://schemas.openxmlformats.org/spreadsheetml/2006/main" count="222" uniqueCount="72">
  <si>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</si>
  <si>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</si>
  <si>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</si>
  <si>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</si>
  <si>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</si>
  <si>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</si>
  <si>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</si>
  <si>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</si>
  <si>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</si>
  <si>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</si>
  <si>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</si>
  <si>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</si>
  <si>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</si>
  <si>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</si>
  <si>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</si>
  <si>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</si>
  <si>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</si>
  <si>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</si>
  <si>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</si>
  <si>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 LIQUIDEZ I</t>
  </si>
  <si>
    <t xml:space="preserve">8730-0</t>
  </si>
  <si>
    <t xml:space="preserve">Competencia Relevante (*)</t>
  </si>
  <si>
    <t xml:space="preserve">SERIE E</t>
  </si>
  <si>
    <t xml:space="preserve">BCI EFICIENTE</t>
  </si>
  <si>
    <t xml:space="preserve">(*) Acum a Mar</t>
  </si>
  <si>
    <t xml:space="preserve">LIQUIDEZ I</t>
  </si>
  <si>
    <t xml:space="preserve">FONDO Alto Patrimonio</t>
  </si>
  <si>
    <t xml:space="preserve">Ingresar mes actual==&gt;</t>
  </si>
  <si>
    <t xml:space="preserve">(*)</t>
  </si>
  <si>
    <t xml:space="preserve">Competencia</t>
  </si>
  <si>
    <t xml:space="preserve">FIP LIQUIDEZ I</t>
  </si>
  <si>
    <t xml:space="preserve">Rentabilidad</t>
  </si>
  <si>
    <t xml:space="preserve">Mensual</t>
  </si>
  <si>
    <t xml:space="preserve">Trimestral</t>
  </si>
  <si>
    <t xml:space="preserve">Semestral</t>
  </si>
  <si>
    <t xml:space="preserve">Anual</t>
  </si>
  <si>
    <t xml:space="preserve">Acum. 2026</t>
  </si>
  <si>
    <t xml:space="preserve">ICP (Bechmark)</t>
  </si>
  <si>
    <t xml:space="preserve">Año</t>
  </si>
  <si>
    <t xml:space="preserve">Fondo</t>
  </si>
  <si>
    <t xml:space="preserve">DIVIDENDO 2016</t>
  </si>
  <si>
    <t xml:space="preserve">Dividendo 2017</t>
  </si>
  <si>
    <t xml:space="preserve">Dividendo 2018</t>
  </si>
  <si>
    <t xml:space="preserve">Dividendo 2019</t>
  </si>
  <si>
    <t xml:space="preserve">Dividendo 2020</t>
  </si>
  <si>
    <t xml:space="preserve">Dividendo 2021</t>
  </si>
  <si>
    <t xml:space="preserve">Dividendo 2022</t>
  </si>
  <si>
    <t xml:space="preserve">Dividendo 2023</t>
  </si>
  <si>
    <t xml:space="preserve">Acum
2026 (*)</t>
  </si>
  <si>
    <t xml:space="preserve">ICP (Benchmark)</t>
  </si>
  <si>
    <t xml:space="preserve">Total
Año</t>
  </si>
  <si>
    <t xml:space="preserve">Duración</t>
  </si>
  <si>
    <t xml:space="preserve">Instrumentos</t>
  </si>
  <si>
    <t xml:space="preserve">Moneda</t>
  </si>
  <si>
    <t xml:space="preserve">Bono</t>
  </si>
  <si>
    <t xml:space="preserve">Menos de 1 mes</t>
  </si>
  <si>
    <t xml:space="preserve">Depósitos</t>
  </si>
  <si>
    <t xml:space="preserve">Pesos</t>
  </si>
  <si>
    <t xml:space="preserve">1-3 meses</t>
  </si>
  <si>
    <t xml:space="preserve">Factoring</t>
  </si>
  <si>
    <t xml:space="preserve">UF</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</si>
  <si>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</si>
  <si>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</si>
  <si>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</si>
  <si>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</si>
  <si>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</si>
  <si>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</si>
  <si>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</si>
  <si>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</si>
  <si>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</si>
  <si>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Pagaré</t>
  </si>
  <si>
    <t xml:space="preserve">Facturas</t>
  </si>
</sst>
</file>

<file path=xl/styles.xml><?xml version="1.0" encoding="utf-8"?>
<styleSheet xmlns="http://schemas.openxmlformats.org/spreadsheetml/2006/main">
  <numFmts count="16">
    <numFmt numFmtId="164" formatCode="General"/>
    <numFmt numFmtId="165" formatCode="[$$-1004]#,##0"/>
    <numFmt numFmtId="166" formatCode="_ * #,##0_ ;_ * \-#,##0_ ;_ * \-_ ;_ @_ "/>
    <numFmt numFmtId="167" formatCode="0%"/>
    <numFmt numFmtId="168" formatCode="#,##0.0000"/>
    <numFmt numFmtId="169" formatCode="0.0000"/>
    <numFmt numFmtId="170" formatCode="0.00%"/>
    <numFmt numFmtId="171" formatCode="m/d/yyyy"/>
    <numFmt numFmtId="172" formatCode="#,##0.00"/>
    <numFmt numFmtId="173" formatCode="0.00"/>
    <numFmt numFmtId="174" formatCode="General"/>
    <numFmt numFmtId="175" formatCode="dd\-mm\-yyyy"/>
    <numFmt numFmtId="176" formatCode="#,##0.00_ ;[RED]\-#,##0.00\ "/>
    <numFmt numFmtId="177" formatCode="_ * #,##0.00_ ;_ * \-#,##0.00_ ;_ * \-_ ;_ @_ "/>
    <numFmt numFmtId="178" formatCode="_ * #,##0.000_ ;_ * \-#,##0.000_ ;_ * \-_ ;_ @_ "/>
    <numFmt numFmtId="179" formatCode="0"/>
  </numFmts>
  <fonts count="37">
    <font>
      <sz val="11"/>
      <color theme="1"/>
      <name val="Calibri"/>
      <family val="2"/>
      <charset val="1"/>
    </font>
    <font>
      <sz val="10"/>
      <name val="Arial"/>
      <family val="0"/>
    </font>
    <font>
      <sz val="10"/>
      <name val="Arial"/>
      <family val="0"/>
    </font>
    <font>
      <sz val="10"/>
      <name val="Arial"/>
      <family val="0"/>
    </font>
    <font>
      <sz val="7"/>
      <color rgb="FF000000"/>
      <name val="Arial"/>
      <family val="2"/>
      <charset val="1"/>
    </font>
    <font>
      <sz val="12"/>
      <color theme="1"/>
      <name val="Calibri"/>
      <family val="2"/>
      <charset val="1"/>
    </font>
    <font>
      <sz val="9"/>
      <color theme="1"/>
      <name val="Be Vietnam Pro Light"/>
      <family val="0"/>
      <charset val="1"/>
    </font>
    <font>
      <sz val="10"/>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b val="true"/>
      <sz val="10"/>
      <color rgb="FF000000"/>
      <name val="Aileron Light"/>
      <family val="3"/>
      <charset val="1"/>
    </font>
    <font>
      <sz val="10"/>
      <color rgb="FF000000"/>
      <name val="Aileron Light"/>
      <family val="3"/>
      <charset val="1"/>
    </font>
    <font>
      <sz val="8"/>
      <color rgb="FF000000"/>
      <name val="Aileron Light"/>
      <family val="3"/>
      <charset val="1"/>
    </font>
    <font>
      <sz val="8"/>
      <color theme="1"/>
      <name val="Aileron Light"/>
      <family val="3"/>
      <charset val="1"/>
    </font>
    <font>
      <sz val="11"/>
      <color rgb="FF000000"/>
      <name val="Aptos Narrow"/>
      <family val="2"/>
      <charset val="1"/>
    </font>
    <font>
      <sz val="11"/>
      <color rgb="FF000000"/>
      <name val="Aptos Narrow"/>
      <family val="0"/>
      <charset val="1"/>
    </font>
    <font>
      <sz val="8.8"/>
      <color rgb="FF666666"/>
      <name val="Muli"/>
      <family val="0"/>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b val="true"/>
      <sz val="18"/>
      <color rgb="FF000000"/>
      <name val="Calibri"/>
      <family val="2"/>
    </font>
    <font>
      <b val="true"/>
      <sz val="10"/>
      <color rgb="FF000000"/>
      <name val="Calibri"/>
      <family val="2"/>
    </font>
    <font>
      <sz val="10"/>
      <color theme="1"/>
      <name val="Be Vietnam Pro Medium"/>
      <family val="0"/>
      <charset val="1"/>
    </font>
    <font>
      <sz val="11"/>
      <name val="Acumin Pro Extra Light"/>
      <family val="2"/>
      <charset val="1"/>
    </font>
    <font>
      <sz val="11"/>
      <name val="Calibri"/>
      <family val="2"/>
      <charset val="1"/>
    </font>
    <font>
      <b val="true"/>
      <sz val="11"/>
      <name val="Acumin Pro Extra Light"/>
      <family val="2"/>
      <charset val="1"/>
    </font>
    <font>
      <sz val="10"/>
      <color theme="0"/>
      <name val="Be Vietnam Pro Light"/>
      <family val="0"/>
      <charset val="1"/>
    </font>
    <font>
      <u val="single"/>
      <sz val="11"/>
      <color theme="1"/>
      <name val="Calibri"/>
      <family val="2"/>
      <charset val="1"/>
    </font>
  </fonts>
  <fills count="10">
    <fill>
      <patternFill patternType="none"/>
    </fill>
    <fill>
      <patternFill patternType="gray125"/>
    </fill>
    <fill>
      <patternFill patternType="solid">
        <fgColor rgb="FFFFFFFF"/>
        <bgColor rgb="FFF8F8F8"/>
      </patternFill>
    </fill>
    <fill>
      <patternFill patternType="solid">
        <fgColor rgb="FFBFBFBF"/>
        <bgColor rgb="FFACACAC"/>
      </patternFill>
    </fill>
    <fill>
      <patternFill patternType="solid">
        <fgColor rgb="FFF2F2F2"/>
        <bgColor rgb="FFF8F8F8"/>
      </patternFill>
    </fill>
    <fill>
      <patternFill patternType="solid">
        <fgColor rgb="FFFFFF00"/>
        <bgColor rgb="FFFFFF00"/>
      </patternFill>
    </fill>
    <fill>
      <patternFill patternType="solid">
        <fgColor theme="0" tint="-0.15"/>
        <bgColor rgb="FFD4D4D4"/>
      </patternFill>
    </fill>
    <fill>
      <patternFill patternType="solid">
        <fgColor rgb="FFDAF2D0"/>
        <bgColor rgb="FFF2F2F2"/>
      </patternFill>
    </fill>
    <fill>
      <patternFill patternType="solid">
        <fgColor rgb="FFF8F8F8"/>
        <bgColor rgb="FFF2F2F2"/>
      </patternFill>
    </fill>
    <fill>
      <patternFill patternType="solid">
        <fgColor theme="1"/>
        <bgColor rgb="FF003300"/>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top style="thin">
        <color rgb="FF8ED973"/>
      </top>
      <bottom style="thin">
        <color rgb="FF8ED973"/>
      </bottom>
      <diagonal/>
    </border>
    <border diagonalUp="false" diagonalDown="false">
      <left style="thick">
        <color rgb="FFFFFFFF"/>
      </left>
      <right style="thick">
        <color rgb="FFFFFFFF"/>
      </right>
      <top style="thick">
        <color rgb="FFFFFFFF"/>
      </top>
      <bottom style="thick">
        <color rgb="FFD4D4D4"/>
      </bottom>
      <diagonal/>
    </border>
  </borders>
  <cellStyleXfs count="10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true" applyAlignment="true" applyProtection="true">
      <alignment horizontal="general" vertical="bottom" textRotation="0" wrapText="false" indent="0" shrinkToFit="false"/>
      <protection locked="true" hidden="false"/>
    </xf>
    <xf numFmtId="165" fontId="4" fillId="2" borderId="1" applyFont="true" applyBorder="true" applyAlignment="true" applyProtection="true">
      <alignment horizontal="general" vertical="center"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0" borderId="0" xfId="96" applyFont="true" applyBorder="false" applyAlignment="false" applyProtection="false">
      <alignment horizontal="general" vertical="bottom" textRotation="0" wrapText="false" indent="0" shrinkToFit="false"/>
      <protection locked="true" hidden="false"/>
    </xf>
    <xf numFmtId="168" fontId="8" fillId="0" borderId="0" xfId="96" applyFont="true" applyBorder="false" applyAlignment="false" applyProtection="false">
      <alignment horizontal="general" vertical="bottom" textRotation="0" wrapText="false" indent="0" shrinkToFit="false"/>
      <protection locked="true" hidden="false"/>
    </xf>
    <xf numFmtId="169" fontId="8" fillId="0" borderId="0" xfId="96" applyFont="true" applyBorder="false" applyAlignment="false" applyProtection="false">
      <alignment horizontal="general" vertical="bottom" textRotation="0" wrapText="false" indent="0" shrinkToFit="false"/>
      <protection locked="true" hidden="false"/>
    </xf>
    <xf numFmtId="164" fontId="8" fillId="2" borderId="0" xfId="96" applyFont="true" applyBorder="false" applyAlignment="false" applyProtection="false">
      <alignment horizontal="general" vertical="bottom" textRotation="0" wrapText="false" indent="0" shrinkToFit="false"/>
      <protection locked="true" hidden="false"/>
    </xf>
    <xf numFmtId="164" fontId="9" fillId="3" borderId="0" xfId="96" applyFont="true" applyBorder="false" applyAlignment="false" applyProtection="false">
      <alignment horizontal="general" vertical="bottom" textRotation="0" wrapText="false" indent="0" shrinkToFit="false"/>
      <protection locked="true" hidden="false"/>
    </xf>
    <xf numFmtId="164" fontId="10" fillId="3" borderId="0" xfId="96" applyFont="true" applyBorder="false" applyAlignment="true" applyProtection="false">
      <alignment horizontal="center" vertical="bottom" textRotation="0" wrapText="false" indent="0" shrinkToFit="false"/>
      <protection locked="true" hidden="false"/>
    </xf>
    <xf numFmtId="164" fontId="8" fillId="4" borderId="0" xfId="96" applyFont="true" applyBorder="false" applyAlignment="false" applyProtection="false">
      <alignment horizontal="general" vertical="bottom" textRotation="0" wrapText="false" indent="0" shrinkToFit="false"/>
      <protection locked="true" hidden="false"/>
    </xf>
    <xf numFmtId="164" fontId="8" fillId="0" borderId="0" xfId="96" applyFont="true" applyBorder="false" applyAlignment="true" applyProtection="false">
      <alignment horizontal="center" vertical="bottom" textRotation="0" wrapText="false" indent="0" shrinkToFit="false"/>
      <protection locked="true" hidden="false"/>
    </xf>
    <xf numFmtId="168" fontId="8" fillId="0" borderId="0" xfId="96" applyFont="true" applyBorder="false" applyAlignment="true" applyProtection="false">
      <alignment horizontal="center" vertical="bottom" textRotation="0" wrapText="false" indent="0" shrinkToFit="false"/>
      <protection locked="true" hidden="false"/>
    </xf>
    <xf numFmtId="164" fontId="8" fillId="0" borderId="2" xfId="97" applyFont="true" applyBorder="true" applyAlignment="false" applyProtection="false">
      <alignment horizontal="general" vertical="bottom" textRotation="0" wrapText="false" indent="0" shrinkToFit="false"/>
      <protection locked="true" hidden="false"/>
    </xf>
    <xf numFmtId="170" fontId="8" fillId="0" borderId="0" xfId="99" applyFont="true" applyBorder="false" applyAlignment="false" applyProtection="false">
      <alignment horizontal="general" vertical="bottom" textRotation="0" wrapText="false" indent="0" shrinkToFit="false"/>
      <protection locked="true" hidden="false"/>
    </xf>
    <xf numFmtId="164" fontId="10" fillId="4" borderId="0" xfId="96" applyFont="true" applyBorder="false" applyAlignment="true" applyProtection="false">
      <alignment horizontal="center" vertical="bottom" textRotation="0" wrapText="false" indent="0" shrinkToFit="false"/>
      <protection locked="true" hidden="false"/>
    </xf>
    <xf numFmtId="170" fontId="11" fillId="4" borderId="0" xfId="98" applyFont="true" applyBorder="false" applyAlignment="true" applyProtection="false">
      <alignment horizontal="center" vertical="bottom" textRotation="0" wrapText="false" indent="0" shrinkToFit="false"/>
      <protection locked="true" hidden="false"/>
    </xf>
    <xf numFmtId="170" fontId="12" fillId="4" borderId="0" xfId="98" applyFont="true" applyBorder="false" applyAlignment="true" applyProtection="false">
      <alignment horizontal="center" vertical="bottom" textRotation="0" wrapText="false" indent="0" shrinkToFit="false"/>
      <protection locked="true" hidden="false"/>
    </xf>
    <xf numFmtId="171" fontId="8" fillId="0" borderId="0" xfId="96" applyFont="true" applyBorder="false" applyAlignment="false" applyProtection="false">
      <alignment horizontal="general" vertical="bottom" textRotation="0" wrapText="false" indent="0" shrinkToFit="false"/>
      <protection locked="true" hidden="false"/>
    </xf>
    <xf numFmtId="172" fontId="8" fillId="0" borderId="0" xfId="96" applyFont="true" applyBorder="false" applyAlignment="false" applyProtection="false">
      <alignment horizontal="general" vertical="bottom" textRotation="0" wrapText="false" indent="0" shrinkToFit="false"/>
      <protection locked="true" hidden="false"/>
    </xf>
    <xf numFmtId="173" fontId="8" fillId="0" borderId="0" xfId="96" applyFont="true" applyBorder="false" applyAlignment="false" applyProtection="false">
      <alignment horizontal="general" vertical="bottom" textRotation="0" wrapText="false" indent="0" shrinkToFit="false"/>
      <protection locked="true" hidden="false"/>
    </xf>
    <xf numFmtId="174" fontId="8" fillId="2" borderId="0" xfId="96" applyFont="true" applyBorder="false" applyAlignment="false" applyProtection="false">
      <alignment horizontal="general" vertical="bottom" textRotation="0" wrapText="false" indent="0" shrinkToFit="false"/>
      <protection locked="true" hidden="false"/>
    </xf>
    <xf numFmtId="173" fontId="8" fillId="2" borderId="0" xfId="96" applyFont="true" applyBorder="false" applyAlignment="false" applyProtection="false">
      <alignment horizontal="general" vertical="bottom" textRotation="0" wrapText="false" indent="0" shrinkToFit="false"/>
      <protection locked="true" hidden="false"/>
    </xf>
    <xf numFmtId="175" fontId="8" fillId="0" borderId="0" xfId="96" applyFont="true" applyBorder="false" applyAlignment="false" applyProtection="false">
      <alignment horizontal="general" vertical="bottom" textRotation="0" wrapText="false" indent="0" shrinkToFit="false"/>
      <protection locked="true" hidden="false"/>
    </xf>
    <xf numFmtId="176" fontId="8" fillId="0" borderId="0" xfId="96" applyFont="true" applyBorder="false" applyAlignment="false" applyProtection="false">
      <alignment horizontal="general" vertical="bottom" textRotation="0" wrapText="false" indent="0" shrinkToFit="false"/>
      <protection locked="true" hidden="false"/>
    </xf>
    <xf numFmtId="170" fontId="8" fillId="0" borderId="0" xfId="98" applyFont="true" applyBorder="false" applyAlignment="false" applyProtection="false">
      <alignment horizontal="general" vertical="bottom" textRotation="0" wrapText="false" indent="0" shrinkToFit="false"/>
      <protection locked="true" hidden="false"/>
    </xf>
    <xf numFmtId="170" fontId="8" fillId="4" borderId="0" xfId="19" applyFont="true" applyBorder="false" applyAlignment="false" applyProtection="false">
      <alignment horizontal="general" vertical="bottom" textRotation="0" wrapText="false" indent="0" shrinkToFit="false"/>
      <protection locked="true" hidden="false"/>
    </xf>
    <xf numFmtId="164" fontId="11" fillId="4" borderId="0" xfId="96" applyFont="true" applyBorder="false" applyAlignment="true" applyProtection="false">
      <alignment horizontal="left" vertical="bottom" textRotation="0" wrapText="false" indent="0" shrinkToFit="false"/>
      <protection locked="true" hidden="false"/>
    </xf>
    <xf numFmtId="164" fontId="9" fillId="3" borderId="0" xfId="96" applyFont="true" applyBorder="false" applyAlignment="true" applyProtection="false">
      <alignment horizontal="right" vertical="bottom" textRotation="0" wrapText="false" indent="0" shrinkToFit="false"/>
      <protection locked="true" hidden="false"/>
    </xf>
    <xf numFmtId="164" fontId="8" fillId="0" borderId="0" xfId="96" applyFont="true" applyBorder="false" applyAlignment="true" applyProtection="false">
      <alignment horizontal="right" vertical="bottom" textRotation="0" wrapText="false" indent="0" shrinkToFit="false"/>
      <protection locked="true" hidden="false"/>
    </xf>
    <xf numFmtId="177" fontId="8" fillId="0" borderId="0" xfId="24" applyFont="true" applyBorder="false" applyAlignment="false" applyProtection="false">
      <alignment horizontal="general" vertical="bottom" textRotation="0" wrapText="false" indent="0" shrinkToFit="false"/>
      <protection locked="true" hidden="false"/>
    </xf>
    <xf numFmtId="177" fontId="8" fillId="2" borderId="0" xfId="24" applyFont="true" applyBorder="false" applyAlignment="false" applyProtection="false">
      <alignment horizontal="general" vertical="bottom" textRotation="0" wrapText="false" indent="0" shrinkToFit="false"/>
      <protection locked="true" hidden="false"/>
    </xf>
    <xf numFmtId="164" fontId="8" fillId="2" borderId="0" xfId="96" applyFont="true" applyBorder="false" applyAlignment="true" applyProtection="false">
      <alignment horizontal="right" vertical="bottom" textRotation="0" wrapText="false" indent="0" shrinkToFit="false"/>
      <protection locked="true" hidden="false"/>
    </xf>
    <xf numFmtId="171" fontId="8" fillId="5" borderId="0" xfId="96" applyFont="true" applyBorder="false" applyAlignment="false" applyProtection="false">
      <alignment horizontal="general" vertical="bottom" textRotation="0" wrapText="false" indent="0" shrinkToFit="false"/>
      <protection locked="true" hidden="false"/>
    </xf>
    <xf numFmtId="171" fontId="8" fillId="2" borderId="0" xfId="96" applyFont="true" applyBorder="false" applyAlignment="false" applyProtection="false">
      <alignment horizontal="general" vertical="bottom" textRotation="0" wrapText="false" indent="0" shrinkToFit="false"/>
      <protection locked="true" hidden="false"/>
    </xf>
    <xf numFmtId="172" fontId="8" fillId="2" borderId="0" xfId="96" applyFont="true" applyBorder="false" applyAlignment="false" applyProtection="false">
      <alignment horizontal="general" vertical="bottom" textRotation="0" wrapText="false" indent="0" shrinkToFit="false"/>
      <protection locked="true" hidden="false"/>
    </xf>
    <xf numFmtId="164" fontId="10" fillId="2" borderId="0" xfId="96" applyFont="true" applyBorder="false" applyAlignment="true" applyProtection="false">
      <alignment horizontal="center" vertical="bottom" textRotation="0" wrapText="false" indent="0" shrinkToFit="false"/>
      <protection locked="true" hidden="false"/>
    </xf>
    <xf numFmtId="170" fontId="11" fillId="2" borderId="0" xfId="98" applyFont="true" applyBorder="false" applyAlignment="true" applyProtection="false">
      <alignment horizontal="center" vertical="bottom" textRotation="0" wrapText="false" indent="0" shrinkToFit="false"/>
      <protection locked="true" hidden="false"/>
    </xf>
    <xf numFmtId="170" fontId="12" fillId="2" borderId="0" xfId="98" applyFont="true" applyBorder="false" applyAlignment="true" applyProtection="false">
      <alignment horizontal="center" vertical="bottom" textRotation="0" wrapText="false" indent="0" shrinkToFit="false"/>
      <protection locked="true" hidden="false"/>
    </xf>
    <xf numFmtId="170" fontId="11" fillId="0" borderId="0" xfId="98" applyFont="true" applyBorder="false" applyAlignment="true" applyProtection="false">
      <alignment horizontal="center" vertical="bottom" textRotation="0" wrapText="false" indent="0" shrinkToFit="false"/>
      <protection locked="true" hidden="false"/>
    </xf>
    <xf numFmtId="164" fontId="13" fillId="4" borderId="0" xfId="96" applyFont="true" applyBorder="false" applyAlignment="true" applyProtection="false">
      <alignment horizontal="center" vertical="bottom" textRotation="0" wrapText="false" indent="0" shrinkToFit="false"/>
      <protection locked="true" hidden="false"/>
    </xf>
    <xf numFmtId="164" fontId="14" fillId="2" borderId="0" xfId="96" applyFont="true" applyBorder="false" applyAlignment="true" applyProtection="false">
      <alignment horizontal="center" vertical="bottom" textRotation="0" wrapText="false" indent="0" shrinkToFit="false"/>
      <protection locked="true" hidden="false"/>
    </xf>
    <xf numFmtId="164" fontId="14" fillId="4" borderId="0" xfId="96" applyFont="true" applyBorder="false" applyAlignment="true" applyProtection="false">
      <alignment horizontal="center" vertical="bottom" textRotation="0" wrapText="false" indent="0" shrinkToFit="false"/>
      <protection locked="true" hidden="false"/>
    </xf>
    <xf numFmtId="164" fontId="10" fillId="0" borderId="0" xfId="96" applyFont="true" applyBorder="false" applyAlignment="true" applyProtection="false">
      <alignment horizontal="center" vertical="bottom" textRotation="0" wrapText="false" indent="0" shrinkToFit="false"/>
      <protection locked="true" hidden="false"/>
    </xf>
    <xf numFmtId="164" fontId="10" fillId="4" borderId="0" xfId="96" applyFont="true" applyBorder="true" applyAlignment="true" applyProtection="false">
      <alignment horizontal="center" vertical="center" textRotation="0" wrapText="false" indent="0" shrinkToFit="false"/>
      <protection locked="true" hidden="false"/>
    </xf>
    <xf numFmtId="170" fontId="15" fillId="2" borderId="0" xfId="98" applyFont="true" applyBorder="false" applyAlignment="true" applyProtection="false">
      <alignment horizontal="center" vertical="bottom" textRotation="0" wrapText="false" indent="0" shrinkToFit="false"/>
      <protection locked="true" hidden="false"/>
    </xf>
    <xf numFmtId="170" fontId="15" fillId="4" borderId="0" xfId="98" applyFont="true" applyBorder="false" applyAlignment="true" applyProtection="false">
      <alignment horizontal="center" vertical="bottom" textRotation="0" wrapText="false" indent="0" shrinkToFit="false"/>
      <protection locked="true" hidden="false"/>
    </xf>
    <xf numFmtId="178" fontId="8" fillId="0" borderId="0" xfId="100" applyFont="true" applyBorder="false" applyAlignment="false" applyProtection="false">
      <alignment horizontal="general" vertical="bottom" textRotation="0" wrapText="false" indent="0" shrinkToFit="false"/>
      <protection locked="true" hidden="false"/>
    </xf>
    <xf numFmtId="164" fontId="16" fillId="4" borderId="0" xfId="96" applyFont="true" applyBorder="false" applyAlignment="true" applyProtection="false">
      <alignment horizontal="left" vertical="bottom" textRotation="0" wrapText="false" indent="0" shrinkToFit="false"/>
      <protection locked="true" hidden="false"/>
    </xf>
    <xf numFmtId="164" fontId="17" fillId="3" borderId="0" xfId="96" applyFont="true" applyBorder="false" applyAlignment="true" applyProtection="false">
      <alignment horizontal="center" vertical="bottom" textRotation="0" wrapText="false" indent="0" shrinkToFit="false"/>
      <protection locked="true" hidden="false"/>
    </xf>
    <xf numFmtId="164" fontId="18" fillId="3" borderId="0" xfId="96" applyFont="true" applyBorder="false" applyAlignment="true" applyProtection="false">
      <alignment horizontal="center" vertical="bottom" textRotation="0" wrapText="false" indent="0" shrinkToFit="false"/>
      <protection locked="true" hidden="false"/>
    </xf>
    <xf numFmtId="164" fontId="17" fillId="6" borderId="0" xfId="96" applyFont="true" applyBorder="false" applyAlignment="true" applyProtection="false">
      <alignment horizontal="center" vertical="center" textRotation="0" wrapText="false" indent="0" shrinkToFit="false"/>
      <protection locked="true" hidden="false"/>
    </xf>
    <xf numFmtId="164" fontId="18" fillId="6" borderId="0" xfId="96" applyFont="true" applyBorder="false" applyAlignment="true" applyProtection="false">
      <alignment horizontal="center" vertical="bottom" textRotation="0" wrapText="false" indent="0" shrinkToFit="false"/>
      <protection locked="true" hidden="false"/>
    </xf>
    <xf numFmtId="170" fontId="19" fillId="6" borderId="0" xfId="98" applyFont="true" applyBorder="false" applyAlignment="true" applyProtection="false">
      <alignment horizontal="center" vertical="bottom" textRotation="0" wrapText="false" indent="0" shrinkToFit="false"/>
      <protection locked="true" hidden="false"/>
    </xf>
    <xf numFmtId="170" fontId="18" fillId="2" borderId="0" xfId="98" applyFont="true" applyBorder="false" applyAlignment="true" applyProtection="false">
      <alignment horizontal="center" vertical="bottom" textRotation="0" wrapText="false" indent="0" shrinkToFit="false"/>
      <protection locked="true" hidden="false"/>
    </xf>
    <xf numFmtId="170" fontId="12" fillId="0" borderId="0" xfId="98" applyFont="true" applyBorder="false" applyAlignment="true" applyProtection="false">
      <alignment horizontal="center" vertical="bottom" textRotation="0" wrapText="false" indent="0" shrinkToFit="false"/>
      <protection locked="true" hidden="false"/>
    </xf>
    <xf numFmtId="170" fontId="8" fillId="0" borderId="0" xfId="96" applyFont="true" applyBorder="false" applyAlignment="false" applyProtection="false">
      <alignment horizontal="general" vertical="bottom" textRotation="0" wrapText="false" indent="0" shrinkToFit="false"/>
      <protection locked="true" hidden="false"/>
    </xf>
    <xf numFmtId="164" fontId="17" fillId="6" borderId="0" xfId="96" applyFont="true" applyBorder="true" applyAlignment="true" applyProtection="false">
      <alignment horizontal="center" vertical="center" textRotation="0" wrapText="false" indent="0" shrinkToFit="false"/>
      <protection locked="true" hidden="false"/>
    </xf>
    <xf numFmtId="164" fontId="20" fillId="4" borderId="0" xfId="96" applyFont="true" applyBorder="false" applyAlignment="true" applyProtection="false">
      <alignment horizontal="left" vertical="bottom" textRotation="0" wrapText="false" indent="0" shrinkToFit="false"/>
      <protection locked="true" hidden="false"/>
    </xf>
    <xf numFmtId="164" fontId="11" fillId="0" borderId="0" xfId="96" applyFont="true" applyBorder="false" applyAlignment="true" applyProtection="false">
      <alignment horizontal="left" vertical="bottom" textRotation="0" wrapText="false" indent="0" shrinkToFit="false"/>
      <protection locked="true" hidden="false"/>
    </xf>
    <xf numFmtId="170" fontId="8" fillId="0" borderId="0" xfId="19" applyFont="true" applyBorder="false" applyAlignment="false" applyProtection="false">
      <alignment horizontal="general" vertical="bottom" textRotation="0" wrapText="false" indent="0" shrinkToFit="false"/>
      <protection locked="true" hidden="false"/>
    </xf>
    <xf numFmtId="168" fontId="8" fillId="0" borderId="0" xfId="98" applyFont="true" applyBorder="false" applyAlignment="false" applyProtection="false">
      <alignment horizontal="general" vertical="bottom" textRotation="0" wrapText="false" indent="0" shrinkToFit="false"/>
      <protection locked="true" hidden="false"/>
    </xf>
    <xf numFmtId="176" fontId="8" fillId="5" borderId="0" xfId="96" applyFont="true" applyBorder="false" applyAlignment="false" applyProtection="false">
      <alignment horizontal="general" vertical="bottom" textRotation="0" wrapText="false" indent="0" shrinkToFit="false"/>
      <protection locked="true" hidden="false"/>
    </xf>
    <xf numFmtId="164" fontId="21" fillId="0" borderId="0" xfId="96" applyFont="true" applyBorder="false" applyAlignment="false" applyProtection="false">
      <alignment horizontal="general" vertical="bottom" textRotation="0" wrapText="false" indent="0" shrinkToFit="false"/>
      <protection locked="true" hidden="false"/>
    </xf>
    <xf numFmtId="177" fontId="8" fillId="0" borderId="0" xfId="31" applyFont="true" applyBorder="false" applyAlignment="false" applyProtection="false">
      <alignment horizontal="general" vertical="bottom" textRotation="0" wrapText="false" indent="0" shrinkToFit="false"/>
      <protection locked="true" hidden="false"/>
    </xf>
    <xf numFmtId="177" fontId="8" fillId="0" borderId="0" xfId="71" applyFont="true" applyBorder="false" applyAlignment="false" applyProtection="false">
      <alignment horizontal="general" vertical="bottom" textRotation="0" wrapText="false" indent="0" shrinkToFit="false"/>
      <protection locked="true" hidden="false"/>
    </xf>
    <xf numFmtId="166" fontId="8" fillId="0" borderId="0" xfId="100" applyFont="true" applyBorder="false" applyAlignment="false" applyProtection="false">
      <alignment horizontal="general" vertical="bottom" textRotation="0" wrapText="false" indent="0" shrinkToFit="false"/>
      <protection locked="true" hidden="false"/>
    </xf>
    <xf numFmtId="166" fontId="8" fillId="0" borderId="0" xfId="96" applyFont="true" applyBorder="false" applyAlignment="false" applyProtection="false">
      <alignment horizontal="general" vertical="bottom" textRotation="0" wrapText="false" indent="0" shrinkToFit="false"/>
      <protection locked="true" hidden="false"/>
    </xf>
    <xf numFmtId="168" fontId="22" fillId="7" borderId="3" xfId="0" applyFont="true" applyBorder="true" applyAlignment="false" applyProtection="false">
      <alignment horizontal="general" vertical="bottom" textRotation="0" wrapText="false" indent="0" shrinkToFit="false"/>
      <protection locked="true" hidden="false"/>
    </xf>
    <xf numFmtId="171" fontId="23" fillId="0" borderId="0" xfId="0" applyFont="true" applyBorder="false" applyAlignment="false" applyProtection="false">
      <alignment horizontal="general" vertical="bottom" textRotation="0" wrapText="false" indent="0" shrinkToFit="false"/>
      <protection locked="true" hidden="false"/>
    </xf>
    <xf numFmtId="173" fontId="23" fillId="0" borderId="0" xfId="0" applyFont="true" applyBorder="false" applyAlignment="false" applyProtection="false">
      <alignment horizontal="general" vertical="bottom" textRotation="0" wrapText="false" indent="0" shrinkToFit="false"/>
      <protection locked="true" hidden="false"/>
    </xf>
    <xf numFmtId="164" fontId="24" fillId="8" borderId="4" xfId="0" applyFont="true" applyBorder="true" applyAlignment="true" applyProtection="false">
      <alignment horizontal="general" vertical="bottom" textRotation="0" wrapText="true" indent="0" shrinkToFit="false"/>
      <protection locked="true" hidden="false"/>
    </xf>
    <xf numFmtId="168" fontId="22" fillId="0" borderId="3" xfId="0" applyFont="true" applyBorder="true" applyAlignment="false" applyProtection="false">
      <alignment horizontal="general" vertical="bottom" textRotation="0" wrapText="false" indent="0" shrinkToFit="false"/>
      <protection locked="true" hidden="false"/>
    </xf>
    <xf numFmtId="164" fontId="24" fillId="8" borderId="4"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31" fillId="0" borderId="0" xfId="0" applyFont="true" applyBorder="false" applyAlignment="true" applyProtection="false">
      <alignment horizontal="center" vertical="center" textRotation="0" wrapText="false" indent="0" shrinkToFit="false"/>
      <protection locked="true" hidden="false"/>
    </xf>
    <xf numFmtId="164" fontId="31" fillId="0" borderId="0" xfId="0" applyFont="true" applyBorder="false" applyAlignment="true" applyProtection="false">
      <alignment horizontal="center" vertical="center" textRotation="0" wrapText="true" indent="0" shrinkToFit="false"/>
      <protection locked="true" hidden="false"/>
    </xf>
    <xf numFmtId="170"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center" vertical="bottom" textRotation="0" wrapText="false" indent="0" shrinkToFit="false"/>
      <protection locked="true" hidden="false"/>
    </xf>
    <xf numFmtId="164" fontId="35" fillId="9" borderId="0" xfId="0" applyFont="true" applyBorder="false" applyAlignment="false" applyProtection="false">
      <alignment horizontal="general" vertical="bottom" textRotation="0" wrapText="false" indent="0" shrinkToFit="false"/>
      <protection locked="true" hidden="false"/>
    </xf>
    <xf numFmtId="170" fontId="35" fillId="9"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70" fontId="32"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cellXfs>
  <cellStyles count="87">
    <cellStyle name="Normal" xfId="0" builtinId="0"/>
    <cellStyle name="Comma" xfId="15" builtinId="3"/>
    <cellStyle name="Comma [0]" xfId="16" builtinId="6"/>
    <cellStyle name="Currency" xfId="17" builtinId="4"/>
    <cellStyle name="Currency [0]" xfId="18" builtinId="7"/>
    <cellStyle name="Percent" xfId="19" builtinId="5"/>
    <cellStyle name="EstiloDetalle" xfId="20"/>
    <cellStyle name="Millares [0] 10" xfId="21"/>
    <cellStyle name="Millares [0] 11" xfId="22"/>
    <cellStyle name="Millares [0] 12" xfId="23"/>
    <cellStyle name="Millares [0] 2" xfId="24"/>
    <cellStyle name="Millares [0] 2 10" xfId="25"/>
    <cellStyle name="Millares [0] 2 11" xfId="26"/>
    <cellStyle name="Millares [0] 2 12" xfId="27"/>
    <cellStyle name="Millares [0] 2 13" xfId="28"/>
    <cellStyle name="Millares [0] 2 14" xfId="29"/>
    <cellStyle name="Millares [0] 2 15" xfId="30"/>
    <cellStyle name="Millares [0] 2 2" xfId="31"/>
    <cellStyle name="Millares [0] 2 2 10" xfId="32"/>
    <cellStyle name="Millares [0] 2 2 2" xfId="33"/>
    <cellStyle name="Millares [0] 2 2 2 2" xfId="34"/>
    <cellStyle name="Millares [0] 2 2 2 3" xfId="35"/>
    <cellStyle name="Millares [0] 2 2 2 4" xfId="36"/>
    <cellStyle name="Millares [0] 2 2 2 5" xfId="37"/>
    <cellStyle name="Millares [0] 2 2 3" xfId="38"/>
    <cellStyle name="Millares [0] 2 2 3 2" xfId="39"/>
    <cellStyle name="Millares [0] 2 2 3 3" xfId="40"/>
    <cellStyle name="Millares [0] 2 2 3 4" xfId="41"/>
    <cellStyle name="Millares [0] 2 2 4" xfId="42"/>
    <cellStyle name="Millares [0] 2 2 5" xfId="43"/>
    <cellStyle name="Millares [0] 2 2 6" xfId="44"/>
    <cellStyle name="Millares [0] 2 2 7" xfId="45"/>
    <cellStyle name="Millares [0] 2 2 8" xfId="46"/>
    <cellStyle name="Millares [0] 2 2 9" xfId="47"/>
    <cellStyle name="Millares [0] 2 3" xfId="48"/>
    <cellStyle name="Millares [0] 2 3 2" xfId="49"/>
    <cellStyle name="Millares [0] 2 3 3" xfId="50"/>
    <cellStyle name="Millares [0] 2 3 4" xfId="51"/>
    <cellStyle name="Millares [0] 2 3 5" xfId="52"/>
    <cellStyle name="Millares [0] 2 3 6" xfId="53"/>
    <cellStyle name="Millares [0] 2 3 7" xfId="54"/>
    <cellStyle name="Millares [0] 2 4" xfId="55"/>
    <cellStyle name="Millares [0] 2 4 2" xfId="56"/>
    <cellStyle name="Millares [0] 2 4 3" xfId="57"/>
    <cellStyle name="Millares [0] 2 4 4" xfId="58"/>
    <cellStyle name="Millares [0] 2 4 5" xfId="59"/>
    <cellStyle name="Millares [0] 2 5" xfId="60"/>
    <cellStyle name="Millares [0] 2 5 2" xfId="61"/>
    <cellStyle name="Millares [0] 2 5 3" xfId="62"/>
    <cellStyle name="Millares [0] 2 5 4" xfId="63"/>
    <cellStyle name="Millares [0] 2 6" xfId="64"/>
    <cellStyle name="Millares [0] 2 6 2" xfId="65"/>
    <cellStyle name="Millares [0] 2 6 3" xfId="66"/>
    <cellStyle name="Millares [0] 2 7" xfId="67"/>
    <cellStyle name="Millares [0] 2 7 2" xfId="68"/>
    <cellStyle name="Millares [0] 2 8" xfId="69"/>
    <cellStyle name="Millares [0] 2 9" xfId="70"/>
    <cellStyle name="Millares [0] 3" xfId="71"/>
    <cellStyle name="Millares [0] 3 2" xfId="72"/>
    <cellStyle name="Millares [0] 3 2 2" xfId="73"/>
    <cellStyle name="Millares [0] 3 2 3" xfId="74"/>
    <cellStyle name="Millares [0] 3 2 4" xfId="75"/>
    <cellStyle name="Millares [0] 3 2 5" xfId="76"/>
    <cellStyle name="Millares [0] 3 3" xfId="77"/>
    <cellStyle name="Millares [0] 3 4" xfId="78"/>
    <cellStyle name="Millares [0] 3 5" xfId="79"/>
    <cellStyle name="Millares [0] 3 6" xfId="80"/>
    <cellStyle name="Millares [0] 3 7" xfId="81"/>
    <cellStyle name="Millares [0] 3 8" xfId="82"/>
    <cellStyle name="Millares [0] 3 9" xfId="83"/>
    <cellStyle name="Millares [0] 4" xfId="84"/>
    <cellStyle name="Millares [0] 4 2" xfId="85"/>
    <cellStyle name="Millares [0] 4 3" xfId="86"/>
    <cellStyle name="Millares [0] 4 4" xfId="87"/>
    <cellStyle name="Millares [0] 4 5" xfId="88"/>
    <cellStyle name="Millares [0] 4 6" xfId="89"/>
    <cellStyle name="Millares [0] 5" xfId="90"/>
    <cellStyle name="Millares [0] 5 2" xfId="91"/>
    <cellStyle name="Millares [0] 6" xfId="92"/>
    <cellStyle name="Millares [0] 7" xfId="93"/>
    <cellStyle name="Millares [0] 8" xfId="94"/>
    <cellStyle name="Millares [0] 9" xfId="95"/>
    <cellStyle name="Normal 2" xfId="96"/>
    <cellStyle name="Normal 54" xfId="97"/>
    <cellStyle name="Porcentaje 2" xfId="98"/>
    <cellStyle name="Porcentaje 29" xfId="99"/>
    <cellStyle name="Excel Built-in Comma [0]" xfId="100"/>
  </cellStyles>
  <dxfs count="3">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A6A6A6"/>
      <rgbColor rgb="FFC0504D"/>
      <rgbColor rgb="FFF8F8F8"/>
      <rgbColor rgb="FFF2F2F2"/>
      <rgbColor rgb="FF660066"/>
      <rgbColor rgb="FF8B8B8B"/>
      <rgbColor rgb="FF0066CC"/>
      <rgbColor rgb="FFD4D4D4"/>
      <rgbColor rgb="FF000080"/>
      <rgbColor rgb="FFFF00FF"/>
      <rgbColor rgb="FFFFFF00"/>
      <rgbColor rgb="FF00FFFF"/>
      <rgbColor rgb="FF800080"/>
      <rgbColor rgb="FF800000"/>
      <rgbColor rgb="FF008080"/>
      <rgbColor rgb="FF0000FF"/>
      <rgbColor rgb="FF00CCFF"/>
      <rgbColor rgb="FFCCFFFF"/>
      <rgbColor rgb="FFDAF2D0"/>
      <rgbColor rgb="FFFFFF99"/>
      <rgbColor rgb="FF9F9F9F"/>
      <rgbColor rgb="FFFF99CC"/>
      <rgbColor rgb="FFACACAC"/>
      <rgbColor rgb="FFD9D9D9"/>
      <rgbColor rgb="FF3366FF"/>
      <rgbColor rgb="FF33CCCC"/>
      <rgbColor rgb="FF8ED973"/>
      <rgbColor rgb="FFFDD900"/>
      <rgbColor rgb="FFFF9900"/>
      <rgbColor rgb="FFFF6600"/>
      <rgbColor rgb="FF666666"/>
      <rgbColor rgb="FF959595"/>
      <rgbColor rgb="FF003366"/>
      <rgbColor rgb="FF5B9BD5"/>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Norm.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(2)'!$A$3:$A$187</c:f>
              <c:numCache>
                <c:formatCode>mmm/yyyy</c:formatCode>
                <c:ptCount val="185"/>
                <c:pt idx="0">
                  <c:v>12/31/2005</c:v>
                </c:pt>
                <c:pt idx="1">
                  <c:v>31-01-2006</c:v>
                </c:pt>
                <c:pt idx="2">
                  <c:v>2/28/2006</c:v>
                </c:pt>
                <c:pt idx="3">
                  <c:v>3/31/2006</c:v>
                </c:pt>
                <c:pt idx="4">
                  <c:v>4/28/2006</c:v>
                </c:pt>
                <c:pt idx="5">
                  <c:v>5/31/2006</c:v>
                </c:pt>
                <c:pt idx="6">
                  <c:v>6/30/2006</c:v>
                </c:pt>
                <c:pt idx="7">
                  <c:v>7/31/2006</c:v>
                </c:pt>
                <c:pt idx="8">
                  <c:v/>
                </c:pt>
                <c:pt idx="9">
                  <c:v>8/31/2006</c:v>
                </c:pt>
                <c:pt idx="10">
                  <c:v>9/29/2006</c:v>
                </c:pt>
                <c:pt idx="11">
                  <c:v>10/31/2006</c:v>
                </c:pt>
                <c:pt idx="12">
                  <c:v>11/30/2006</c:v>
                </c:pt>
                <c:pt idx="13">
                  <c:v>12/29/2006</c:v>
                </c:pt>
                <c:pt idx="14">
                  <c:v>1/31/2007</c:v>
                </c:pt>
                <c:pt idx="15">
                  <c:v>2/28/2007</c:v>
                </c:pt>
                <c:pt idx="16">
                  <c:v>3/30/2007</c:v>
                </c:pt>
                <c:pt idx="17">
                  <c:v>4/30/2007</c:v>
                </c:pt>
                <c:pt idx="18">
                  <c:v>5/31/2007</c:v>
                </c:pt>
                <c:pt idx="19">
                  <c:v>6/29/2007</c:v>
                </c:pt>
                <c:pt idx="20">
                  <c:v>7/31/2007</c:v>
                </c:pt>
                <c:pt idx="21">
                  <c:v>8/31/2007</c:v>
                </c:pt>
                <c:pt idx="22">
                  <c:v/>
                </c:pt>
                <c:pt idx="23">
                  <c:v>9/28/2007</c:v>
                </c:pt>
                <c:pt idx="24">
                  <c:v>10/31/2007</c:v>
                </c:pt>
                <c:pt idx="25">
                  <c:v>11/30/2007</c:v>
                </c:pt>
                <c:pt idx="26">
                  <c:v>12/31/2007</c:v>
                </c:pt>
                <c:pt idx="27">
                  <c:v>1/31/2008</c:v>
                </c:pt>
                <c:pt idx="28">
                  <c:v>2/29/2008</c:v>
                </c:pt>
                <c:pt idx="29">
                  <c:v>3/31/2008</c:v>
                </c:pt>
                <c:pt idx="30">
                  <c:v>4/30/2008</c:v>
                </c:pt>
                <c:pt idx="31">
                  <c:v>5/30/2008</c:v>
                </c:pt>
                <c:pt idx="32">
                  <c:v>6/30/2008</c:v>
                </c:pt>
                <c:pt idx="33">
                  <c:v>7/31/2008</c:v>
                </c:pt>
                <c:pt idx="34">
                  <c:v>8/29/2008</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pt idx="153">
                  <c:v>7/31/2018</c:v>
                </c:pt>
                <c:pt idx="154">
                  <c:v>8/31/2018</c:v>
                </c:pt>
                <c:pt idx="155">
                  <c:v>9/30/2018</c:v>
                </c:pt>
                <c:pt idx="156">
                  <c:v>10/31/2018</c:v>
                </c:pt>
                <c:pt idx="157">
                  <c:v>11/30/2018</c:v>
                </c:pt>
                <c:pt idx="158">
                  <c:v>12/31/2018</c:v>
                </c:pt>
                <c:pt idx="159">
                  <c:v>1/31/2019</c:v>
                </c:pt>
                <c:pt idx="160">
                  <c:v>2/28/2019</c:v>
                </c:pt>
                <c:pt idx="161">
                  <c:v>3/31/2019</c:v>
                </c:pt>
                <c:pt idx="162">
                  <c:v>4/30/2019</c:v>
                </c:pt>
                <c:pt idx="163">
                  <c:v>5/31/2019</c:v>
                </c:pt>
                <c:pt idx="164">
                  <c:v>6/30/2019</c:v>
                </c:pt>
                <c:pt idx="165">
                  <c:v>7/31/2019</c:v>
                </c:pt>
                <c:pt idx="166">
                  <c:v>8/31/2019</c:v>
                </c:pt>
                <c:pt idx="167">
                  <c:v>9/30/2019</c:v>
                </c:pt>
                <c:pt idx="168">
                  <c:v>10/31/2019</c:v>
                </c:pt>
                <c:pt idx="169">
                  <c:v>11/30/2019</c:v>
                </c:pt>
                <c:pt idx="170">
                  <c:v>12/31/2019</c:v>
                </c:pt>
                <c:pt idx="171">
                  <c:v>1/31/2020</c:v>
                </c:pt>
                <c:pt idx="172">
                  <c:v>2/29/2020</c:v>
                </c:pt>
                <c:pt idx="173">
                  <c:v>3/31/2020</c:v>
                </c:pt>
                <c:pt idx="174">
                  <c:v>4/30/2020</c:v>
                </c:pt>
                <c:pt idx="175">
                  <c:v>5/31/2020</c:v>
                </c:pt>
                <c:pt idx="176">
                  <c:v>6/30/2020</c:v>
                </c:pt>
                <c:pt idx="177">
                  <c:v>7/31/2020</c:v>
                </c:pt>
                <c:pt idx="178">
                  <c:v>8/31/2020</c:v>
                </c:pt>
                <c:pt idx="179">
                  <c:v>9/30/2020</c:v>
                </c:pt>
                <c:pt idx="180">
                  <c:v>10/31/2020</c:v>
                </c:pt>
                <c:pt idx="181">
                  <c:v>11/30/2020</c:v>
                </c:pt>
                <c:pt idx="182">
                  <c:v>12/31/2020</c:v>
                </c:pt>
                <c:pt idx="183">
                  <c:v>1/31/2021</c:v>
                </c:pt>
                <c:pt idx="184">
                  <c:v>2/28/2021</c:v>
                </c:pt>
              </c:numCache>
            </c:numRef>
          </c:cat>
          <c:val>
            <c:numRef>
              <c:f>'Datos ICP (2)'!$D$3:$D$187</c:f>
              <c:numCache>
                <c:formatCode>0.00</c:formatCode>
                <c:ptCount val="185"/>
                <c:pt idx="0">
                  <c:v>100</c:v>
                </c:pt>
                <c:pt idx="1">
                  <c:v>100.399063647502</c:v>
                </c:pt>
                <c:pt idx="2">
                  <c:v>100.748369873844</c:v>
                </c:pt>
                <c:pt idx="3">
                  <c:v>101.145972753019</c:v>
                </c:pt>
                <c:pt idx="4">
                  <c:v>101.512625603252</c:v>
                </c:pt>
                <c:pt idx="5">
                  <c:v>101.971672050207</c:v>
                </c:pt>
                <c:pt idx="6">
                  <c:v>102.391095156275</c:v>
                </c:pt>
                <c:pt idx="7">
                  <c:v>102.83096901893</c:v>
                </c:pt>
                <c:pt idx="9">
                  <c:v>103.288098207455</c:v>
                </c:pt>
                <c:pt idx="10">
                  <c:v>103.722950678983</c:v>
                </c:pt>
                <c:pt idx="11">
                  <c:v>104.198613365665</c:v>
                </c:pt>
                <c:pt idx="12">
                  <c:v>104.655012170026</c:v>
                </c:pt>
                <c:pt idx="13">
                  <c:v>105.106754775343</c:v>
                </c:pt>
                <c:pt idx="14">
                  <c:v>105.60652013943</c:v>
                </c:pt>
                <c:pt idx="15">
                  <c:v>106.021469642495</c:v>
                </c:pt>
                <c:pt idx="16">
                  <c:v>106.467186578461</c:v>
                </c:pt>
                <c:pt idx="17">
                  <c:v>106.933536867054</c:v>
                </c:pt>
                <c:pt idx="18">
                  <c:v>107.400982731892</c:v>
                </c:pt>
                <c:pt idx="19">
                  <c:v>107.8433216411</c:v>
                </c:pt>
                <c:pt idx="20">
                  <c:v>108.339069892287</c:v>
                </c:pt>
                <c:pt idx="21">
                  <c:v>108.849882316852</c:v>
                </c:pt>
                <c:pt idx="23">
                  <c:v>109.334948699642</c:v>
                </c:pt>
                <c:pt idx="24">
                  <c:v>109.912773871237</c:v>
                </c:pt>
                <c:pt idx="25">
                  <c:v>110.441845899897</c:v>
                </c:pt>
                <c:pt idx="26">
                  <c:v>110.950832364053</c:v>
                </c:pt>
                <c:pt idx="27">
                  <c:v>111.594848600493</c:v>
                </c:pt>
                <c:pt idx="28">
                  <c:v>112.158522578913</c:v>
                </c:pt>
                <c:pt idx="29">
                  <c:v>112.766293501224</c:v>
                </c:pt>
                <c:pt idx="30">
                  <c:v>113.357265587768</c:v>
                </c:pt>
                <c:pt idx="31">
                  <c:v>113.953441661478</c:v>
                </c:pt>
                <c:pt idx="32">
                  <c:v>114.599375156348</c:v>
                </c:pt>
                <c:pt idx="33">
                  <c:v>115.29935707934</c:v>
                </c:pt>
                <c:pt idx="34">
                  <c:v>115.990756988407</c:v>
                </c:pt>
                <c:pt idx="35">
                  <c:v>116.833620313444</c:v>
                </c:pt>
                <c:pt idx="36">
                  <c:v>117.640877410496</c:v>
                </c:pt>
                <c:pt idx="37">
                  <c:v>118.422023273691</c:v>
                </c:pt>
                <c:pt idx="38">
                  <c:v>119.293006389036</c:v>
                </c:pt>
                <c:pt idx="39">
                  <c:v>120.067487496736</c:v>
                </c:pt>
                <c:pt idx="40">
                  <c:v>120.623766335498</c:v>
                </c:pt>
                <c:pt idx="41">
                  <c:v>120.98065029754</c:v>
                </c:pt>
                <c:pt idx="42">
                  <c:v>121.176393253442</c:v>
                </c:pt>
                <c:pt idx="43">
                  <c:v>121.307314614805</c:v>
                </c:pt>
                <c:pt idx="44">
                  <c:v>121.417967815622</c:v>
                </c:pt>
                <c:pt idx="45">
                  <c:v>121.47512037644</c:v>
                </c:pt>
                <c:pt idx="46">
                  <c:v>121.518304340125</c:v>
                </c:pt>
                <c:pt idx="47">
                  <c:v>121.563770754323</c:v>
                </c:pt>
                <c:pt idx="48">
                  <c:v>121.606589525926</c:v>
                </c:pt>
                <c:pt idx="49">
                  <c:v>121.650138681693</c:v>
                </c:pt>
                <c:pt idx="50">
                  <c:v>121.695696393911</c:v>
                </c:pt>
                <c:pt idx="51">
                  <c:v>121.739062953637</c:v>
                </c:pt>
                <c:pt idx="52">
                  <c:v>121.778138506401</c:v>
                </c:pt>
                <c:pt idx="53">
                  <c:v>121.826161265172</c:v>
                </c:pt>
                <c:pt idx="54">
                  <c:v>121.870349507082</c:v>
                </c:pt>
                <c:pt idx="55">
                  <c:v>121.914811643054</c:v>
                </c:pt>
                <c:pt idx="56">
                  <c:v>121.982372178206</c:v>
                </c:pt>
                <c:pt idx="57">
                  <c:v>122.10188128701</c:v>
                </c:pt>
                <c:pt idx="58">
                  <c:v>122.295615686461</c:v>
                </c:pt>
                <c:pt idx="59">
                  <c:v>122.520026220792</c:v>
                </c:pt>
                <c:pt idx="60">
                  <c:v>122.783877499968</c:v>
                </c:pt>
                <c:pt idx="61">
                  <c:v>123.097303604263</c:v>
                </c:pt>
                <c:pt idx="62">
                  <c:v>123.461674003984</c:v>
                </c:pt>
                <c:pt idx="63">
                  <c:v>123.773821935993</c:v>
                </c:pt>
                <c:pt idx="64">
                  <c:v>124.095008372029</c:v>
                </c:pt>
                <c:pt idx="65">
                  <c:v>124.493159039326</c:v>
                </c:pt>
                <c:pt idx="66">
                  <c:v>124.922533629626</c:v>
                </c:pt>
                <c:pt idx="67">
                  <c:v>125.453157724634</c:v>
                </c:pt>
                <c:pt idx="68">
                  <c:v>125.988894508789</c:v>
                </c:pt>
                <c:pt idx="69">
                  <c:v>126.522074948371</c:v>
                </c:pt>
                <c:pt idx="70">
                  <c:v>127.132767407337</c:v>
                </c:pt>
                <c:pt idx="71">
                  <c:v>127.68913754412</c:v>
                </c:pt>
                <c:pt idx="72">
                  <c:v>128.211727413326</c:v>
                </c:pt>
                <c:pt idx="73">
                  <c:v>128.829449819869</c:v>
                </c:pt>
                <c:pt idx="74">
                  <c:v>129.393306394331</c:v>
                </c:pt>
                <c:pt idx="75">
                  <c:v>129.975331274867</c:v>
                </c:pt>
                <c:pt idx="76">
                  <c:v>130.498377634176</c:v>
                </c:pt>
                <c:pt idx="77">
                  <c:v>131.043152922358</c:v>
                </c:pt>
                <c:pt idx="78">
                  <c:v>131.608013775045</c:v>
                </c:pt>
                <c:pt idx="79">
                  <c:v>132.177165634695</c:v>
                </c:pt>
                <c:pt idx="80">
                  <c:v>132.711989438645</c:v>
                </c:pt>
                <c:pt idx="81">
                  <c:v>133.300679074676</c:v>
                </c:pt>
                <c:pt idx="82">
                  <c:v>133.873300259104</c:v>
                </c:pt>
                <c:pt idx="83">
                  <c:v>134.396894406536</c:v>
                </c:pt>
                <c:pt idx="84">
                  <c:v>135.016625369529</c:v>
                </c:pt>
                <c:pt idx="85">
                  <c:v>135.581029732113</c:v>
                </c:pt>
                <c:pt idx="86">
                  <c:v>136.108914886507</c:v>
                </c:pt>
                <c:pt idx="87">
                  <c:v>136.75147035462</c:v>
                </c:pt>
                <c:pt idx="88">
                  <c:v>137.28428560212</c:v>
                </c:pt>
                <c:pt idx="89">
                  <c:v>137.819018108049</c:v>
                </c:pt>
                <c:pt idx="90">
                  <c:v>138.451348197868</c:v>
                </c:pt>
                <c:pt idx="91">
                  <c:v>139.050354510214</c:v>
                </c:pt>
                <c:pt idx="92">
                  <c:v>139.592299559761</c:v>
                </c:pt>
                <c:pt idx="93">
                  <c:v>140.236224498181</c:v>
                </c:pt>
                <c:pt idx="94">
                  <c:v>140.821992597557</c:v>
                </c:pt>
                <c:pt idx="95">
                  <c:v>141.429672221847</c:v>
                </c:pt>
                <c:pt idx="96">
                  <c:v>142.008227777605</c:v>
                </c:pt>
                <c:pt idx="97">
                  <c:v>142.562406761897</c:v>
                </c:pt>
                <c:pt idx="98">
                  <c:v>143.115855362024</c:v>
                </c:pt>
                <c:pt idx="99">
                  <c:v>143.688933036554</c:v>
                </c:pt>
                <c:pt idx="100">
                  <c:v>144.182124943167</c:v>
                </c:pt>
                <c:pt idx="101">
                  <c:v>144.693941645957</c:v>
                </c:pt>
                <c:pt idx="102">
                  <c:v>145.176908174277</c:v>
                </c:pt>
                <c:pt idx="103">
                  <c:v>145.661426768945</c:v>
                </c:pt>
                <c:pt idx="104">
                  <c:v>146.163839775626</c:v>
                </c:pt>
                <c:pt idx="105">
                  <c:v>146.653653655481</c:v>
                </c:pt>
                <c:pt idx="106">
                  <c:v>147.086132378478</c:v>
                </c:pt>
                <c:pt idx="107">
                  <c:v>147.522719512396</c:v>
                </c:pt>
                <c:pt idx="108">
                  <c:v>147.910644801399</c:v>
                </c:pt>
                <c:pt idx="109">
                  <c:v>148.268989531769</c:v>
                </c:pt>
                <c:pt idx="110">
                  <c:v>148.665040344595</c:v>
                </c:pt>
                <c:pt idx="111">
                  <c:v>149.049952798923</c:v>
                </c:pt>
                <c:pt idx="112">
                  <c:v>149.397980852979</c:v>
                </c:pt>
                <c:pt idx="113">
                  <c:v>149.797135798502</c:v>
                </c:pt>
                <c:pt idx="114">
                  <c:v>150.172370662659</c:v>
                </c:pt>
                <c:pt idx="115">
                  <c:v>150.535554188114</c:v>
                </c:pt>
                <c:pt idx="116">
                  <c:v>150.93735677623</c:v>
                </c:pt>
                <c:pt idx="117">
                  <c:v>151.327473217726</c:v>
                </c:pt>
                <c:pt idx="118">
                  <c:v>151.718502639426</c:v>
                </c:pt>
                <c:pt idx="119">
                  <c:v>152.098667596689</c:v>
                </c:pt>
                <c:pt idx="120">
                  <c:v>152.494535813475</c:v>
                </c:pt>
                <c:pt idx="121">
                  <c:v>152.921901847324</c:v>
                </c:pt>
                <c:pt idx="122">
                  <c:v>153.348902689092</c:v>
                </c:pt>
                <c:pt idx="123">
                  <c:v>153.796902075569</c:v>
                </c:pt>
                <c:pt idx="124">
                  <c:v>154.261061211671</c:v>
                </c:pt>
                <c:pt idx="125">
                  <c:v>154.7266811161</c:v>
                </c:pt>
                <c:pt idx="126">
                  <c:v>155.163450846059</c:v>
                </c:pt>
                <c:pt idx="127">
                  <c:v>155.646965162501</c:v>
                </c:pt>
                <c:pt idx="128">
                  <c:v>156.101538006453</c:v>
                </c:pt>
                <c:pt idx="129">
                  <c:v>156.569075169312</c:v>
                </c:pt>
                <c:pt idx="130">
                  <c:v>157.045194346096</c:v>
                </c:pt>
                <c:pt idx="131">
                  <c:v>157.503784302949</c:v>
                </c:pt>
                <c:pt idx="132">
                  <c:v>157.979173095569</c:v>
                </c:pt>
                <c:pt idx="133">
                  <c:v>158.440501993036</c:v>
                </c:pt>
                <c:pt idx="134">
                  <c:v>158.922190349069</c:v>
                </c:pt>
                <c:pt idx="135">
                  <c:v>159.382514968311</c:v>
                </c:pt>
                <c:pt idx="136">
                  <c:v>159.781213423731</c:v>
                </c:pt>
                <c:pt idx="137">
                  <c:v>160.212961762563</c:v>
                </c:pt>
                <c:pt idx="138">
                  <c:v>160.574228029588</c:v>
                </c:pt>
                <c:pt idx="139">
                  <c:v>160.96562264337</c:v>
                </c:pt>
                <c:pt idx="140">
                  <c:v>161.301599358723</c:v>
                </c:pt>
                <c:pt idx="141">
                  <c:v>161.649444816738</c:v>
                </c:pt>
                <c:pt idx="142">
                  <c:v>161.997655466834</c:v>
                </c:pt>
                <c:pt idx="143">
                  <c:v>162.335017173158</c:v>
                </c:pt>
                <c:pt idx="144">
                  <c:v>162.685312157062</c:v>
                </c:pt>
                <c:pt idx="145">
                  <c:v>163.024666899172</c:v>
                </c:pt>
                <c:pt idx="146">
                  <c:v>163.17183930818</c:v>
                </c:pt>
                <c:pt idx="147">
                  <c:v>163.727296464758</c:v>
                </c:pt>
                <c:pt idx="148">
                  <c:v>164.045287470077</c:v>
                </c:pt>
                <c:pt idx="149">
                  <c:v>164.398793405361</c:v>
                </c:pt>
                <c:pt idx="150">
                  <c:v>164.740430597984</c:v>
                </c:pt>
                <c:pt idx="151">
                  <c:v>165.093023553063</c:v>
                </c:pt>
                <c:pt idx="152">
                  <c:v>165.437696404867</c:v>
                </c:pt>
                <c:pt idx="153">
                  <c:v>165.794101052301</c:v>
                </c:pt>
                <c:pt idx="154">
                  <c:v>166.149798140077</c:v>
                </c:pt>
                <c:pt idx="155">
                  <c:v>166.490157160413</c:v>
                </c:pt>
                <c:pt idx="156">
                  <c:v>166.869043945389</c:v>
                </c:pt>
                <c:pt idx="157">
                  <c:v>167.251673949206</c:v>
                </c:pt>
                <c:pt idx="174">
                  <c:v>100</c:v>
                </c:pt>
                <c:pt idx="175">
                  <c:v>100.037394120543</c:v>
                </c:pt>
                <c:pt idx="176">
                  <c:v>100.076457104291</c:v>
                </c:pt>
                <c:pt idx="177">
                  <c:v>100.11794308773</c:v>
                </c:pt>
                <c:pt idx="178">
                  <c:v>100.158610043696</c:v>
                </c:pt>
                <c:pt idx="179">
                  <c:v>100.198147679445</c:v>
                </c:pt>
                <c:pt idx="180">
                  <c:v>100.234261493709</c:v>
                </c:pt>
                <c:pt idx="181">
                  <c:v>100.267297223082</c:v>
                </c:pt>
                <c:pt idx="182">
                  <c:v>100.305149774933</c:v>
                </c:pt>
                <c:pt idx="183">
                  <c:v>100.331543925018</c:v>
                </c:pt>
                <c:pt idx="184">
                  <c:v>100.357254612374</c:v>
                </c:pt>
              </c:numCache>
            </c:numRef>
          </c:val>
          <c:smooth val="0"/>
        </c:ser>
        <c:ser>
          <c:idx val="1"/>
          <c:order val="1"/>
          <c:tx>
            <c:strRef>
              <c:f>'Datos ICP (2)'!$J$2</c:f>
              <c:strCache>
                <c:ptCount val="1"/>
                <c:pt idx="0">
                  <c:v>Fondo LIQUIDEZ I</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(2)'!$A$3:$A$187</c:f>
              <c:numCache>
                <c:formatCode>mmm/yyyy</c:formatCode>
                <c:ptCount val="185"/>
                <c:pt idx="0">
                  <c:v>12/31/2005</c:v>
                </c:pt>
                <c:pt idx="1">
                  <c:v>31-01-2006</c:v>
                </c:pt>
                <c:pt idx="2">
                  <c:v>2/28/2006</c:v>
                </c:pt>
                <c:pt idx="3">
                  <c:v>3/31/2006</c:v>
                </c:pt>
                <c:pt idx="4">
                  <c:v>4/28/2006</c:v>
                </c:pt>
                <c:pt idx="5">
                  <c:v>5/31/2006</c:v>
                </c:pt>
                <c:pt idx="6">
                  <c:v>6/30/2006</c:v>
                </c:pt>
                <c:pt idx="7">
                  <c:v>7/31/2006</c:v>
                </c:pt>
                <c:pt idx="8">
                  <c:v/>
                </c:pt>
                <c:pt idx="9">
                  <c:v>8/31/2006</c:v>
                </c:pt>
                <c:pt idx="10">
                  <c:v>9/29/2006</c:v>
                </c:pt>
                <c:pt idx="11">
                  <c:v>10/31/2006</c:v>
                </c:pt>
                <c:pt idx="12">
                  <c:v>11/30/2006</c:v>
                </c:pt>
                <c:pt idx="13">
                  <c:v>12/29/2006</c:v>
                </c:pt>
                <c:pt idx="14">
                  <c:v>1/31/2007</c:v>
                </c:pt>
                <c:pt idx="15">
                  <c:v>2/28/2007</c:v>
                </c:pt>
                <c:pt idx="16">
                  <c:v>3/30/2007</c:v>
                </c:pt>
                <c:pt idx="17">
                  <c:v>4/30/2007</c:v>
                </c:pt>
                <c:pt idx="18">
                  <c:v>5/31/2007</c:v>
                </c:pt>
                <c:pt idx="19">
                  <c:v>6/29/2007</c:v>
                </c:pt>
                <c:pt idx="20">
                  <c:v>7/31/2007</c:v>
                </c:pt>
                <c:pt idx="21">
                  <c:v>8/31/2007</c:v>
                </c:pt>
                <c:pt idx="22">
                  <c:v/>
                </c:pt>
                <c:pt idx="23">
                  <c:v>9/28/2007</c:v>
                </c:pt>
                <c:pt idx="24">
                  <c:v>10/31/2007</c:v>
                </c:pt>
                <c:pt idx="25">
                  <c:v>11/30/2007</c:v>
                </c:pt>
                <c:pt idx="26">
                  <c:v>12/31/2007</c:v>
                </c:pt>
                <c:pt idx="27">
                  <c:v>1/31/2008</c:v>
                </c:pt>
                <c:pt idx="28">
                  <c:v>2/29/2008</c:v>
                </c:pt>
                <c:pt idx="29">
                  <c:v>3/31/2008</c:v>
                </c:pt>
                <c:pt idx="30">
                  <c:v>4/30/2008</c:v>
                </c:pt>
                <c:pt idx="31">
                  <c:v>5/30/2008</c:v>
                </c:pt>
                <c:pt idx="32">
                  <c:v>6/30/2008</c:v>
                </c:pt>
                <c:pt idx="33">
                  <c:v>7/31/2008</c:v>
                </c:pt>
                <c:pt idx="34">
                  <c:v>8/29/2008</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pt idx="153">
                  <c:v>7/31/2018</c:v>
                </c:pt>
                <c:pt idx="154">
                  <c:v>8/31/2018</c:v>
                </c:pt>
                <c:pt idx="155">
                  <c:v>9/30/2018</c:v>
                </c:pt>
                <c:pt idx="156">
                  <c:v>10/31/2018</c:v>
                </c:pt>
                <c:pt idx="157">
                  <c:v>11/30/2018</c:v>
                </c:pt>
                <c:pt idx="158">
                  <c:v>12/31/2018</c:v>
                </c:pt>
                <c:pt idx="159">
                  <c:v>1/31/2019</c:v>
                </c:pt>
                <c:pt idx="160">
                  <c:v>2/28/2019</c:v>
                </c:pt>
                <c:pt idx="161">
                  <c:v>3/31/2019</c:v>
                </c:pt>
                <c:pt idx="162">
                  <c:v>4/30/2019</c:v>
                </c:pt>
                <c:pt idx="163">
                  <c:v>5/31/2019</c:v>
                </c:pt>
                <c:pt idx="164">
                  <c:v>6/30/2019</c:v>
                </c:pt>
                <c:pt idx="165">
                  <c:v>7/31/2019</c:v>
                </c:pt>
                <c:pt idx="166">
                  <c:v>8/31/2019</c:v>
                </c:pt>
                <c:pt idx="167">
                  <c:v>9/30/2019</c:v>
                </c:pt>
                <c:pt idx="168">
                  <c:v>10/31/2019</c:v>
                </c:pt>
                <c:pt idx="169">
                  <c:v>11/30/2019</c:v>
                </c:pt>
                <c:pt idx="170">
                  <c:v>12/31/2019</c:v>
                </c:pt>
                <c:pt idx="171">
                  <c:v>1/31/2020</c:v>
                </c:pt>
                <c:pt idx="172">
                  <c:v>2/29/2020</c:v>
                </c:pt>
                <c:pt idx="173">
                  <c:v>3/31/2020</c:v>
                </c:pt>
                <c:pt idx="174">
                  <c:v>4/30/2020</c:v>
                </c:pt>
                <c:pt idx="175">
                  <c:v>5/31/2020</c:v>
                </c:pt>
                <c:pt idx="176">
                  <c:v>6/30/2020</c:v>
                </c:pt>
                <c:pt idx="177">
                  <c:v>7/31/2020</c:v>
                </c:pt>
                <c:pt idx="178">
                  <c:v>8/31/2020</c:v>
                </c:pt>
                <c:pt idx="179">
                  <c:v>9/30/2020</c:v>
                </c:pt>
                <c:pt idx="180">
                  <c:v>10/31/2020</c:v>
                </c:pt>
                <c:pt idx="181">
                  <c:v>11/30/2020</c:v>
                </c:pt>
                <c:pt idx="182">
                  <c:v>12/31/2020</c:v>
                </c:pt>
                <c:pt idx="183">
                  <c:v>1/31/2021</c:v>
                </c:pt>
                <c:pt idx="184">
                  <c:v>2/28/2021</c:v>
                </c:pt>
              </c:numCache>
            </c:numRef>
          </c:cat>
          <c:val>
            <c:numRef>
              <c:f>'Datos ICP (2)'!$J$3:$J$155</c:f>
              <c:numCache>
                <c:formatCode>General</c:formatCode>
                <c:ptCount val="153"/>
              </c:numCache>
            </c:numRef>
          </c:val>
          <c:smooth val="0"/>
        </c:ser>
        <c:hiLowLines>
          <c:spPr>
            <a:ln w="0">
              <a:noFill/>
            </a:ln>
          </c:spPr>
        </c:hiLowLines>
        <c:marker val="0"/>
        <c:axId val="47434526"/>
        <c:axId val="20953686"/>
      </c:lineChart>
      <c:dateAx>
        <c:axId val="47434526"/>
        <c:scaling>
          <c:orientation val="minMax"/>
          <c:max val="43373"/>
          <c:min val="38687"/>
        </c:scaling>
        <c:delete val="0"/>
        <c:axPos val="b"/>
        <c:numFmt formatCode="mmm/yyyy"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20953686"/>
        <c:crosses val="autoZero"/>
        <c:auto val="1"/>
        <c:lblOffset val="100"/>
        <c:baseTimeUnit val="months"/>
        <c:majorUnit val="6"/>
        <c:majorTimeUnit val="months"/>
        <c:minorUnit val="6"/>
        <c:minorTimeUnit val="months"/>
        <c:noMultiLvlLbl val="0"/>
      </c:dateAx>
      <c:valAx>
        <c:axId val="20953686"/>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47434526"/>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FIP Liquidez I</a:t>
            </a:r>
          </a:p>
        </c:rich>
      </c:tx>
      <c:overlay val="0"/>
      <c:spPr>
        <a:noFill/>
        <a:ln w="0">
          <a:noFill/>
        </a:ln>
      </c:spPr>
    </c:title>
    <c:autoTitleDeleted val="0"/>
    <c:plotArea>
      <c:layout>
        <c:manualLayout>
          <c:layoutTarget val="inner"/>
          <c:xMode val="edge"/>
          <c:yMode val="edge"/>
          <c:x val="0.117105370385462"/>
          <c:y val="0.143395976707253"/>
          <c:w val="0.817659522451308"/>
          <c:h val="0.653321863419799"/>
        </c:manualLayout>
      </c:layout>
      <c:lineChart>
        <c:grouping val="standard"/>
        <c:varyColors val="0"/>
        <c:ser>
          <c:idx val="0"/>
          <c:order val="0"/>
          <c:tx>
            <c:strRef>
              <c:f>"ICP Nom"</c:f>
              <c:strCache>
                <c:ptCount val="1"/>
                <c:pt idx="0">
                  <c:v>ICP Nom</c:v>
                </c:pt>
              </c:strCache>
            </c:strRef>
          </c:tx>
          <c:spPr>
            <a:solidFill>
              <a:srgbClr val="bfbfbf"/>
            </a:solidFill>
            <a:ln w="38160">
              <a:solidFill>
                <a:srgbClr val="bfbfbf"/>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(2)'!$A$177:$A$180,'Datos ICP (2)'!$A$183:$A$244</c:f>
              <c:numCache>
                <c:formatCode>m/d/yyyy</c:formatCode>
                <c:ptCount val="66"/>
                <c:pt idx="0">
                  <c:v>4/30/2020</c:v>
                </c:pt>
                <c:pt idx="1">
                  <c:v>5/31/2020</c:v>
                </c:pt>
                <c:pt idx="2">
                  <c:v>6/30/2020</c:v>
                </c:pt>
                <c:pt idx="3">
                  <c:v>7/31/2020</c:v>
                </c:pt>
                <c:pt idx="4">
                  <c:v>10/31/2020</c:v>
                </c:pt>
                <c:pt idx="5">
                  <c:v>11/30/2020</c:v>
                </c:pt>
                <c:pt idx="6">
                  <c:v>12/31/2020</c:v>
                </c:pt>
                <c:pt idx="7">
                  <c:v>1/31/2021</c:v>
                </c:pt>
                <c:pt idx="8">
                  <c:v>2/28/2021</c:v>
                </c:pt>
                <c:pt idx="9">
                  <c:v>3/31/2021</c:v>
                </c:pt>
                <c:pt idx="10">
                  <c:v>4/30/2021</c:v>
                </c:pt>
                <c:pt idx="11">
                  <c:v>5/31/2021</c:v>
                </c:pt>
                <c:pt idx="12">
                  <c:v>6/30/2021</c:v>
                </c:pt>
                <c:pt idx="13">
                  <c:v>7/31/2021</c:v>
                </c:pt>
                <c:pt idx="14">
                  <c:v>8/31/2021</c:v>
                </c:pt>
                <c:pt idx="15">
                  <c:v>9/30/2021</c:v>
                </c:pt>
                <c:pt idx="16">
                  <c:v>10/31/2021</c:v>
                </c:pt>
                <c:pt idx="17">
                  <c:v>11/30/2021</c:v>
                </c:pt>
                <c:pt idx="18">
                  <c:v>12/31/2021</c:v>
                </c:pt>
                <c:pt idx="19">
                  <c:v>1/31/2022</c:v>
                </c:pt>
                <c:pt idx="20">
                  <c:v>2/28/2022</c:v>
                </c:pt>
                <c:pt idx="21">
                  <c:v>3/31/2022</c:v>
                </c:pt>
                <c:pt idx="22">
                  <c:v>4/30/2022</c:v>
                </c:pt>
                <c:pt idx="23">
                  <c:v>5/31/2022</c:v>
                </c:pt>
                <c:pt idx="24">
                  <c:v>6/30/2022</c:v>
                </c:pt>
                <c:pt idx="25">
                  <c:v>7/31/2022</c:v>
                </c:pt>
                <c:pt idx="26">
                  <c:v>8/31/2022</c:v>
                </c:pt>
                <c:pt idx="27">
                  <c:v>9/30/2022</c:v>
                </c:pt>
                <c:pt idx="28">
                  <c:v>10/28/2022</c:v>
                </c:pt>
                <c:pt idx="29">
                  <c:v>11/30/2022</c:v>
                </c:pt>
                <c:pt idx="30">
                  <c:v>12/30/2022</c:v>
                </c:pt>
                <c:pt idx="31">
                  <c:v>1/31/2023</c:v>
                </c:pt>
                <c:pt idx="32">
                  <c:v>2/28/2023</c:v>
                </c:pt>
                <c:pt idx="33">
                  <c:v>3/31/2023</c:v>
                </c:pt>
                <c:pt idx="34">
                  <c:v>4/28/2023</c:v>
                </c:pt>
                <c:pt idx="35">
                  <c:v>5/31/2023</c:v>
                </c:pt>
                <c:pt idx="36">
                  <c:v>6/30/2023</c:v>
                </c:pt>
                <c:pt idx="37">
                  <c:v>7/31/2023</c:v>
                </c:pt>
                <c:pt idx="38">
                  <c:v>8/31/2023</c:v>
                </c:pt>
                <c:pt idx="39">
                  <c:v>9/30/2023</c:v>
                </c:pt>
                <c:pt idx="40">
                  <c:v>10/31/2023</c:v>
                </c:pt>
                <c:pt idx="41">
                  <c:v>11/30/2023</c:v>
                </c:pt>
                <c:pt idx="42">
                  <c:v>12/31/2023</c:v>
                </c:pt>
                <c:pt idx="43">
                  <c:v>1/31/2024</c:v>
                </c:pt>
                <c:pt idx="44">
                  <c:v>2/29/2024</c:v>
                </c:pt>
                <c:pt idx="45">
                  <c:v>3/28/2024</c:v>
                </c:pt>
                <c:pt idx="46">
                  <c:v>4/30/2024</c:v>
                </c:pt>
                <c:pt idx="47">
                  <c:v>5/31/2024</c:v>
                </c:pt>
                <c:pt idx="48">
                  <c:v>6/30/2024</c:v>
                </c:pt>
                <c:pt idx="49">
                  <c:v>7/31/2024</c:v>
                </c:pt>
                <c:pt idx="50">
                  <c:v>8/31/2024</c:v>
                </c:pt>
                <c:pt idx="51">
                  <c:v>9/30/2024</c:v>
                </c:pt>
                <c:pt idx="52">
                  <c:v>10/31/2024</c:v>
                </c:pt>
                <c:pt idx="53">
                  <c:v>11/30/2024</c:v>
                </c:pt>
                <c:pt idx="54">
                  <c:v>12/31/2024</c:v>
                </c:pt>
                <c:pt idx="55">
                  <c:v>1/31/2025</c:v>
                </c:pt>
                <c:pt idx="56">
                  <c:v>2/28/2025</c:v>
                </c:pt>
                <c:pt idx="57">
                  <c:v>3/31/2025</c:v>
                </c:pt>
                <c:pt idx="58">
                  <c:v>4/30/2025</c:v>
                </c:pt>
                <c:pt idx="59">
                  <c:v>5/31/2025</c:v>
                </c:pt>
                <c:pt idx="60">
                  <c:v>6/30/2025</c:v>
                </c:pt>
                <c:pt idx="61">
                  <c:v>7/31/2025</c:v>
                </c:pt>
                <c:pt idx="62">
                  <c:v>8/31/2025</c:v>
                </c:pt>
                <c:pt idx="63">
                  <c:v>9/30/2025</c:v>
                </c:pt>
                <c:pt idx="64">
                  <c:v>10/31/2025</c:v>
                </c:pt>
                <c:pt idx="65">
                  <c:v>11/30/2025</c:v>
                </c:pt>
              </c:numCache>
            </c:numRef>
          </c:cat>
          <c:val>
            <c:numRef>
              <c:f>'Datos ICP (2)'!$D$177:$D$180,'Datos ICP (2)'!$D$183:$D$244</c:f>
              <c:numCache>
                <c:formatCode>0.00</c:formatCode>
                <c:ptCount val="66"/>
                <c:pt idx="0">
                  <c:v>100</c:v>
                </c:pt>
                <c:pt idx="1">
                  <c:v>100.037394120543</c:v>
                </c:pt>
                <c:pt idx="2">
                  <c:v>100.076457104291</c:v>
                </c:pt>
                <c:pt idx="3">
                  <c:v>100.11794308773</c:v>
                </c:pt>
                <c:pt idx="4">
                  <c:v>100.234261493709</c:v>
                </c:pt>
                <c:pt idx="5">
                  <c:v>100.267297223082</c:v>
                </c:pt>
                <c:pt idx="6">
                  <c:v>100.305149774933</c:v>
                </c:pt>
                <c:pt idx="7">
                  <c:v>100.331543925018</c:v>
                </c:pt>
                <c:pt idx="8">
                  <c:v>100.357254612374</c:v>
                </c:pt>
                <c:pt idx="9">
                  <c:v>100.382421336723</c:v>
                </c:pt>
                <c:pt idx="10">
                  <c:v>100.411968120035</c:v>
                </c:pt>
                <c:pt idx="11">
                  <c:v>100.435548939078</c:v>
                </c:pt>
                <c:pt idx="12">
                  <c:v>100.462928391628</c:v>
                </c:pt>
                <c:pt idx="13">
                  <c:v>100.511726494253</c:v>
                </c:pt>
                <c:pt idx="14">
                  <c:v>100.572902161194</c:v>
                </c:pt>
                <c:pt idx="15">
                  <c:v>100.698377934607</c:v>
                </c:pt>
                <c:pt idx="16">
                  <c:v>100.900263772174</c:v>
                </c:pt>
                <c:pt idx="17">
                  <c:v>101.116317164427</c:v>
                </c:pt>
                <c:pt idx="18">
                  <c:v>101.42799951696</c:v>
                </c:pt>
                <c:pt idx="19">
                  <c:v>101.765220214979</c:v>
                </c:pt>
                <c:pt idx="20">
                  <c:v>102.232565700719</c:v>
                </c:pt>
                <c:pt idx="21">
                  <c:v>102.710566907763</c:v>
                </c:pt>
                <c:pt idx="22">
                  <c:v>103.270589689715</c:v>
                </c:pt>
                <c:pt idx="23">
                  <c:v>103.981471041023</c:v>
                </c:pt>
                <c:pt idx="24">
                  <c:v>104.746736863204</c:v>
                </c:pt>
                <c:pt idx="25">
                  <c:v>105.516052251966</c:v>
                </c:pt>
                <c:pt idx="26">
                  <c:v>106.432606378323</c:v>
                </c:pt>
                <c:pt idx="27">
                  <c:v>107.36919590918</c:v>
                </c:pt>
                <c:pt idx="28">
                  <c:v>108.358879366177</c:v>
                </c:pt>
                <c:pt idx="29">
                  <c:v>109.379545043142</c:v>
                </c:pt>
                <c:pt idx="30">
                  <c:v>110.40953406968</c:v>
                </c:pt>
                <c:pt idx="31">
                  <c:v>111.449483941609</c:v>
                </c:pt>
                <c:pt idx="32">
                  <c:v>112.49854504328</c:v>
                </c:pt>
                <c:pt idx="33">
                  <c:v>113.55804375965</c:v>
                </c:pt>
                <c:pt idx="34">
                  <c:v>114.626938523295</c:v>
                </c:pt>
                <c:pt idx="35">
                  <c:v>115.706689180863</c:v>
                </c:pt>
                <c:pt idx="36">
                  <c:v>116.796075774109</c:v>
                </c:pt>
                <c:pt idx="37">
                  <c:v>117.896015539914</c:v>
                </c:pt>
                <c:pt idx="38">
                  <c:v>118.907263739692</c:v>
                </c:pt>
                <c:pt idx="39">
                  <c:v>119.834186900356</c:v>
                </c:pt>
                <c:pt idx="40">
                  <c:v>120.815298787026</c:v>
                </c:pt>
                <c:pt idx="41">
                  <c:v>121.724628943821</c:v>
                </c:pt>
                <c:pt idx="42">
                  <c:v>122.558868682194</c:v>
                </c:pt>
                <c:pt idx="43">
                  <c:v>123.431475016746</c:v>
                </c:pt>
                <c:pt idx="44">
                  <c:v>124.211920203471</c:v>
                </c:pt>
                <c:pt idx="45">
                  <c:v>124.963493489686</c:v>
                </c:pt>
                <c:pt idx="46">
                  <c:v>125.655653097821</c:v>
                </c:pt>
                <c:pt idx="47">
                  <c:v>126.326182382354</c:v>
                </c:pt>
                <c:pt idx="48">
                  <c:v>126.908994422744</c:v>
                </c:pt>
                <c:pt idx="49">
                  <c:v>127.557992735121</c:v>
                </c:pt>
                <c:pt idx="50">
                  <c:v>128.150810528337</c:v>
                </c:pt>
                <c:pt idx="51">
                  <c:v>128.763505127445</c:v>
                </c:pt>
                <c:pt idx="52">
                  <c:v>129.325550415087</c:v>
                </c:pt>
                <c:pt idx="53">
                  <c:v>129.892555729725</c:v>
                </c:pt>
                <c:pt idx="54">
                  <c:v>130.451462133193</c:v>
                </c:pt>
                <c:pt idx="55">
                  <c:v>131.013804322758</c:v>
                </c:pt>
                <c:pt idx="56">
                  <c:v>131.560730299494</c:v>
                </c:pt>
                <c:pt idx="57">
                  <c:v>132.109949931163</c:v>
                </c:pt>
                <c:pt idx="58">
                  <c:v>132.661603621431</c:v>
                </c:pt>
                <c:pt idx="59">
                  <c:v>133.197500047821</c:v>
                </c:pt>
                <c:pt idx="60">
                  <c:v>133.772189470997</c:v>
                </c:pt>
                <c:pt idx="61">
                  <c:v>134.329665058744</c:v>
                </c:pt>
                <c:pt idx="62">
                  <c:v>134.827977160461</c:v>
                </c:pt>
                <c:pt idx="63">
                  <c:v>135.398306078658</c:v>
                </c:pt>
                <c:pt idx="64">
                  <c:v>135.917998436197</c:v>
                </c:pt>
                <c:pt idx="65">
                  <c:v>136.43889596287</c:v>
                </c:pt>
              </c:numCache>
            </c:numRef>
          </c:val>
          <c:smooth val="0"/>
        </c:ser>
        <c:ser>
          <c:idx val="1"/>
          <c:order val="1"/>
          <c:tx>
            <c:strRef>
              <c:f>'Datos ICP (2)'!$J$2</c:f>
              <c:strCache>
                <c:ptCount val="1"/>
                <c:pt idx="0">
                  <c:v>Fondo LIQUIDEZ I</c:v>
                </c:pt>
              </c:strCache>
            </c:strRef>
          </c:tx>
          <c:spPr>
            <a:solidFill>
              <a:srgbClr val="000000"/>
            </a:solidFill>
            <a:ln w="38160">
              <a:solidFill>
                <a:srgbClr val="00000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(2)'!$A$177:$A$180,'Datos ICP (2)'!$A$183:$A$244</c:f>
              <c:numCache>
                <c:formatCode>m/d/yyyy</c:formatCode>
                <c:ptCount val="66"/>
                <c:pt idx="0">
                  <c:v>4/30/2020</c:v>
                </c:pt>
                <c:pt idx="1">
                  <c:v>5/31/2020</c:v>
                </c:pt>
                <c:pt idx="2">
                  <c:v>6/30/2020</c:v>
                </c:pt>
                <c:pt idx="3">
                  <c:v>7/31/2020</c:v>
                </c:pt>
                <c:pt idx="4">
                  <c:v>10/31/2020</c:v>
                </c:pt>
                <c:pt idx="5">
                  <c:v>11/30/2020</c:v>
                </c:pt>
                <c:pt idx="6">
                  <c:v>12/31/2020</c:v>
                </c:pt>
                <c:pt idx="7">
                  <c:v>1/31/2021</c:v>
                </c:pt>
                <c:pt idx="8">
                  <c:v>2/28/2021</c:v>
                </c:pt>
                <c:pt idx="9">
                  <c:v>3/31/2021</c:v>
                </c:pt>
                <c:pt idx="10">
                  <c:v>4/30/2021</c:v>
                </c:pt>
                <c:pt idx="11">
                  <c:v>5/31/2021</c:v>
                </c:pt>
                <c:pt idx="12">
                  <c:v>6/30/2021</c:v>
                </c:pt>
                <c:pt idx="13">
                  <c:v>7/31/2021</c:v>
                </c:pt>
                <c:pt idx="14">
                  <c:v>8/31/2021</c:v>
                </c:pt>
                <c:pt idx="15">
                  <c:v>9/30/2021</c:v>
                </c:pt>
                <c:pt idx="16">
                  <c:v>10/31/2021</c:v>
                </c:pt>
                <c:pt idx="17">
                  <c:v>11/30/2021</c:v>
                </c:pt>
                <c:pt idx="18">
                  <c:v>12/31/2021</c:v>
                </c:pt>
                <c:pt idx="19">
                  <c:v>1/31/2022</c:v>
                </c:pt>
                <c:pt idx="20">
                  <c:v>2/28/2022</c:v>
                </c:pt>
                <c:pt idx="21">
                  <c:v>3/31/2022</c:v>
                </c:pt>
                <c:pt idx="22">
                  <c:v>4/30/2022</c:v>
                </c:pt>
                <c:pt idx="23">
                  <c:v>5/31/2022</c:v>
                </c:pt>
                <c:pt idx="24">
                  <c:v>6/30/2022</c:v>
                </c:pt>
                <c:pt idx="25">
                  <c:v>7/31/2022</c:v>
                </c:pt>
                <c:pt idx="26">
                  <c:v>8/31/2022</c:v>
                </c:pt>
                <c:pt idx="27">
                  <c:v>9/30/2022</c:v>
                </c:pt>
                <c:pt idx="28">
                  <c:v>10/28/2022</c:v>
                </c:pt>
                <c:pt idx="29">
                  <c:v>11/30/2022</c:v>
                </c:pt>
                <c:pt idx="30">
                  <c:v>12/30/2022</c:v>
                </c:pt>
                <c:pt idx="31">
                  <c:v>1/31/2023</c:v>
                </c:pt>
                <c:pt idx="32">
                  <c:v>2/28/2023</c:v>
                </c:pt>
                <c:pt idx="33">
                  <c:v>3/31/2023</c:v>
                </c:pt>
                <c:pt idx="34">
                  <c:v>4/28/2023</c:v>
                </c:pt>
                <c:pt idx="35">
                  <c:v>5/31/2023</c:v>
                </c:pt>
                <c:pt idx="36">
                  <c:v>6/30/2023</c:v>
                </c:pt>
                <c:pt idx="37">
                  <c:v>7/31/2023</c:v>
                </c:pt>
                <c:pt idx="38">
                  <c:v>8/31/2023</c:v>
                </c:pt>
                <c:pt idx="39">
                  <c:v>9/30/2023</c:v>
                </c:pt>
                <c:pt idx="40">
                  <c:v>10/31/2023</c:v>
                </c:pt>
                <c:pt idx="41">
                  <c:v>11/30/2023</c:v>
                </c:pt>
                <c:pt idx="42">
                  <c:v>12/31/2023</c:v>
                </c:pt>
                <c:pt idx="43">
                  <c:v>1/31/2024</c:v>
                </c:pt>
                <c:pt idx="44">
                  <c:v>2/29/2024</c:v>
                </c:pt>
                <c:pt idx="45">
                  <c:v>3/28/2024</c:v>
                </c:pt>
                <c:pt idx="46">
                  <c:v>4/30/2024</c:v>
                </c:pt>
                <c:pt idx="47">
                  <c:v>5/31/2024</c:v>
                </c:pt>
                <c:pt idx="48">
                  <c:v>6/30/2024</c:v>
                </c:pt>
                <c:pt idx="49">
                  <c:v>7/31/2024</c:v>
                </c:pt>
                <c:pt idx="50">
                  <c:v>8/31/2024</c:v>
                </c:pt>
                <c:pt idx="51">
                  <c:v>9/30/2024</c:v>
                </c:pt>
                <c:pt idx="52">
                  <c:v>10/31/2024</c:v>
                </c:pt>
                <c:pt idx="53">
                  <c:v>11/30/2024</c:v>
                </c:pt>
                <c:pt idx="54">
                  <c:v>12/31/2024</c:v>
                </c:pt>
                <c:pt idx="55">
                  <c:v>1/31/2025</c:v>
                </c:pt>
                <c:pt idx="56">
                  <c:v>2/28/2025</c:v>
                </c:pt>
                <c:pt idx="57">
                  <c:v>3/31/2025</c:v>
                </c:pt>
                <c:pt idx="58">
                  <c:v>4/30/2025</c:v>
                </c:pt>
                <c:pt idx="59">
                  <c:v>5/31/2025</c:v>
                </c:pt>
                <c:pt idx="60">
                  <c:v>6/30/2025</c:v>
                </c:pt>
                <c:pt idx="61">
                  <c:v>7/31/2025</c:v>
                </c:pt>
                <c:pt idx="62">
                  <c:v>8/31/2025</c:v>
                </c:pt>
                <c:pt idx="63">
                  <c:v>9/30/2025</c:v>
                </c:pt>
                <c:pt idx="64">
                  <c:v>10/31/2025</c:v>
                </c:pt>
                <c:pt idx="65">
                  <c:v>11/30/2025</c:v>
                </c:pt>
              </c:numCache>
            </c:numRef>
          </c:cat>
          <c:val>
            <c:numRef>
              <c:f>'Datos ICP (2)'!$J$177:$J$180,'Datos ICP (2)'!$J$183:$J$244</c:f>
              <c:numCache>
                <c:formatCode>#,##0.00</c:formatCode>
                <c:ptCount val="66"/>
                <c:pt idx="0">
                  <c:v>100</c:v>
                </c:pt>
                <c:pt idx="1">
                  <c:v>100.179435838704</c:v>
                </c:pt>
                <c:pt idx="2">
                  <c:v>100.465984145344</c:v>
                </c:pt>
                <c:pt idx="3">
                  <c:v>100.696366704055</c:v>
                </c:pt>
                <c:pt idx="4">
                  <c:v>101.400261670962</c:v>
                </c:pt>
                <c:pt idx="5">
                  <c:v>101.653104800044</c:v>
                </c:pt>
                <c:pt idx="6">
                  <c:v>101.857440994227</c:v>
                </c:pt>
                <c:pt idx="7">
                  <c:v>102.048634593504</c:v>
                </c:pt>
                <c:pt idx="8">
                  <c:v>102.227817651392</c:v>
                </c:pt>
                <c:pt idx="9">
                  <c:v>102.38104012596</c:v>
                </c:pt>
                <c:pt idx="10">
                  <c:v>102.538272517462</c:v>
                </c:pt>
                <c:pt idx="11">
                  <c:v>102.714259650303</c:v>
                </c:pt>
                <c:pt idx="12">
                  <c:v>102.862336936032</c:v>
                </c:pt>
                <c:pt idx="13">
                  <c:v>103.03262610482</c:v>
                </c:pt>
                <c:pt idx="14">
                  <c:v>103.152017346546</c:v>
                </c:pt>
                <c:pt idx="15">
                  <c:v>103.308496409469</c:v>
                </c:pt>
                <c:pt idx="16">
                  <c:v>103.456697173606</c:v>
                </c:pt>
                <c:pt idx="17">
                  <c:v>103.625072039548</c:v>
                </c:pt>
                <c:pt idx="18">
                  <c:v>103.867201799078</c:v>
                </c:pt>
                <c:pt idx="19">
                  <c:v>104.211071095463</c:v>
                </c:pt>
                <c:pt idx="20">
                  <c:v>104.668762248766</c:v>
                </c:pt>
                <c:pt idx="21">
                  <c:v>105.141199252648</c:v>
                </c:pt>
                <c:pt idx="22">
                  <c:v>105.807062453374</c:v>
                </c:pt>
                <c:pt idx="23">
                  <c:v>106.64220707283</c:v>
                </c:pt>
                <c:pt idx="24">
                  <c:v>107.474191468254</c:v>
                </c:pt>
                <c:pt idx="25">
                  <c:v>108.32774060465</c:v>
                </c:pt>
                <c:pt idx="26">
                  <c:v>109.247599780756</c:v>
                </c:pt>
                <c:pt idx="27">
                  <c:v>110.197145230212</c:v>
                </c:pt>
                <c:pt idx="28">
                  <c:v>111.288735259698</c:v>
                </c:pt>
                <c:pt idx="29">
                  <c:v>112.408110509567</c:v>
                </c:pt>
                <c:pt idx="30">
                  <c:v>113.533162970148</c:v>
                </c:pt>
                <c:pt idx="31">
                  <c:v>114.730171830487</c:v>
                </c:pt>
                <c:pt idx="32">
                  <c:v>115.986894343396</c:v>
                </c:pt>
                <c:pt idx="33">
                  <c:v>117.188125416922</c:v>
                </c:pt>
                <c:pt idx="34">
                  <c:v>118.424851380758</c:v>
                </c:pt>
                <c:pt idx="35">
                  <c:v>119.644283732616</c:v>
                </c:pt>
                <c:pt idx="36">
                  <c:v>120.875813440183</c:v>
                </c:pt>
                <c:pt idx="37">
                  <c:v>122.131788456745</c:v>
                </c:pt>
                <c:pt idx="38">
                  <c:v>123.273856824898</c:v>
                </c:pt>
                <c:pt idx="39">
                  <c:v>124.416632606874</c:v>
                </c:pt>
                <c:pt idx="40">
                  <c:v>125.52125182148</c:v>
                </c:pt>
                <c:pt idx="41">
                  <c:v>126.608247837183</c:v>
                </c:pt>
                <c:pt idx="42">
                  <c:v>127.621704865607</c:v>
                </c:pt>
                <c:pt idx="43">
                  <c:v>128.656898162236</c:v>
                </c:pt>
                <c:pt idx="44">
                  <c:v>129.549732387233</c:v>
                </c:pt>
                <c:pt idx="45">
                  <c:v>130.391312901501</c:v>
                </c:pt>
                <c:pt idx="46">
                  <c:v>131.221208065443</c:v>
                </c:pt>
                <c:pt idx="47">
                  <c:v>131.98423821263</c:v>
                </c:pt>
                <c:pt idx="48">
                  <c:v>132.701816787117</c:v>
                </c:pt>
                <c:pt idx="49">
                  <c:v>133.354011987914</c:v>
                </c:pt>
                <c:pt idx="50">
                  <c:v>134.062553706265</c:v>
                </c:pt>
                <c:pt idx="51">
                  <c:v>134.770579754346</c:v>
                </c:pt>
                <c:pt idx="52">
                  <c:v>135.420935079697</c:v>
                </c:pt>
                <c:pt idx="53">
                  <c:v>136.099192578559</c:v>
                </c:pt>
                <c:pt idx="54">
                  <c:v>136.733754671119</c:v>
                </c:pt>
                <c:pt idx="55">
                  <c:v>137.348699830244</c:v>
                </c:pt>
                <c:pt idx="56">
                  <c:v>138.039687770931</c:v>
                </c:pt>
                <c:pt idx="57">
                  <c:v>138.837347830065</c:v>
                </c:pt>
                <c:pt idx="58">
                  <c:v>139.713025909683</c:v>
                </c:pt>
                <c:pt idx="59">
                  <c:v>140.573449985252</c:v>
                </c:pt>
                <c:pt idx="60">
                  <c:v>141.385282179522</c:v>
                </c:pt>
                <c:pt idx="61">
                  <c:v>142.146571677129</c:v>
                </c:pt>
                <c:pt idx="62">
                  <c:v>142.950956791436</c:v>
                </c:pt>
                <c:pt idx="63">
                  <c:v>143.720732355895</c:v>
                </c:pt>
                <c:pt idx="64">
                  <c:v>144.497396066884</c:v>
                </c:pt>
                <c:pt idx="65">
                  <c:v>145.298104091285</c:v>
                </c:pt>
              </c:numCache>
            </c:numRef>
          </c:val>
          <c:smooth val="0"/>
        </c:ser>
        <c:ser>
          <c:idx val="2"/>
          <c:order val="2"/>
          <c:tx>
            <c:strRef>
              <c:f>"Competencia Relevante"</c:f>
              <c:strCache>
                <c:ptCount val="1"/>
                <c:pt idx="0">
                  <c:v>Competencia Relevante</c:v>
                </c:pt>
              </c:strCache>
            </c:strRef>
          </c:tx>
          <c:spPr>
            <a:solidFill>
              <a:srgbClr val="a6a6a6"/>
            </a:solidFill>
            <a:ln w="38160">
              <a:solidFill>
                <a:srgbClr val="a6a6a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(2)'!$A$177:$A$180,'Datos ICP (2)'!$A$183:$A$244</c:f>
              <c:numCache>
                <c:formatCode>m/d/yyyy</c:formatCode>
                <c:ptCount val="66"/>
                <c:pt idx="0">
                  <c:v>4/30/2020</c:v>
                </c:pt>
                <c:pt idx="1">
                  <c:v>5/31/2020</c:v>
                </c:pt>
                <c:pt idx="2">
                  <c:v>6/30/2020</c:v>
                </c:pt>
                <c:pt idx="3">
                  <c:v>7/31/2020</c:v>
                </c:pt>
                <c:pt idx="4">
                  <c:v>10/31/2020</c:v>
                </c:pt>
                <c:pt idx="5">
                  <c:v>11/30/2020</c:v>
                </c:pt>
                <c:pt idx="6">
                  <c:v>12/31/2020</c:v>
                </c:pt>
                <c:pt idx="7">
                  <c:v>1/31/2021</c:v>
                </c:pt>
                <c:pt idx="8">
                  <c:v>2/28/2021</c:v>
                </c:pt>
                <c:pt idx="9">
                  <c:v>3/31/2021</c:v>
                </c:pt>
                <c:pt idx="10">
                  <c:v>4/30/2021</c:v>
                </c:pt>
                <c:pt idx="11">
                  <c:v>5/31/2021</c:v>
                </c:pt>
                <c:pt idx="12">
                  <c:v>6/30/2021</c:v>
                </c:pt>
                <c:pt idx="13">
                  <c:v>7/31/2021</c:v>
                </c:pt>
                <c:pt idx="14">
                  <c:v>8/31/2021</c:v>
                </c:pt>
                <c:pt idx="15">
                  <c:v>9/30/2021</c:v>
                </c:pt>
                <c:pt idx="16">
                  <c:v>10/31/2021</c:v>
                </c:pt>
                <c:pt idx="17">
                  <c:v>11/30/2021</c:v>
                </c:pt>
                <c:pt idx="18">
                  <c:v>12/31/2021</c:v>
                </c:pt>
                <c:pt idx="19">
                  <c:v>1/31/2022</c:v>
                </c:pt>
                <c:pt idx="20">
                  <c:v>2/28/2022</c:v>
                </c:pt>
                <c:pt idx="21">
                  <c:v>3/31/2022</c:v>
                </c:pt>
                <c:pt idx="22">
                  <c:v>4/30/2022</c:v>
                </c:pt>
                <c:pt idx="23">
                  <c:v>5/31/2022</c:v>
                </c:pt>
                <c:pt idx="24">
                  <c:v>6/30/2022</c:v>
                </c:pt>
                <c:pt idx="25">
                  <c:v>7/31/2022</c:v>
                </c:pt>
                <c:pt idx="26">
                  <c:v>8/31/2022</c:v>
                </c:pt>
                <c:pt idx="27">
                  <c:v>9/30/2022</c:v>
                </c:pt>
                <c:pt idx="28">
                  <c:v>10/28/2022</c:v>
                </c:pt>
                <c:pt idx="29">
                  <c:v>11/30/2022</c:v>
                </c:pt>
                <c:pt idx="30">
                  <c:v>12/30/2022</c:v>
                </c:pt>
                <c:pt idx="31">
                  <c:v>1/31/2023</c:v>
                </c:pt>
                <c:pt idx="32">
                  <c:v>2/28/2023</c:v>
                </c:pt>
                <c:pt idx="33">
                  <c:v>3/31/2023</c:v>
                </c:pt>
                <c:pt idx="34">
                  <c:v>4/28/2023</c:v>
                </c:pt>
                <c:pt idx="35">
                  <c:v>5/31/2023</c:v>
                </c:pt>
                <c:pt idx="36">
                  <c:v>6/30/2023</c:v>
                </c:pt>
                <c:pt idx="37">
                  <c:v>7/31/2023</c:v>
                </c:pt>
                <c:pt idx="38">
                  <c:v>8/31/2023</c:v>
                </c:pt>
                <c:pt idx="39">
                  <c:v>9/30/2023</c:v>
                </c:pt>
                <c:pt idx="40">
                  <c:v>10/31/2023</c:v>
                </c:pt>
                <c:pt idx="41">
                  <c:v>11/30/2023</c:v>
                </c:pt>
                <c:pt idx="42">
                  <c:v>12/31/2023</c:v>
                </c:pt>
                <c:pt idx="43">
                  <c:v>1/31/2024</c:v>
                </c:pt>
                <c:pt idx="44">
                  <c:v>2/29/2024</c:v>
                </c:pt>
                <c:pt idx="45">
                  <c:v>3/28/2024</c:v>
                </c:pt>
                <c:pt idx="46">
                  <c:v>4/30/2024</c:v>
                </c:pt>
                <c:pt idx="47">
                  <c:v>5/31/2024</c:v>
                </c:pt>
                <c:pt idx="48">
                  <c:v>6/30/2024</c:v>
                </c:pt>
                <c:pt idx="49">
                  <c:v>7/31/2024</c:v>
                </c:pt>
                <c:pt idx="50">
                  <c:v>8/31/2024</c:v>
                </c:pt>
                <c:pt idx="51">
                  <c:v>9/30/2024</c:v>
                </c:pt>
                <c:pt idx="52">
                  <c:v>10/31/2024</c:v>
                </c:pt>
                <c:pt idx="53">
                  <c:v>11/30/2024</c:v>
                </c:pt>
                <c:pt idx="54">
                  <c:v>12/31/2024</c:v>
                </c:pt>
                <c:pt idx="55">
                  <c:v>1/31/2025</c:v>
                </c:pt>
                <c:pt idx="56">
                  <c:v>2/28/2025</c:v>
                </c:pt>
                <c:pt idx="57">
                  <c:v>3/31/2025</c:v>
                </c:pt>
                <c:pt idx="58">
                  <c:v>4/30/2025</c:v>
                </c:pt>
                <c:pt idx="59">
                  <c:v>5/31/2025</c:v>
                </c:pt>
                <c:pt idx="60">
                  <c:v>6/30/2025</c:v>
                </c:pt>
                <c:pt idx="61">
                  <c:v>7/31/2025</c:v>
                </c:pt>
                <c:pt idx="62">
                  <c:v>8/31/2025</c:v>
                </c:pt>
                <c:pt idx="63">
                  <c:v>9/30/2025</c:v>
                </c:pt>
                <c:pt idx="64">
                  <c:v>10/31/2025</c:v>
                </c:pt>
                <c:pt idx="65">
                  <c:v>11/30/2025</c:v>
                </c:pt>
              </c:numCache>
            </c:numRef>
          </c:cat>
          <c:val>
            <c:numRef>
              <c:f>'Datos ICP (2)'!$M$177:$M$180,'Datos ICP (2)'!$M$183:$M$244</c:f>
              <c:numCache>
                <c:formatCode>0.00</c:formatCode>
                <c:ptCount val="66"/>
                <c:pt idx="0">
                  <c:v>100</c:v>
                </c:pt>
                <c:pt idx="1">
                  <c:v>100.015510543458</c:v>
                </c:pt>
                <c:pt idx="2">
                  <c:v>100.031538022178</c:v>
                </c:pt>
                <c:pt idx="3">
                  <c:v>100.041228977793</c:v>
                </c:pt>
                <c:pt idx="4">
                  <c:v>100.073376512129</c:v>
                </c:pt>
                <c:pt idx="5">
                  <c:v>100.079474572401</c:v>
                </c:pt>
                <c:pt idx="6">
                  <c:v>100.085346315622</c:v>
                </c:pt>
                <c:pt idx="7">
                  <c:v>100.090179885716</c:v>
                </c:pt>
                <c:pt idx="8">
                  <c:v>100.09602517468</c:v>
                </c:pt>
                <c:pt idx="9">
                  <c:v>100.101259416068</c:v>
                </c:pt>
                <c:pt idx="10">
                  <c:v>100.107891812034</c:v>
                </c:pt>
                <c:pt idx="11">
                  <c:v>100.113712230944</c:v>
                </c:pt>
                <c:pt idx="12">
                  <c:v>100.119712375814</c:v>
                </c:pt>
                <c:pt idx="13">
                  <c:v>100.125708441728</c:v>
                </c:pt>
                <c:pt idx="14">
                  <c:v>100.13172028515</c:v>
                </c:pt>
                <c:pt idx="15">
                  <c:v>100.119928069325</c:v>
                </c:pt>
                <c:pt idx="16">
                  <c:v>100.218981182256</c:v>
                </c:pt>
                <c:pt idx="17">
                  <c:v>100.345179431233</c:v>
                </c:pt>
                <c:pt idx="18">
                  <c:v>100.522216704149</c:v>
                </c:pt>
                <c:pt idx="19">
                  <c:v>100.772387408194</c:v>
                </c:pt>
                <c:pt idx="20">
                  <c:v>101.128727019689</c:v>
                </c:pt>
                <c:pt idx="21">
                  <c:v>101.499896196169</c:v>
                </c:pt>
                <c:pt idx="22">
                  <c:v>101.963914467296</c:v>
                </c:pt>
                <c:pt idx="23">
                  <c:v>102.507667638765</c:v>
                </c:pt>
                <c:pt idx="24">
                  <c:v>103.110780875757</c:v>
                </c:pt>
                <c:pt idx="25">
                  <c:v>103.760565084599</c:v>
                </c:pt>
                <c:pt idx="26">
                  <c:v>104.466517363477</c:v>
                </c:pt>
                <c:pt idx="27">
                  <c:v>105.232857145415</c:v>
                </c:pt>
                <c:pt idx="28">
                  <c:v>106.049417452741</c:v>
                </c:pt>
                <c:pt idx="29">
                  <c:v>106.892202266857</c:v>
                </c:pt>
                <c:pt idx="30">
                  <c:v>107.73966202667</c:v>
                </c:pt>
                <c:pt idx="31">
                  <c:v>108.592284658213</c:v>
                </c:pt>
                <c:pt idx="32">
                  <c:v>109.451843263359</c:v>
                </c:pt>
                <c:pt idx="33">
                  <c:v>110.321495917905</c:v>
                </c:pt>
                <c:pt idx="34">
                  <c:v>111.203064639055</c:v>
                </c:pt>
                <c:pt idx="35">
                  <c:v>112.095224224223</c:v>
                </c:pt>
                <c:pt idx="36">
                  <c:v>112.992310124999</c:v>
                </c:pt>
                <c:pt idx="37">
                  <c:v>113.889447791324</c:v>
                </c:pt>
                <c:pt idx="38">
                  <c:v>114.726676923673</c:v>
                </c:pt>
                <c:pt idx="39">
                  <c:v>115.505077075586</c:v>
                </c:pt>
                <c:pt idx="40">
                  <c:v>116.25132363665</c:v>
                </c:pt>
                <c:pt idx="41">
                  <c:v>116.968543993627</c:v>
                </c:pt>
                <c:pt idx="42">
                  <c:v>117.659211384881</c:v>
                </c:pt>
                <c:pt idx="43">
                  <c:v>118.327811343492</c:v>
                </c:pt>
                <c:pt idx="44">
                  <c:v>118.950245511451</c:v>
                </c:pt>
                <c:pt idx="45">
                  <c:v>119.517402349304</c:v>
                </c:pt>
                <c:pt idx="46">
                  <c:v>120.030254134089</c:v>
                </c:pt>
                <c:pt idx="47">
                  <c:v>120.514378375185</c:v>
                </c:pt>
                <c:pt idx="48">
                  <c:v>120.954279130927</c:v>
                </c:pt>
                <c:pt idx="49">
                  <c:v>121.379662775781</c:v>
                </c:pt>
                <c:pt idx="50">
                  <c:v>121.805784024524</c:v>
                </c:pt>
                <c:pt idx="51">
                  <c:v>122.216932784205</c:v>
                </c:pt>
                <c:pt idx="52">
                  <c:v>122.620344819011</c:v>
                </c:pt>
                <c:pt idx="53">
                  <c:v>123.015228263512</c:v>
                </c:pt>
                <c:pt idx="54">
                  <c:v>123.399732903228</c:v>
                </c:pt>
                <c:pt idx="55">
                  <c:v>123.760403692131</c:v>
                </c:pt>
                <c:pt idx="56">
                  <c:v>124.126664347214</c:v>
                </c:pt>
                <c:pt idx="57">
                  <c:v>124.494579014428</c:v>
                </c:pt>
                <c:pt idx="58">
                  <c:v>124.865068617732</c:v>
                </c:pt>
                <c:pt idx="59">
                  <c:v>125.238426755881</c:v>
                </c:pt>
                <c:pt idx="60">
                  <c:v>125.613772890554</c:v>
                </c:pt>
                <c:pt idx="61">
                  <c:v>125.972446753427</c:v>
                </c:pt>
                <c:pt idx="62">
                  <c:v>126.338239309588</c:v>
                </c:pt>
                <c:pt idx="63">
                  <c:v>126.687136882061</c:v>
                </c:pt>
                <c:pt idx="64">
                  <c:v>127.038411059081</c:v>
                </c:pt>
                <c:pt idx="65">
                  <c:v>127.393485420523</c:v>
                </c:pt>
              </c:numCache>
            </c:numRef>
          </c:val>
          <c:smooth val="0"/>
        </c:ser>
        <c:hiLowLines>
          <c:spPr>
            <a:ln w="0">
              <a:noFill/>
            </a:ln>
          </c:spPr>
        </c:hiLowLines>
        <c:marker val="0"/>
        <c:axId val="50986274"/>
        <c:axId val="4233133"/>
      </c:lineChart>
      <c:dateAx>
        <c:axId val="50986274"/>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4233133"/>
        <c:auto val="1"/>
        <c:lblOffset val="100"/>
        <c:baseTimeUnit val="months"/>
        <c:majorUnit val="2"/>
        <c:majorTimeUnit val="months"/>
        <c:minorUnit val="2"/>
        <c:minorTimeUnit val="months"/>
        <c:noMultiLvlLbl val="0"/>
      </c:dateAx>
      <c:valAx>
        <c:axId val="4233133"/>
        <c:scaling>
          <c:orientation val="minMax"/>
        </c:scaling>
        <c:delete val="0"/>
        <c:axPos val="l"/>
        <c:majorGridlines>
          <c:spPr>
            <a:ln w="6480">
              <a:solidFill>
                <a:srgbClr val="d9d9d9"/>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Indices</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50986274"/>
        <c:crosses val="autoZero"/>
        <c:crossBetween val="between"/>
      </c:valAx>
      <c:spPr>
        <a:noFill/>
        <a:ln w="0">
          <a:noFill/>
        </a:ln>
      </c:spPr>
    </c:plotArea>
    <c:legend>
      <c:legendPos val="r"/>
      <c:layout>
        <c:manualLayout>
          <c:xMode val="edge"/>
          <c:yMode val="edge"/>
          <c:x val="0.665677386000246"/>
          <c:y val="0.635174277680822"/>
          <c:w val="0.296518023669212"/>
          <c:h val="0.169792898159095"/>
        </c:manualLayout>
      </c:layout>
      <c:overlay val="1"/>
      <c:spPr>
        <a:noFill/>
        <a:ln w="0">
          <a:noFill/>
        </a:ln>
      </c:spPr>
      <c:txPr>
        <a:bodyPr/>
        <a:lstStyle/>
        <a:p>
          <a:pPr>
            <a:defRPr b="0" sz="1000" spc="-1" strike="noStrike">
              <a:solidFill>
                <a:srgbClr val="000000"/>
              </a:solidFill>
              <a:latin typeface="Calibri"/>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0.781</c:v>
                </c:pt>
                <c:pt idx="1">
                  <c:v>0.1923</c:v>
                </c:pt>
                <c:pt idx="2">
                  <c:v>0.0267</c:v>
                </c:pt>
                <c:pt idx="3">
                  <c:v>0</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2"/>
          <c:dPt>
            <c:idx val="0"/>
            <c:explosion val="2"/>
            <c:spPr>
              <a:solidFill>
                <a:srgbClr val="7f7f7f"/>
              </a:solidFill>
              <a:ln w="19080">
                <a:solidFill>
                  <a:srgbClr val="ffffff"/>
                </a:solidFill>
                <a:round/>
              </a:ln>
            </c:spPr>
          </c:dPt>
          <c:dPt>
            <c:idx val="1"/>
            <c:explosion val="2"/>
            <c:spPr>
              <a:solidFill>
                <a:srgbClr val="8b8b8b"/>
              </a:solidFill>
              <a:ln w="19080">
                <a:solidFill>
                  <a:srgbClr val="ffffff"/>
                </a:solidFill>
                <a:round/>
              </a:ln>
            </c:spPr>
          </c:dPt>
          <c:dPt>
            <c:idx val="2"/>
            <c:explosion val="2"/>
            <c:spPr>
              <a:solidFill>
                <a:srgbClr val="959595"/>
              </a:solidFill>
              <a:ln w="19080">
                <a:solidFill>
                  <a:srgbClr val="ffffff"/>
                </a:solidFill>
                <a:round/>
              </a:ln>
            </c:spPr>
          </c:dPt>
          <c:dPt>
            <c:idx val="3"/>
            <c:explosion val="2"/>
            <c:spPr>
              <a:solidFill>
                <a:srgbClr val="9f9f9f"/>
              </a:solidFill>
              <a:ln w="19080">
                <a:solidFill>
                  <a:srgbClr val="ffffff"/>
                </a:solidFill>
                <a:round/>
              </a:ln>
            </c:spPr>
          </c:dPt>
          <c:dPt>
            <c:idx val="4"/>
            <c:explosion val="2"/>
            <c:spPr>
              <a:solidFill>
                <a:srgbClr val="acacac"/>
              </a:solidFill>
              <a:ln w="19080">
                <a:solidFill>
                  <a:srgbClr val="ffffff"/>
                </a:solidFill>
                <a:round/>
              </a:ln>
            </c:spPr>
          </c:dPt>
          <c:dPt>
            <c:idx val="5"/>
            <c:explosion val="2"/>
            <c:spPr>
              <a:solidFill>
                <a:srgbClr val="a6a6a6"/>
              </a:solidFill>
              <a:ln w="19080">
                <a:solidFill>
                  <a:srgbClr val="ffffff"/>
                </a:solidFill>
                <a:round/>
              </a:ln>
            </c:spPr>
          </c:dPt>
          <c:dPt>
            <c:idx val="6"/>
            <c:explosion val="2"/>
            <c:spPr>
              <a:solidFill>
                <a:srgbClr val="bfbfbf"/>
              </a:solidFill>
              <a:ln w="19080">
                <a:solidFill>
                  <a:srgbClr val="ffffff"/>
                </a:solidFill>
                <a:round/>
              </a:ln>
            </c:spPr>
          </c:dPt>
          <c:dPt>
            <c:idx val="7"/>
            <c:explosion val="2"/>
            <c:spPr>
              <a:solidFill>
                <a:srgbClr val="d9d9d9"/>
              </a:solidFill>
              <a:ln w="19080">
                <a:solidFill>
                  <a:srgbClr val="ffffff"/>
                </a:solidFill>
                <a:round/>
              </a:ln>
            </c:spPr>
          </c:dPt>
          <c:dPt>
            <c:idx val="8"/>
            <c:explosion val="2"/>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8"/>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composición!$O$3:$O$11</c:f>
              <c:strCache>
                <c:ptCount val="9"/>
                <c:pt idx="0">
                  <c:v>Depósitos</c:v>
                </c:pt>
                <c:pt idx="1">
                  <c:v>Factoring</c:v>
                </c:pt>
                <c:pt idx="2">
                  <c:v>Financiamiento Inmobiliario</c:v>
                </c:pt>
                <c:pt idx="3">
                  <c:v>Financiamiento Mesa Moneda Extranjera</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0.3345</c:v>
                </c:pt>
                <c:pt idx="3">
                  <c:v>0.5504</c:v>
                </c:pt>
                <c:pt idx="4">
                  <c:v>0.1151</c:v>
                </c:pt>
                <c:pt idx="5">
                  <c:v>0</c:v>
                </c:pt>
                <c:pt idx="6">
                  <c:v>0</c:v>
                </c:pt>
                <c:pt idx="7">
                  <c:v>0</c:v>
                </c:pt>
                <c:pt idx="8">
                  <c:v>0</c:v>
                </c:pt>
              </c:numCache>
            </c:numRef>
          </c:val>
        </c:ser>
        <c:firstSliceAng val="0"/>
        <c:holeSize val="50"/>
      </c:doughnutChart>
      <c:spPr>
        <a:noFill/>
        <a:ln w="0">
          <a:noFill/>
        </a:ln>
      </c:spPr>
    </c:plotArea>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composición!$S$3:$S$4</c:f>
              <c:strCache>
                <c:ptCount val="2"/>
                <c:pt idx="0">
                  <c:v>Pesos</c:v>
                </c:pt>
                <c:pt idx="1">
                  <c:v>UF</c:v>
                </c:pt>
              </c:strCache>
            </c:strRef>
          </c:cat>
          <c:val>
            <c:numRef>
              <c:f>composición!$T$3:$T$4</c:f>
              <c:numCache>
                <c:formatCode>0.00%</c:formatCode>
                <c:ptCount val="2"/>
                <c:pt idx="0">
                  <c:v>0.95834236641327</c:v>
                </c:pt>
                <c:pt idx="1">
                  <c:v>0.0416576335867301</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16</xdr:row>
      <xdr:rowOff>28440</xdr:rowOff>
    </xdr:to>
    <xdr:graphicFrame>
      <xdr:nvGraphicFramePr>
        <xdr:cNvPr id="0" name="Chart 1"/>
        <xdr:cNvGraphicFramePr/>
      </xdr:nvGraphicFramePr>
      <xdr:xfrm>
        <a:off x="37000800" y="142920"/>
        <a:ext cx="5624280" cy="29527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283680</xdr:colOff>
      <xdr:row>250</xdr:row>
      <xdr:rowOff>173160</xdr:rowOff>
    </xdr:from>
    <xdr:to>
      <xdr:col>10</xdr:col>
      <xdr:colOff>568800</xdr:colOff>
      <xdr:row>279</xdr:row>
      <xdr:rowOff>88920</xdr:rowOff>
    </xdr:to>
    <xdr:graphicFrame>
      <xdr:nvGraphicFramePr>
        <xdr:cNvPr id="1" name="Chart 2"/>
        <xdr:cNvGraphicFramePr/>
      </xdr:nvGraphicFramePr>
      <xdr:xfrm>
        <a:off x="1300320" y="47836440"/>
        <a:ext cx="8834760" cy="5439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2" name="Chart 1"/>
        <xdr:cNvGraphicFramePr/>
      </xdr:nvGraphicFramePr>
      <xdr:xfrm>
        <a:off x="2996280" y="593964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3" name="Chart 2"/>
        <xdr:cNvGraphicFramePr/>
      </xdr:nvGraphicFramePr>
      <xdr:xfrm>
        <a:off x="2966040" y="308232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4" name="Chart 3"/>
        <xdr:cNvGraphicFramePr/>
      </xdr:nvGraphicFramePr>
      <xdr:xfrm>
        <a:off x="3065040" y="35820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NCABEZAS/Desktop/fondos%20fin/Copia%20de%20Factsheet%20Vantrust%20Alto%20Patrimonio%20Noviembre%202018%20(00000002).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sheetData sheetId="1"/>
      <sheetData sheetId="2"/>
      <sheetData sheetId="3"/>
      <sheetData sheetId="4">
        <row r="2">
          <cell r="B2">
            <v>999.9484</v>
          </cell>
        </row>
      </sheetData>
      <sheetData sheetId="5"/>
      <sheetData sheetId="6"/>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42578125" defaultRowHeight="15" zeroHeight="false" outlineLevelRow="0" outlineLevelCol="0"/>
  <cols>
    <col collapsed="false" customWidth="true" hidden="false" outlineLevel="0" max="1" min="1" style="0" width="69.14"/>
  </cols>
  <sheetData>
    <row r="2" customFormat="false" ht="204" hidden="false" customHeight="true" outlineLevel="0" collapsed="false">
      <c r="A2" s="1" t="s">
        <v>0</v>
      </c>
    </row>
    <row r="3" customFormat="false" ht="15" hidden="false" customHeight="false" outlineLevel="0" collapsed="false">
      <c r="A3" s="1"/>
    </row>
    <row r="4" customFormat="false" ht="15" hidden="false" customHeight="false" outlineLevel="0" collapsed="false">
      <c r="A4"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9"/>
  <sheetViews>
    <sheetView showFormulas="false" showGridLines="false" showRowColHeaders="true" showZeros="true" rightToLeft="false" tabSelected="false" showOutlineSymbols="true" defaultGridColor="true" view="normal" topLeftCell="V49" colorId="64" zoomScale="80" zoomScaleNormal="80" zoomScalePageLayoutView="100" workbookViewId="0">
      <selection pane="topLeft" activeCell="AW20" activeCellId="0" sqref="AW20"/>
    </sheetView>
  </sheetViews>
  <sheetFormatPr defaultColWidth="12.2890625" defaultRowHeight="15" zeroHeight="false" outlineLevelRow="0" outlineLevelCol="0"/>
  <cols>
    <col collapsed="false" customWidth="true" hidden="false" outlineLevel="0" max="1" min="1" style="3" width="14.42"/>
    <col collapsed="false" customWidth="true" hidden="false" outlineLevel="0" max="2" min="2" style="3" width="15"/>
    <col collapsed="false" customWidth="false" hidden="false" outlineLevel="0" max="5" min="3" style="3" width="12.29"/>
    <col collapsed="false" customWidth="true" hidden="false" outlineLevel="0" max="6" min="6" style="3" width="16.14"/>
    <col collapsed="false" customWidth="true" hidden="false" outlineLevel="0" max="7" min="7" style="4" width="14.14"/>
    <col collapsed="false" customWidth="true" hidden="false" outlineLevel="0" max="8" min="8" style="4" width="14.57"/>
    <col collapsed="false" customWidth="false" hidden="false" outlineLevel="0" max="9" min="9" style="5" width="12.29"/>
    <col collapsed="false" customWidth="false" hidden="false" outlineLevel="0" max="12" min="10" style="3" width="12.29"/>
    <col collapsed="false" customWidth="true" hidden="false" outlineLevel="0" max="15" min="13" style="3" width="11.85"/>
    <col collapsed="false" customWidth="true" hidden="false" outlineLevel="0" max="17" min="16" style="3" width="13.42"/>
    <col collapsed="false" customWidth="true" hidden="false" outlineLevel="0" max="18" min="18" style="3" width="12.86"/>
    <col collapsed="false" customWidth="true" hidden="false" outlineLevel="0" max="19" min="19" style="3" width="14.14"/>
    <col collapsed="false" customWidth="true" hidden="false" outlineLevel="0" max="20" min="20" style="3" width="13.86"/>
    <col collapsed="false" customWidth="true" hidden="false" outlineLevel="0" max="21" min="21" style="3" width="15"/>
    <col collapsed="false" customWidth="true" hidden="false" outlineLevel="0" max="22" min="22" style="3" width="14.71"/>
    <col collapsed="false" customWidth="true" hidden="false" outlineLevel="0" max="23" min="23" style="3" width="13.86"/>
    <col collapsed="false" customWidth="true" hidden="false" outlineLevel="0" max="25" min="24" style="3" width="15"/>
    <col collapsed="false" customWidth="true" hidden="false" outlineLevel="0" max="26" min="26" style="3" width="13.42"/>
    <col collapsed="false" customWidth="true" hidden="false" outlineLevel="0" max="27" min="27" style="3" width="14.14"/>
    <col collapsed="false" customWidth="true" hidden="false" outlineLevel="0" max="28" min="28" style="3" width="5.57"/>
    <col collapsed="false" customWidth="true" hidden="false" outlineLevel="0" max="29" min="29" style="3" width="9.14"/>
    <col collapsed="false" customWidth="false" hidden="false" outlineLevel="0" max="30" min="30" style="3" width="12.29"/>
    <col collapsed="false" customWidth="true" hidden="false" outlineLevel="0" max="31" min="31" style="3" width="8.86"/>
    <col collapsed="false" customWidth="true" hidden="false" outlineLevel="0" max="32" min="32" style="3" width="11.57"/>
    <col collapsed="false" customWidth="true" hidden="false" outlineLevel="0" max="34" min="33" style="3" width="7.86"/>
    <col collapsed="false" customWidth="true" hidden="false" outlineLevel="0" max="35" min="35" style="3" width="7.42"/>
    <col collapsed="false" customWidth="true" hidden="false" outlineLevel="0" max="36" min="36" style="3" width="7.57"/>
    <col collapsed="false" customWidth="true" hidden="false" outlineLevel="0" max="37" min="37" style="3" width="10.57"/>
    <col collapsed="false" customWidth="true" hidden="false" outlineLevel="0" max="38" min="38" style="3" width="8.15"/>
    <col collapsed="false" customWidth="true" hidden="false" outlineLevel="0" max="39" min="39" style="3" width="7.57"/>
    <col collapsed="false" customWidth="true" hidden="false" outlineLevel="0" max="40" min="40" style="3" width="7.86"/>
    <col collapsed="false" customWidth="true" hidden="false" outlineLevel="0" max="41" min="41" style="3" width="7.57"/>
    <col collapsed="false" customWidth="true" hidden="false" outlineLevel="0" max="42" min="42" style="3" width="9.42"/>
    <col collapsed="false" customWidth="true" hidden="false" outlineLevel="0" max="43" min="43" style="3" width="10.29"/>
    <col collapsed="false" customWidth="true" hidden="false" outlineLevel="0" max="44" min="44" style="3" width="3.86"/>
    <col collapsed="false" customWidth="true" hidden="false" outlineLevel="0" max="45" min="45" style="3" width="11.71"/>
    <col collapsed="false" customWidth="false" hidden="false" outlineLevel="0" max="46" min="46" style="3" width="12.29"/>
    <col collapsed="false" customWidth="true" hidden="false" outlineLevel="0" max="47" min="47" style="3" width="12.71"/>
    <col collapsed="false" customWidth="true" hidden="false" outlineLevel="0" max="48" min="48" style="3" width="11.71"/>
    <col collapsed="false" customWidth="true" hidden="false" outlineLevel="0" max="49" min="49" style="3" width="14.29"/>
    <col collapsed="false" customWidth="true" hidden="false" outlineLevel="0" max="50" min="50" style="3" width="15.29"/>
    <col collapsed="false" customWidth="true" hidden="false" outlineLevel="0" max="51" min="51" style="3" width="15"/>
    <col collapsed="false" customWidth="true" hidden="false" outlineLevel="0" max="52" min="52" style="3" width="15.29"/>
    <col collapsed="false" customWidth="true" hidden="false" outlineLevel="0" max="53" min="53" style="3" width="14.42"/>
    <col collapsed="false" customWidth="true" hidden="false" outlineLevel="0" max="54" min="54" style="3" width="14.57"/>
    <col collapsed="false" customWidth="false" hidden="false" outlineLevel="0" max="16384" min="55" style="3" width="12.29"/>
  </cols>
  <sheetData>
    <row r="1" customFormat="false" ht="15.75" hidden="false" customHeight="true" outlineLevel="0" collapsed="false">
      <c r="A1" s="3" t="s">
        <v>1</v>
      </c>
      <c r="F1" s="3" t="s">
        <v>2</v>
      </c>
      <c r="AC1" s="6"/>
      <c r="AD1" s="7" t="s">
        <v>3</v>
      </c>
      <c r="AE1" s="8" t="s">
        <v>4</v>
      </c>
      <c r="AF1" s="8" t="s">
        <v>5</v>
      </c>
      <c r="AG1" s="8" t="s">
        <v>6</v>
      </c>
      <c r="AH1" s="8" t="s">
        <v>7</v>
      </c>
      <c r="AI1" s="8" t="s">
        <v>8</v>
      </c>
      <c r="AJ1" s="8" t="s">
        <v>9</v>
      </c>
      <c r="AK1" s="8" t="s">
        <v>10</v>
      </c>
      <c r="AL1" s="8" t="s">
        <v>11</v>
      </c>
      <c r="AM1" s="8" t="s">
        <v>12</v>
      </c>
      <c r="AN1" s="8" t="s">
        <v>13</v>
      </c>
      <c r="AO1" s="8" t="s">
        <v>14</v>
      </c>
      <c r="AP1" s="8" t="s">
        <v>15</v>
      </c>
      <c r="AQ1" s="8" t="s">
        <v>16</v>
      </c>
      <c r="AR1" s="9"/>
      <c r="AS1" s="9"/>
    </row>
    <row r="2" customFormat="false" ht="15" hidden="false" customHeight="false" outlineLevel="0" collapsed="false">
      <c r="A2" s="10" t="s">
        <v>17</v>
      </c>
      <c r="B2" s="10" t="s">
        <v>3</v>
      </c>
      <c r="C2" s="10"/>
      <c r="D2" s="10" t="s">
        <v>18</v>
      </c>
      <c r="E2" s="10"/>
      <c r="F2" s="10"/>
      <c r="G2" s="11"/>
      <c r="H2" s="11"/>
      <c r="J2" s="3" t="s">
        <v>19</v>
      </c>
      <c r="K2" s="12" t="s">
        <v>20</v>
      </c>
      <c r="L2" s="13"/>
      <c r="M2" s="3" t="s">
        <v>21</v>
      </c>
      <c r="P2" s="3" t="s">
        <v>4</v>
      </c>
      <c r="Q2" s="3" t="s">
        <v>5</v>
      </c>
      <c r="R2" s="3" t="s">
        <v>6</v>
      </c>
      <c r="S2" s="3" t="s">
        <v>7</v>
      </c>
      <c r="T2" s="3" t="s">
        <v>8</v>
      </c>
      <c r="U2" s="3" t="s">
        <v>9</v>
      </c>
      <c r="V2" s="3" t="s">
        <v>10</v>
      </c>
      <c r="W2" s="3" t="s">
        <v>11</v>
      </c>
      <c r="X2" s="3" t="s">
        <v>12</v>
      </c>
      <c r="Y2" s="3" t="s">
        <v>13</v>
      </c>
      <c r="Z2" s="3" t="s">
        <v>14</v>
      </c>
      <c r="AA2" s="3" t="s">
        <v>15</v>
      </c>
      <c r="AC2" s="6"/>
      <c r="AD2" s="14" t="n">
        <v>2019</v>
      </c>
      <c r="AE2" s="15"/>
      <c r="AF2" s="15"/>
      <c r="AG2" s="15"/>
      <c r="AH2" s="15"/>
      <c r="AI2" s="15"/>
      <c r="AJ2" s="15"/>
      <c r="AK2" s="15"/>
      <c r="AL2" s="15"/>
      <c r="AM2" s="15"/>
      <c r="AN2" s="15"/>
      <c r="AO2" s="15"/>
      <c r="AP2" s="15"/>
      <c r="AQ2" s="16"/>
      <c r="AR2" s="9"/>
      <c r="AS2" s="9"/>
    </row>
    <row r="3" customFormat="false" ht="15" hidden="false" customHeight="false" outlineLevel="0" collapsed="false">
      <c r="A3" s="17" t="n">
        <v>38717</v>
      </c>
      <c r="B3" s="18" t="n">
        <v>10953.14</v>
      </c>
      <c r="D3" s="19" t="n">
        <v>100</v>
      </c>
      <c r="E3" s="19"/>
      <c r="F3" s="19"/>
      <c r="K3" s="12" t="s">
        <v>22</v>
      </c>
      <c r="L3" s="13"/>
      <c r="N3" s="18" t="n">
        <f aca="false">B3</f>
        <v>10953.14</v>
      </c>
      <c r="O3" s="3" t="n">
        <v>2018</v>
      </c>
      <c r="P3" s="3" t="n">
        <f aca="false">+B150</f>
        <v>17933.28</v>
      </c>
      <c r="Q3" s="3" t="n">
        <f aca="false">+B151</f>
        <v>17968.11</v>
      </c>
      <c r="R3" s="3" t="n">
        <f aca="false">+B152</f>
        <v>18006.83</v>
      </c>
      <c r="S3" s="3" t="n">
        <f aca="false">+B153</f>
        <v>18044.25</v>
      </c>
      <c r="T3" s="18" t="n">
        <f aca="false">+B154</f>
        <v>18082.87</v>
      </c>
      <c r="U3" s="19" t="n">
        <f aca="false">+B155</f>
        <v>18120.6225</v>
      </c>
      <c r="V3" s="18" t="n">
        <f aca="false">+B156</f>
        <v>18159.66</v>
      </c>
      <c r="W3" s="18" t="n">
        <f aca="false">+B157</f>
        <v>18198.62</v>
      </c>
      <c r="X3" s="18" t="n">
        <f aca="false">+B158</f>
        <v>18235.9</v>
      </c>
      <c r="Y3" s="20" t="n">
        <f aca="false">+B159</f>
        <v>18277.4</v>
      </c>
      <c r="Z3" s="21" t="n">
        <f aca="false">+B160</f>
        <v>18319.31</v>
      </c>
      <c r="AA3" s="3" t="n">
        <f aca="false">+B161</f>
        <v>18362.684</v>
      </c>
      <c r="AC3" s="6"/>
      <c r="AD3" s="14" t="n">
        <v>2020</v>
      </c>
      <c r="AE3" s="15"/>
      <c r="AF3" s="15"/>
      <c r="AG3" s="15"/>
      <c r="AH3" s="15" t="n">
        <f aca="false">+S5/R5-1</f>
        <v>0.00048443129828124</v>
      </c>
      <c r="AI3" s="15" t="n">
        <f aca="false">+T5/S5-1</f>
        <v>0.000386405912274901</v>
      </c>
      <c r="AJ3" s="15" t="n">
        <f aca="false">+U5/T5-1</f>
        <v>0.000390483819491916</v>
      </c>
      <c r="AK3" s="15" t="n">
        <f aca="false">+V5/U5-1</f>
        <v>0.000428360983128151</v>
      </c>
      <c r="AL3" s="15" t="n">
        <f aca="false">+W5/V5-1</f>
        <v>0.00041973016893726</v>
      </c>
      <c r="AM3" s="15" t="n">
        <f aca="false">+X5/W5-1</f>
        <v>0.000394750243948305</v>
      </c>
      <c r="AN3" s="15" t="n">
        <f aca="false">+Y5/X5-1</f>
        <v>0.000372438103266815</v>
      </c>
      <c r="AO3" s="15" t="n">
        <f aca="false">+Z5/Y5-1</f>
        <v>0.00032958520252091</v>
      </c>
      <c r="AP3" s="15" t="n">
        <f aca="false">+AA5/Z5-1</f>
        <v>0.000390100308495622</v>
      </c>
      <c r="AQ3" s="16" t="n">
        <f aca="false">+(AA5/AA4-1)/COUNTA(AE3:AP3)*12</f>
        <v>0.010351900904977</v>
      </c>
      <c r="AR3" s="9"/>
      <c r="AS3" s="9"/>
    </row>
    <row r="4" customFormat="false" ht="15" hidden="false" customHeight="false" outlineLevel="0" collapsed="false">
      <c r="A4" s="22" t="n">
        <v>38748</v>
      </c>
      <c r="B4" s="23" t="n">
        <v>10996.85</v>
      </c>
      <c r="C4" s="24" t="n">
        <v>0.00386190626614835</v>
      </c>
      <c r="D4" s="19" t="n">
        <v>100.399063647502</v>
      </c>
      <c r="E4" s="19"/>
      <c r="F4" s="19"/>
      <c r="K4" s="12" t="s">
        <v>23</v>
      </c>
      <c r="L4" s="13"/>
      <c r="O4" s="3" t="n">
        <v>2019</v>
      </c>
      <c r="P4" s="3" t="n">
        <f aca="false">+B162</f>
        <v>18407.69</v>
      </c>
      <c r="Q4" s="3" t="n">
        <f aca="false">+B163</f>
        <v>18449.16</v>
      </c>
      <c r="R4" s="3" t="n">
        <f aca="false">+B164</f>
        <v>18496.82</v>
      </c>
      <c r="S4" s="3" t="n">
        <f aca="false">+B165</f>
        <v>18543.07</v>
      </c>
      <c r="T4" s="3" t="n">
        <f aca="false">+B166</f>
        <v>18591.02</v>
      </c>
      <c r="U4" s="19" t="n">
        <f aca="false">+B167</f>
        <v>18632.31</v>
      </c>
      <c r="V4" s="19" t="n">
        <f aca="false">+B168</f>
        <v>18672.31</v>
      </c>
      <c r="W4" s="19" t="n">
        <f aca="false">+B169</f>
        <v>18712.55</v>
      </c>
      <c r="X4" s="3" t="n">
        <f aca="false">+B170</f>
        <v>18744.77</v>
      </c>
      <c r="Y4" s="19" t="n">
        <f aca="false">+B171</f>
        <v>18776.102</v>
      </c>
      <c r="Z4" s="3" t="n">
        <f aca="false">+B172</f>
        <v>18802.79</v>
      </c>
      <c r="AA4" s="19" t="n">
        <f aca="false">+B173</f>
        <v>18830.68</v>
      </c>
      <c r="AD4" s="14" t="n">
        <v>2021</v>
      </c>
      <c r="AE4" s="25" t="n">
        <f aca="false">+P6/AA5-1</f>
        <v>0.000271909818684524</v>
      </c>
      <c r="AF4" s="25" t="n">
        <f aca="false">+Q6/P6-1</f>
        <v>0.000239173450272023</v>
      </c>
      <c r="AG4" s="25" t="n">
        <f aca="false">+R6/Q6-1</f>
        <v>0.000259130396311313</v>
      </c>
      <c r="AH4" s="25" t="n">
        <f aca="false">+S6/R6-1</f>
        <v>0.000294342205723552</v>
      </c>
      <c r="AI4" s="25" t="n">
        <f aca="false">+T6/S6-1</f>
        <v>0.000242668745581653</v>
      </c>
      <c r="AJ4" s="25" t="n">
        <f aca="false">+U6/T6-1</f>
        <v>0.000272607187777885</v>
      </c>
      <c r="AK4" s="25" t="n">
        <f aca="false">+V6/U6-1</f>
        <v>0.000501923514011571</v>
      </c>
      <c r="AL4" s="25" t="n">
        <f aca="false">+W6/V6-1</f>
        <v>0.00062893015614951</v>
      </c>
      <c r="AM4" s="25" t="n">
        <f aca="false">+X6/W6-1</f>
        <v>0.00124761014863051</v>
      </c>
      <c r="AN4" s="25" t="n">
        <f aca="false">+Y6/X6-1</f>
        <v>0.00207168546072567</v>
      </c>
      <c r="AO4" s="25" t="n">
        <f aca="false">+Z6/Y6-1</f>
        <v>0.00214125696183509</v>
      </c>
      <c r="AP4" s="25" t="n">
        <f aca="false">+AA6/Z6-1</f>
        <v>0.0031851611422884</v>
      </c>
      <c r="AQ4" s="16" t="n">
        <f aca="false">+(AA6/AA5-1)/COUNTA(AE4:AP4)*12</f>
        <v>0.0114102002015084</v>
      </c>
      <c r="AR4" s="9"/>
      <c r="AS4" s="9"/>
    </row>
    <row r="5" customFormat="false" ht="15" hidden="false" customHeight="false" outlineLevel="0" collapsed="false">
      <c r="A5" s="17" t="n">
        <v>38776</v>
      </c>
      <c r="B5" s="23" t="n">
        <v>11035.11</v>
      </c>
      <c r="C5" s="24" t="n">
        <v>0.00372769085173086</v>
      </c>
      <c r="D5" s="19" t="n">
        <v>100.748369873844</v>
      </c>
      <c r="E5" s="19"/>
      <c r="F5" s="19"/>
      <c r="O5" s="3" t="n">
        <v>2020</v>
      </c>
      <c r="P5" s="3" t="n">
        <f aca="false">+B174</f>
        <v>18861.86</v>
      </c>
      <c r="Q5" s="19" t="n">
        <f aca="false">+B175</f>
        <v>18887.8867</v>
      </c>
      <c r="R5" s="19" t="n">
        <f aca="false">+B176</f>
        <v>18908.77</v>
      </c>
      <c r="S5" s="19" t="n">
        <f aca="false">+B177</f>
        <v>18917.93</v>
      </c>
      <c r="T5" s="3" t="n">
        <f aca="false">+B178</f>
        <v>18925.24</v>
      </c>
      <c r="U5" s="19" t="n">
        <f aca="false">+B179</f>
        <v>18932.63</v>
      </c>
      <c r="V5" s="19" t="n">
        <f aca="false">+B180</f>
        <v>18940.74</v>
      </c>
      <c r="W5" s="19" t="n">
        <f aca="false">+B181</f>
        <v>18948.69</v>
      </c>
      <c r="X5" s="19" t="n">
        <f aca="false">+B182</f>
        <v>18956.17</v>
      </c>
      <c r="Y5" s="19" t="n">
        <f aca="false">+B183</f>
        <v>18963.23</v>
      </c>
      <c r="Z5" s="19" t="n">
        <f aca="false">+B184</f>
        <v>18969.48</v>
      </c>
      <c r="AA5" s="19" t="n">
        <f aca="false">+B185</f>
        <v>18976.88</v>
      </c>
      <c r="AD5" s="14" t="n">
        <v>2022</v>
      </c>
      <c r="AE5" s="25" t="n">
        <f aca="false">+P7/AA6-1</f>
        <v>0.00343555418239894</v>
      </c>
      <c r="AF5" s="25" t="n">
        <f aca="false">+Q7/P7-1</f>
        <v>0.0042862298052635</v>
      </c>
      <c r="AG5" s="25" t="n">
        <f aca="false">+R7/Q7-1</f>
        <v>0.00483147984427568</v>
      </c>
      <c r="AH5" s="25" t="n">
        <f aca="false">+S7/R7-1</f>
        <v>0.00545243589644651</v>
      </c>
      <c r="AI5" s="25" t="n">
        <f aca="false">+T7/S7-1</f>
        <v>0.00711313258265056</v>
      </c>
      <c r="AJ5" s="25" t="n">
        <f aca="false">+U7/T7-1</f>
        <v>0.00735963642867588</v>
      </c>
      <c r="AK5" s="25" t="n">
        <f aca="false">+V7/U7-1</f>
        <v>0.00758934606328521</v>
      </c>
      <c r="AL5" s="25" t="n">
        <f aca="false">+W7/V7-1</f>
        <v>0.00897594167289917</v>
      </c>
      <c r="AM5" s="25" t="n">
        <f aca="false">+X7/W7-1</f>
        <v>0.00879983646672877</v>
      </c>
      <c r="AN5" s="25" t="n">
        <f aca="false">+Y7/X7-1</f>
        <v>0.00860306861798099</v>
      </c>
      <c r="AO5" s="25" t="n">
        <f aca="false">+Z7/Y7-1</f>
        <v>0.0103612389794803</v>
      </c>
      <c r="AP5" s="25" t="n">
        <f aca="false">+AA7/Z7-1</f>
        <v>0.00941665122241275</v>
      </c>
      <c r="AQ5" s="16" t="n">
        <f aca="false">+(AA7/AA6-1)/COUNTA(AE5:AP5)*12</f>
        <v>0.0896859911813484</v>
      </c>
      <c r="AR5" s="9"/>
      <c r="AS5" s="9"/>
    </row>
    <row r="6" customFormat="false" ht="15" hidden="false" customHeight="false" outlineLevel="0" collapsed="false">
      <c r="A6" s="17" t="n">
        <v>38807</v>
      </c>
      <c r="B6" s="23" t="n">
        <v>11078.66</v>
      </c>
      <c r="C6" s="24" t="n">
        <v>0.00381918814495936</v>
      </c>
      <c r="D6" s="19" t="n">
        <v>101.145972753019</v>
      </c>
      <c r="E6" s="19"/>
      <c r="F6" s="19"/>
      <c r="O6" s="3" t="n">
        <v>2021</v>
      </c>
      <c r="P6" s="3" t="n">
        <f aca="false">+B186</f>
        <v>18982.04</v>
      </c>
      <c r="Q6" s="3" t="n">
        <f aca="false">+B187</f>
        <v>18986.58</v>
      </c>
      <c r="R6" s="19" t="n">
        <f aca="false">+B188</f>
        <v>18991.5</v>
      </c>
      <c r="S6" s="3" t="n">
        <f aca="false">+B189</f>
        <v>18997.09</v>
      </c>
      <c r="T6" s="3" t="n">
        <f aca="false">+B190</f>
        <v>19001.7</v>
      </c>
      <c r="U6" s="3" t="n">
        <f aca="false">+B191</f>
        <v>19006.88</v>
      </c>
      <c r="V6" s="3" t="n">
        <f aca="false">+B192</f>
        <v>19016.42</v>
      </c>
      <c r="W6" s="3" t="n">
        <f aca="false">+B193</f>
        <v>19028.38</v>
      </c>
      <c r="X6" s="3" t="n">
        <f aca="false">+B194</f>
        <v>19052.12</v>
      </c>
      <c r="Y6" s="3" t="n">
        <f aca="false">+B195</f>
        <v>19091.59</v>
      </c>
      <c r="Z6" s="3" t="n">
        <f aca="false">+B196</f>
        <v>19132.47</v>
      </c>
      <c r="AA6" s="3" t="n">
        <f aca="false">+B197</f>
        <v>19193.41</v>
      </c>
      <c r="AD6" s="14" t="n">
        <v>2023</v>
      </c>
      <c r="AE6" s="25" t="n">
        <f aca="false">+P8/AA7-1</f>
        <v>0.0100469572011002</v>
      </c>
      <c r="AF6" s="25" t="n">
        <f aca="false">+Q8/P8-1</f>
        <v>0.0087853587137845</v>
      </c>
      <c r="AG6" s="25" t="n">
        <f aca="false">+R8/Q8-1</f>
        <v>0.00973181777442234</v>
      </c>
      <c r="AH6" s="25" t="n">
        <f aca="false">+S8/R8-1</f>
        <v>0.00878524391320701</v>
      </c>
      <c r="AI6" s="25" t="n">
        <f aca="false">+T8/S8-1</f>
        <v>0.0103616631363057</v>
      </c>
      <c r="AJ6" s="25" t="n">
        <f aca="false">+U8/T8-1</f>
        <v>0.00941507013085063</v>
      </c>
      <c r="AK6" s="25" t="n">
        <f aca="false">+V8/U8-1</f>
        <v>0.00973152922417442</v>
      </c>
      <c r="AL6" s="25" t="n">
        <f aca="false">+W8/V8-1</f>
        <v>0.00886337395135217</v>
      </c>
      <c r="AM6" s="25" t="n">
        <f aca="false">+X8/W8-1</f>
        <v>0.00779534514134506</v>
      </c>
      <c r="AN6" s="25" t="n">
        <f aca="false">+Y8/X8-1</f>
        <v>0.00846015350417906</v>
      </c>
      <c r="AO6" s="25" t="n">
        <f aca="false">+Z8/Y8-1</f>
        <v>0.00752661431064561</v>
      </c>
      <c r="AP6" s="25" t="n">
        <f aca="false">+AA8/Z8-1</f>
        <v>0.00708194994827327</v>
      </c>
      <c r="AQ6" s="16" t="n">
        <f aca="false">+(AA8/AA7-1)/COUNTA(AE6:AP6)*12</f>
        <v>0.111942792636216</v>
      </c>
      <c r="AR6" s="9"/>
      <c r="AS6" s="9"/>
    </row>
    <row r="7" customFormat="false" ht="15" hidden="false" customHeight="false" outlineLevel="0" collapsed="false">
      <c r="A7" s="17" t="n">
        <v>38835</v>
      </c>
      <c r="B7" s="23" t="n">
        <v>11118.82</v>
      </c>
      <c r="C7" s="24" t="n">
        <v>0.00388391479010748</v>
      </c>
      <c r="D7" s="19" t="n">
        <v>101.512625603252</v>
      </c>
      <c r="E7" s="19"/>
      <c r="F7" s="19"/>
      <c r="O7" s="3" t="n">
        <v>2022</v>
      </c>
      <c r="P7" s="3" t="n">
        <f aca="false">+B198</f>
        <v>19259.35</v>
      </c>
      <c r="Q7" s="19" t="n">
        <f aca="false">+B199</f>
        <v>19341.9</v>
      </c>
      <c r="R7" s="19" t="n">
        <f aca="false">+B200</f>
        <v>19435.35</v>
      </c>
      <c r="S7" s="3" t="n">
        <f aca="false">+B201</f>
        <v>19541.32</v>
      </c>
      <c r="T7" s="3" t="n">
        <f aca="false">+B202</f>
        <v>19680.32</v>
      </c>
      <c r="U7" s="3" t="n">
        <f aca="false">+B203</f>
        <v>19825.16</v>
      </c>
      <c r="V7" s="3" t="n">
        <f aca="false">+B204</f>
        <v>19975.62</v>
      </c>
      <c r="W7" s="3" t="n">
        <f aca="false">+B205</f>
        <v>20154.92</v>
      </c>
      <c r="X7" s="3" t="n">
        <f aca="false">+B206</f>
        <v>20332.28</v>
      </c>
      <c r="Y7" s="3" t="n">
        <f aca="false">+B207</f>
        <v>20507.2</v>
      </c>
      <c r="Z7" s="3" t="n">
        <f aca="false">+B208</f>
        <v>20719.68</v>
      </c>
      <c r="AA7" s="3" t="n">
        <f aca="false">+B209</f>
        <v>20914.79</v>
      </c>
      <c r="AD7" s="14" t="n">
        <v>2024</v>
      </c>
      <c r="AE7" s="25" t="n">
        <f aca="false">+P9/AA8-1</f>
        <v>0.00735722532416316</v>
      </c>
      <c r="AF7" s="25" t="n">
        <f aca="false">+Q9/P9-1</f>
        <v>0.00611213912063557</v>
      </c>
      <c r="AG7" s="25" t="n">
        <f aca="false">+R9/Q9-1</f>
        <v>0.00564735171406094</v>
      </c>
      <c r="AH7" s="25" t="n">
        <f aca="false">+S9/R9-1</f>
        <v>0.00609278396182833</v>
      </c>
      <c r="AI7" s="25" t="n">
        <f aca="false">+T9/S9-1</f>
        <v>0.00551411929031809</v>
      </c>
      <c r="AJ7" s="25" t="n">
        <f aca="false">+U9/T9-1</f>
        <v>0.00461354906321554</v>
      </c>
      <c r="AK7" s="25" t="n">
        <f aca="false">+V9/U9-1</f>
        <v>0.00528435035284347</v>
      </c>
      <c r="AL7" s="25" t="n">
        <f aca="false">+W9/V9-1</f>
        <v>0.00480235203759283</v>
      </c>
      <c r="AM7" s="25" t="n">
        <f aca="false">+X9/W9-1</f>
        <v>0.00478104349541386</v>
      </c>
      <c r="AN7" s="25" t="n">
        <f aca="false">+Y9/X9-1</f>
        <v>0.00451044051641847</v>
      </c>
      <c r="AO7" s="25" t="n">
        <f aca="false">+Z9/Y9-1</f>
        <v>0.0043843255475724</v>
      </c>
      <c r="AP7" s="25" t="n">
        <f aca="false">+AA9/Z9-1</f>
        <v>0.00444626417327787</v>
      </c>
      <c r="AQ7" s="16" t="n">
        <f aca="false">+(AA9/AA8-1)/COUNTA(AE7:AP7)*12</f>
        <v>0.0654251259349719</v>
      </c>
      <c r="AR7" s="9"/>
      <c r="AS7" s="9"/>
    </row>
    <row r="8" customFormat="false" ht="15" hidden="false" customHeight="false" outlineLevel="0" collapsed="false">
      <c r="A8" s="17" t="n">
        <v>38868</v>
      </c>
      <c r="B8" s="23" t="n">
        <v>11169.1</v>
      </c>
      <c r="C8" s="24" t="n">
        <v>0.00411096599361197</v>
      </c>
      <c r="D8" s="19" t="n">
        <v>101.971672050207</v>
      </c>
      <c r="E8" s="19"/>
      <c r="F8" s="19"/>
      <c r="O8" s="3" t="n">
        <v>2023</v>
      </c>
      <c r="P8" s="3" t="n">
        <f aca="false">+B210</f>
        <v>21124.92</v>
      </c>
      <c r="Q8" s="19" t="n">
        <f aca="false">+B211</f>
        <v>21310.51</v>
      </c>
      <c r="R8" s="19" t="n">
        <f aca="false">+B212</f>
        <v>21517.9</v>
      </c>
      <c r="S8" s="3" t="n">
        <f aca="false">+B213</f>
        <v>21706.94</v>
      </c>
      <c r="T8" s="3" t="n">
        <f aca="false">+B214</f>
        <v>21931.86</v>
      </c>
      <c r="U8" s="3" t="n">
        <f aca="false">+B215</f>
        <v>22138.35</v>
      </c>
      <c r="V8" s="3" t="n">
        <f aca="false">+B216</f>
        <v>22353.79</v>
      </c>
      <c r="W8" s="3" t="n">
        <f aca="false">+B217</f>
        <v>22551.92</v>
      </c>
      <c r="X8" s="3" t="n">
        <f aca="false">+B218</f>
        <v>22727.72</v>
      </c>
      <c r="Y8" s="19" t="n">
        <f aca="false">+B219</f>
        <v>22920</v>
      </c>
      <c r="Z8" s="3" t="n">
        <f aca="false">+B220</f>
        <v>23092.51</v>
      </c>
      <c r="AA8" s="3" t="n">
        <f aca="false">+B221</f>
        <v>23256.05</v>
      </c>
      <c r="AD8" s="14" t="n">
        <v>2025</v>
      </c>
      <c r="AE8" s="25" t="n">
        <f aca="false">+P10/AA9-1</f>
        <v>0.00445443017437541</v>
      </c>
      <c r="AF8" s="25" t="n">
        <f aca="false">+Q10/P10-1</f>
        <v>0.00389626305099444</v>
      </c>
      <c r="AG8" s="25" t="n">
        <f aca="false">+R10/Q10-1</f>
        <v>0.0043138020854181</v>
      </c>
      <c r="AH8" s="25" t="n">
        <f aca="false">+S10/R10-1</f>
        <v>0.00417571644342774</v>
      </c>
      <c r="AI8" s="25" t="n">
        <f aca="false">+T10/S10-1</f>
        <v>0.00417422694650416</v>
      </c>
      <c r="AJ8" s="25" t="n">
        <f aca="false">+U10/T10-1</f>
        <v>0.00431456613652492</v>
      </c>
      <c r="AK8" s="25" t="n">
        <f aca="false">+V10/U10-1</f>
        <v>0.00430626208344687</v>
      </c>
      <c r="AL8" s="25" t="n">
        <f aca="false">+W10/V10-1</f>
        <v>0.00383327468941586</v>
      </c>
      <c r="AM8" s="25" t="n">
        <f aca="false">+X10/W10-1</f>
        <v>0.00423004876441735</v>
      </c>
      <c r="AN8" s="25" t="n">
        <f aca="false">+Y10/X10-1</f>
        <v>0.00396619021077105</v>
      </c>
      <c r="AO8" s="25" t="n">
        <f aca="false">+Z10/Y10-1</f>
        <v>0.00383243965233548</v>
      </c>
      <c r="AP8" s="25" t="n">
        <f aca="false">+AA10/Z10-1</f>
        <v>0.00413946203577598</v>
      </c>
      <c r="AQ8" s="16" t="n">
        <f aca="false">+(AA10/P10-1)/COUNTA(AE8:AP8)*12</f>
        <v>0.0461215166375695</v>
      </c>
      <c r="AR8" s="9"/>
      <c r="AS8" s="9"/>
    </row>
    <row r="9" customFormat="false" ht="15" hidden="false" customHeight="false" outlineLevel="0" collapsed="false">
      <c r="A9" s="17" t="n">
        <v>38898</v>
      </c>
      <c r="B9" s="23" t="n">
        <v>11215.04</v>
      </c>
      <c r="C9" s="24" t="n">
        <v>0.00411313355597143</v>
      </c>
      <c r="D9" s="19" t="n">
        <v>102.391095156275</v>
      </c>
      <c r="E9" s="19"/>
      <c r="F9" s="19"/>
      <c r="O9" s="3" t="n">
        <v>2024</v>
      </c>
      <c r="P9" s="3" t="n">
        <f aca="false">+B222</f>
        <v>23427.15</v>
      </c>
      <c r="Q9" s="19" t="n">
        <f aca="false">+B223</f>
        <v>23570.34</v>
      </c>
      <c r="R9" s="19" t="n">
        <f aca="false">+B224</f>
        <v>23703.45</v>
      </c>
      <c r="S9" s="3" t="n">
        <f aca="false">+B225</f>
        <v>23847.87</v>
      </c>
      <c r="T9" s="3" t="n">
        <f aca="false">+B226</f>
        <v>23979.37</v>
      </c>
      <c r="U9" s="19" t="n">
        <f aca="false">+B227</f>
        <v>24090</v>
      </c>
      <c r="V9" s="3" t="n">
        <f aca="false">+B228</f>
        <v>24217.3</v>
      </c>
      <c r="W9" s="3" t="n">
        <f aca="false">+B229</f>
        <v>24333.6</v>
      </c>
      <c r="X9" s="3" t="n">
        <f aca="false">+B230</f>
        <v>24449.94</v>
      </c>
      <c r="Y9" s="19" t="n">
        <f aca="false">+B231</f>
        <v>24560.22</v>
      </c>
      <c r="Z9" s="3" t="n">
        <f aca="false">+B232</f>
        <v>24667.9</v>
      </c>
      <c r="AA9" s="3" t="n">
        <f aca="false">+B233</f>
        <v>24777.58</v>
      </c>
      <c r="AD9" s="14" t="n">
        <v>2026</v>
      </c>
      <c r="AE9" s="25" t="n">
        <f aca="false">+P11/AA10-1</f>
        <v>0.00388234363273376</v>
      </c>
      <c r="AF9" s="25" t="n">
        <f aca="false">+Q11/P11-1</f>
        <v>0.00363126461056962</v>
      </c>
      <c r="AG9" s="25" t="n">
        <f aca="false">+R11/Q11-1</f>
        <v>0.0038819280865483</v>
      </c>
      <c r="AH9" s="25" t="n">
        <f aca="false">+S11/R11-1</f>
        <v>-0.243672722859896</v>
      </c>
      <c r="AQ9" s="16" t="n">
        <f aca="false">+(S11/P11-1)/COUNTA(AE9:AP9)*12</f>
        <v>-0.71393888658704</v>
      </c>
      <c r="AR9" s="9"/>
      <c r="AS9" s="9"/>
    </row>
    <row r="10" customFormat="false" ht="15" hidden="false" customHeight="false" outlineLevel="0" collapsed="false">
      <c r="A10" s="17" t="n">
        <v>38929</v>
      </c>
      <c r="B10" s="23" t="n">
        <v>11263.22</v>
      </c>
      <c r="C10" s="24" t="n">
        <v>0.00415743559110015</v>
      </c>
      <c r="D10" s="19" t="n">
        <v>102.83096901893</v>
      </c>
      <c r="E10" s="19"/>
      <c r="F10" s="19"/>
      <c r="O10" s="3" t="n">
        <v>2025</v>
      </c>
      <c r="P10" s="3" t="n">
        <f aca="false">+B234</f>
        <v>24887.95</v>
      </c>
      <c r="Q10" s="19" t="n">
        <f aca="false">+B235</f>
        <v>24984.92</v>
      </c>
      <c r="R10" s="19" t="n">
        <f aca="false">+B236</f>
        <v>25092.7</v>
      </c>
      <c r="S10" s="3" t="n">
        <f aca="false">+B237</f>
        <v>25197.48</v>
      </c>
      <c r="T10" s="3" t="n">
        <f aca="false">+B238</f>
        <v>25302.66</v>
      </c>
      <c r="U10" s="19" t="n">
        <f aca="false">+B239</f>
        <v>25411.83</v>
      </c>
      <c r="V10" s="3" t="n">
        <f aca="false">+B240</f>
        <v>25521.26</v>
      </c>
      <c r="W10" s="3" t="n">
        <f aca="false">+B241</f>
        <v>25619.09</v>
      </c>
      <c r="X10" s="3" t="n">
        <f aca="false">+B242</f>
        <v>25727.46</v>
      </c>
      <c r="Y10" s="19" t="n">
        <f aca="false">+B243</f>
        <v>25829.5</v>
      </c>
      <c r="Z10" s="3" t="n">
        <f aca="false">+B244</f>
        <v>25928.49</v>
      </c>
      <c r="AA10" s="3" t="n">
        <f aca="false">+B245</f>
        <v>26035.82</v>
      </c>
      <c r="AR10" s="9"/>
      <c r="AS10" s="9"/>
    </row>
    <row r="11" customFormat="false" ht="15" hidden="false" customHeight="false" outlineLevel="0" collapsed="false">
      <c r="A11" s="17"/>
      <c r="B11" s="23"/>
      <c r="C11" s="24"/>
      <c r="D11" s="19"/>
      <c r="E11" s="19"/>
      <c r="F11" s="19"/>
      <c r="O11" s="3" t="n">
        <v>2026</v>
      </c>
      <c r="P11" s="3" t="n">
        <f aca="false">+B246</f>
        <v>26136.9</v>
      </c>
      <c r="Q11" s="19" t="n">
        <f aca="false">+B247</f>
        <v>26231.81</v>
      </c>
      <c r="R11" s="19" t="n">
        <f aca="false">+B248</f>
        <v>26333.64</v>
      </c>
      <c r="S11" s="3" t="n">
        <f aca="false">+B249</f>
        <v>19916.8502383877</v>
      </c>
      <c r="U11" s="19"/>
      <c r="Y11" s="19"/>
      <c r="AD11" s="26" t="s">
        <v>24</v>
      </c>
      <c r="AR11" s="9"/>
      <c r="AS11" s="9"/>
    </row>
    <row r="12" customFormat="false" ht="15" hidden="false" customHeight="false" outlineLevel="0" collapsed="false">
      <c r="A12" s="17" t="n">
        <v>38960</v>
      </c>
      <c r="B12" s="23" t="n">
        <v>11313.29</v>
      </c>
      <c r="C12" s="24" t="n">
        <v>0.00430204139754694</v>
      </c>
      <c r="D12" s="19" t="n">
        <v>103.288098207455</v>
      </c>
      <c r="E12" s="19"/>
      <c r="F12" s="19"/>
      <c r="P12" s="10" t="n">
        <v>31</v>
      </c>
      <c r="Q12" s="10" t="n">
        <v>28</v>
      </c>
      <c r="R12" s="10" t="n">
        <v>31</v>
      </c>
      <c r="S12" s="10" t="n">
        <v>30</v>
      </c>
      <c r="T12" s="10" t="n">
        <v>31</v>
      </c>
      <c r="U12" s="10" t="n">
        <v>30</v>
      </c>
      <c r="V12" s="10" t="n">
        <v>31</v>
      </c>
      <c r="W12" s="10" t="n">
        <v>31</v>
      </c>
      <c r="X12" s="10" t="n">
        <v>30</v>
      </c>
      <c r="Y12" s="10" t="n">
        <v>31</v>
      </c>
      <c r="Z12" s="10" t="n">
        <v>30</v>
      </c>
      <c r="AA12" s="10" t="n">
        <v>31</v>
      </c>
      <c r="AR12" s="9"/>
      <c r="AS12" s="9"/>
    </row>
    <row r="13" customFormat="false" ht="15.75" hidden="false" customHeight="true" outlineLevel="0" collapsed="false">
      <c r="A13" s="17" t="n">
        <v>38989</v>
      </c>
      <c r="B13" s="23" t="n">
        <v>11360.92</v>
      </c>
      <c r="C13" s="24" t="n">
        <v>0.00435526834308157</v>
      </c>
      <c r="D13" s="19" t="n">
        <v>103.722950678983</v>
      </c>
      <c r="E13" s="19"/>
      <c r="F13" s="19"/>
      <c r="P13" s="10" t="n">
        <v>1</v>
      </c>
      <c r="Q13" s="10" t="n">
        <v>2</v>
      </c>
      <c r="R13" s="10" t="n">
        <v>3</v>
      </c>
      <c r="S13" s="10" t="n">
        <v>4</v>
      </c>
      <c r="T13" s="10" t="n">
        <v>5</v>
      </c>
      <c r="U13" s="10" t="n">
        <v>6</v>
      </c>
      <c r="V13" s="10" t="n">
        <v>7</v>
      </c>
      <c r="W13" s="10" t="n">
        <v>8</v>
      </c>
      <c r="X13" s="10" t="n">
        <v>9</v>
      </c>
      <c r="Y13" s="10" t="n">
        <v>10</v>
      </c>
      <c r="Z13" s="10" t="n">
        <v>11</v>
      </c>
      <c r="AA13" s="10" t="n">
        <v>12</v>
      </c>
      <c r="AD13" s="27" t="s">
        <v>25</v>
      </c>
      <c r="AE13" s="8" t="s">
        <v>4</v>
      </c>
      <c r="AF13" s="8" t="s">
        <v>5</v>
      </c>
      <c r="AG13" s="8" t="s">
        <v>6</v>
      </c>
      <c r="AH13" s="8" t="s">
        <v>7</v>
      </c>
      <c r="AI13" s="8" t="s">
        <v>8</v>
      </c>
      <c r="AJ13" s="8" t="s">
        <v>9</v>
      </c>
      <c r="AK13" s="8" t="s">
        <v>10</v>
      </c>
      <c r="AL13" s="8" t="s">
        <v>11</v>
      </c>
      <c r="AM13" s="8" t="s">
        <v>12</v>
      </c>
      <c r="AN13" s="8" t="s">
        <v>13</v>
      </c>
      <c r="AO13" s="8" t="s">
        <v>14</v>
      </c>
      <c r="AP13" s="8" t="s">
        <v>15</v>
      </c>
      <c r="AQ13" s="8" t="s">
        <v>16</v>
      </c>
      <c r="AR13" s="9"/>
      <c r="AS13" s="9"/>
    </row>
    <row r="14" customFormat="false" ht="15" hidden="false" customHeight="false" outlineLevel="0" collapsed="false">
      <c r="A14" s="17" t="n">
        <v>39021</v>
      </c>
      <c r="B14" s="23" t="n">
        <v>11413.02</v>
      </c>
      <c r="C14" s="24" t="n">
        <v>0.0042992776993412</v>
      </c>
      <c r="D14" s="19" t="n">
        <v>104.198613365665</v>
      </c>
      <c r="E14" s="19"/>
      <c r="F14" s="19"/>
      <c r="O14" s="28" t="s">
        <v>26</v>
      </c>
      <c r="P14" s="3" t="s">
        <v>4</v>
      </c>
      <c r="Q14" s="3" t="s">
        <v>5</v>
      </c>
      <c r="R14" s="3" t="s">
        <v>6</v>
      </c>
      <c r="S14" s="3" t="s">
        <v>7</v>
      </c>
      <c r="T14" s="3" t="s">
        <v>8</v>
      </c>
      <c r="U14" s="3" t="s">
        <v>9</v>
      </c>
      <c r="V14" s="3" t="s">
        <v>10</v>
      </c>
      <c r="W14" s="3" t="s">
        <v>11</v>
      </c>
      <c r="X14" s="3" t="s">
        <v>12</v>
      </c>
      <c r="Y14" s="3" t="s">
        <v>13</v>
      </c>
      <c r="Z14" s="3" t="s">
        <v>14</v>
      </c>
      <c r="AA14" s="3" t="s">
        <v>15</v>
      </c>
      <c r="AD14" s="14" t="n">
        <v>2020</v>
      </c>
      <c r="AE14" s="15"/>
      <c r="AF14" s="15"/>
      <c r="AG14" s="15"/>
      <c r="AH14" s="15"/>
      <c r="AI14" s="15" t="n">
        <f aca="false">+(T19/S19-1)</f>
        <v>0.00185417033327462</v>
      </c>
      <c r="AJ14" s="15" t="n">
        <f aca="false">+(U19/T19-1)</f>
        <v>0.00286035057235967</v>
      </c>
      <c r="AK14" s="15" t="n">
        <f aca="false">+(V19/U19-1)</f>
        <v>0.00236957791594783</v>
      </c>
      <c r="AL14" s="15" t="n">
        <f aca="false">+(W19/V19-1)</f>
        <v>0.00204425167411082</v>
      </c>
      <c r="AM14" s="15" t="n">
        <f aca="false">+(X19/W19-1)</f>
        <v>0.00240285262573248</v>
      </c>
      <c r="AN14" s="15" t="n">
        <f aca="false">+(Y19/X19-1)</f>
        <v>0.00267941768310886</v>
      </c>
      <c r="AO14" s="15" t="n">
        <f aca="false">+(Z19/Y19-1)</f>
        <v>0.00249351554833943</v>
      </c>
      <c r="AP14" s="15" t="n">
        <f aca="false">+(AA19/Z19-1)</f>
        <v>0.00207713675908638</v>
      </c>
      <c r="AQ14" s="16" t="n">
        <f aca="false">+(AA19/S19-1)/COUNTA(AE14:AP14)*12</f>
        <v>0.028403869462823</v>
      </c>
      <c r="AR14" s="9"/>
      <c r="AS14" s="9"/>
    </row>
    <row r="15" customFormat="false" ht="15" hidden="false" customHeight="false" outlineLevel="0" collapsed="false">
      <c r="A15" s="17" t="n">
        <v>39051</v>
      </c>
      <c r="B15" s="23" t="n">
        <v>11463.01</v>
      </c>
      <c r="C15" s="24" t="n">
        <v>0.00438008520093725</v>
      </c>
      <c r="D15" s="19" t="n">
        <v>104.655012170026</v>
      </c>
      <c r="E15" s="19"/>
      <c r="F15" s="19"/>
      <c r="O15" s="3" t="n">
        <v>2016</v>
      </c>
      <c r="P15" s="23"/>
      <c r="Q15" s="23"/>
      <c r="R15" s="23"/>
      <c r="S15" s="23"/>
      <c r="T15" s="23" t="n">
        <f aca="false">'[1]Cuota Liquidez '!B2</f>
        <v>999.9484</v>
      </c>
      <c r="U15" s="29" t="n">
        <f aca="false">LOOKUP(DATE($O15,U$13,U$12),$A$2:$A$2942,$H$2:$H$2942)</f>
        <v>0</v>
      </c>
      <c r="V15" s="29" t="n">
        <f aca="false">LOOKUP(DATE($O15,V$13,V$12),$A$2:$A$2942,$H$2:$H$2942)</f>
        <v>0</v>
      </c>
      <c r="W15" s="29" t="n">
        <f aca="false">LOOKUP(DATE($O15,W$13,W$12),$A$2:$A$2942,$H$2:$H$2942)</f>
        <v>0</v>
      </c>
      <c r="X15" s="29" t="n">
        <f aca="false">LOOKUP(DATE($O15,X$13,X$12),$A$2:$A$2942,$H$2:$H$2942)</f>
        <v>0</v>
      </c>
      <c r="Y15" s="29" t="n">
        <f aca="false">LOOKUP(DATE($O15,Y$13,Y$12),$A$2:$A$2942,$H$2:$H$2942)</f>
        <v>0</v>
      </c>
      <c r="Z15" s="29" t="n">
        <f aca="false">LOOKUP(DATE($O15,Z$13,Z$12),$A$2:$A$2942,$H$2:$H$2942)</f>
        <v>0</v>
      </c>
      <c r="AA15" s="29" t="n">
        <f aca="false">LOOKUP(DATE($O15,AA$13,AA$12),$A$2:$A$2942,$H$2:$H$2942)</f>
        <v>0</v>
      </c>
      <c r="AD15" s="14" t="n">
        <v>2021</v>
      </c>
      <c r="AE15" s="15" t="n">
        <f aca="false">(+P20/AA19)-1</f>
        <v>0.00193963953271115</v>
      </c>
      <c r="AF15" s="15" t="n">
        <f aca="false">+(Q20/P20)-1</f>
        <v>0.00163880213940648</v>
      </c>
      <c r="AG15" s="15" t="n">
        <f aca="false">+(R20/Q20)-1</f>
        <v>0.00154879458473123</v>
      </c>
      <c r="AH15" s="15" t="n">
        <f aca="false">+(S20/R20)-1</f>
        <v>0.00153575692636232</v>
      </c>
      <c r="AI15" s="15" t="n">
        <f aca="false">+(T20/S20)-1</f>
        <v>0.00177351701113326</v>
      </c>
      <c r="AJ15" s="15" t="n">
        <f aca="false">+(U20/T20)-1</f>
        <v>0.00144164292507543</v>
      </c>
      <c r="AK15" s="15" t="n">
        <f aca="false">+(V20/U20)-1</f>
        <v>0.00171068905933969</v>
      </c>
      <c r="AL15" s="15" t="n">
        <f aca="false">+(W20/V20)-1</f>
        <v>0.00119739692607812</v>
      </c>
      <c r="AM15" s="15" t="n">
        <f aca="false">+(X20/W20)-1</f>
        <v>0.00151697530448724</v>
      </c>
      <c r="AN15" s="15" t="n">
        <f aca="false">+(Y20/X20)-1</f>
        <v>0.00148236393840229</v>
      </c>
      <c r="AO15" s="15" t="n">
        <f aca="false">+(Z20/Y20)-1</f>
        <v>0.00162749121654326</v>
      </c>
      <c r="AP15" s="15" t="n">
        <f aca="false">+(AA20/Z20)-1</f>
        <v>0.00241448084512208</v>
      </c>
      <c r="AQ15" s="16" t="n">
        <f aca="false">+(AA20/AA19-1)/COUNTA(AE15:AP15)*12</f>
        <v>0.0200082210567012</v>
      </c>
      <c r="AR15" s="9"/>
      <c r="AS15" s="9"/>
    </row>
    <row r="16" customFormat="false" ht="15" hidden="false" customHeight="false" outlineLevel="0" collapsed="false">
      <c r="A16" s="17" t="n">
        <v>39080</v>
      </c>
      <c r="B16" s="23" t="n">
        <v>11512.49</v>
      </c>
      <c r="C16" s="24" t="n">
        <v>0.00446533736745858</v>
      </c>
      <c r="D16" s="19" t="n">
        <v>105.106754775343</v>
      </c>
      <c r="E16" s="19"/>
      <c r="F16" s="19"/>
      <c r="O16" s="3" t="n">
        <v>2017</v>
      </c>
      <c r="P16" s="29" t="n">
        <f aca="false">LOOKUP(DATE($O16,P$13,P$12),$A$2:$A$2942,$H$2:$H$2942)</f>
        <v>0</v>
      </c>
      <c r="Q16" s="29" t="n">
        <f aca="false">LOOKUP(DATE($O16,Q$13,Q$12),$A$2:$A$2942,$H$2:$H$2942)</f>
        <v>0</v>
      </c>
      <c r="R16" s="29" t="n">
        <f aca="false">LOOKUP(DATE($O16,R$13,R$12),$A$2:$A$2942,$H$2:$H$2942)</f>
        <v>0</v>
      </c>
      <c r="S16" s="29" t="n">
        <f aca="false">LOOKUP(DATE($O16,S$13,S$12),$A$2:$A$2942,$H$2:$H$2942)</f>
        <v>0</v>
      </c>
      <c r="T16" s="29" t="n">
        <f aca="false">LOOKUP(DATE($O16,T$13,T$12),$A$2:$A$2942,$H$2:$H$2942)</f>
        <v>0</v>
      </c>
      <c r="U16" s="29" t="n">
        <f aca="false">LOOKUP(DATE($O16,U$13,U$12),$A$2:$A$2942,$H$2:$H$2942)</f>
        <v>0</v>
      </c>
      <c r="V16" s="29" t="n">
        <f aca="false">LOOKUP(DATE($O16,V$13,V$12),$A$2:$A$2942,$H$2:$H$2942)</f>
        <v>0</v>
      </c>
      <c r="W16" s="29" t="n">
        <f aca="false">LOOKUP(DATE($O16,W$13,W$12),$A$2:$A$2942,$H$2:$H$2942)</f>
        <v>0</v>
      </c>
      <c r="X16" s="29" t="n">
        <f aca="false">LOOKUP(DATE($O16,X$13,X$12),$A$2:$A$2942,$H$2:$H$2942)</f>
        <v>0</v>
      </c>
      <c r="Y16" s="29" t="n">
        <f aca="false">LOOKUP(DATE($O16,Y$13,Y$12),$A$2:$A$2942,$H$2:$H$2942)</f>
        <v>0</v>
      </c>
      <c r="Z16" s="29" t="n">
        <f aca="false">LOOKUP(DATE($O16,Z$13,Z$12),$A$2:$A$2942,$H$2:$H$2942)</f>
        <v>0</v>
      </c>
      <c r="AA16" s="29" t="n">
        <f aca="false">LOOKUP(DATE($O16,AA$13,AA$12),$A$2:$A$2942,$H$2:$H$2942)</f>
        <v>0</v>
      </c>
      <c r="AD16" s="14" t="n">
        <v>2022</v>
      </c>
      <c r="AE16" s="15" t="n">
        <f aca="false">(+P21/AA20)-1</f>
        <v>0.0034210183783705</v>
      </c>
      <c r="AF16" s="15" t="n">
        <f aca="false">(+Q21/P21)-1</f>
        <v>0.0040991653310769</v>
      </c>
      <c r="AG16" s="15" t="n">
        <f aca="false">(+R21/Q21)-1</f>
        <v>0.00466409359892905</v>
      </c>
      <c r="AH16" s="15" t="n">
        <f aca="false">(+S21/R21)-1</f>
        <v>0.00633303790958029</v>
      </c>
      <c r="AI16" s="15" t="n">
        <f aca="false">(+T21/S21)-1</f>
        <v>0.00815619253977973</v>
      </c>
      <c r="AJ16" s="15" t="n">
        <f aca="false">(+U21/T21)-1</f>
        <v>0.00780164269157613</v>
      </c>
      <c r="AK16" s="15" t="n">
        <f aca="false">(+V21/U21)-1</f>
        <v>0.00820662860754884</v>
      </c>
      <c r="AL16" s="15" t="n">
        <f aca="false">(+W21/V21)-1</f>
        <v>0.00877449435700117</v>
      </c>
      <c r="AM16" s="15" t="n">
        <f aca="false">(+X21/W21)-1</f>
        <v>0.00869168248420937</v>
      </c>
      <c r="AN16" s="15" t="n">
        <f aca="false">(+Y21/X21)-1</f>
        <v>0.00924540611941804</v>
      </c>
      <c r="AO16" s="15" t="n">
        <f aca="false">(+Z21/Y21)-1</f>
        <v>0.0110641276673848</v>
      </c>
      <c r="AP16" s="15" t="n">
        <f aca="false">(+AA21/Z21)-1</f>
        <v>0.0100086413291829</v>
      </c>
      <c r="AQ16" s="16" t="n">
        <f aca="false">+(AA21/AA20-1)/COUNTA(AE16:AP16)*12</f>
        <v>0.0942787097683675</v>
      </c>
      <c r="AR16" s="9"/>
      <c r="AS16" s="9"/>
    </row>
    <row r="17" customFormat="false" ht="15" hidden="false" customHeight="false" outlineLevel="0" collapsed="false">
      <c r="A17" s="17" t="n">
        <v>39113</v>
      </c>
      <c r="B17" s="23" t="n">
        <v>11567.23</v>
      </c>
      <c r="C17" s="24" t="n">
        <v>0.00432257803165389</v>
      </c>
      <c r="D17" s="19" t="n">
        <v>105.60652013943</v>
      </c>
      <c r="E17" s="19"/>
      <c r="F17" s="19"/>
      <c r="O17" s="3" t="n">
        <v>2018</v>
      </c>
      <c r="P17" s="29" t="n">
        <f aca="false">LOOKUP(DATE($O17,P$13,P$12),$A$2:$A$2942,$H$2:$H$2942)</f>
        <v>0</v>
      </c>
      <c r="Q17" s="29" t="n">
        <f aca="false">LOOKUP(DATE($O17,Q$13,Q$12),$A$2:$A$2942,$H$2:$H$2942)</f>
        <v>0</v>
      </c>
      <c r="R17" s="29" t="n">
        <f aca="false">LOOKUP(DATE($O17,R$13,R$12),$A$2:$A$2942,$H$2:$H$2942)</f>
        <v>0</v>
      </c>
      <c r="S17" s="29" t="n">
        <f aca="false">LOOKUP(DATE($O17,S$13,S$12),$A$2:$A$2942,$H$2:$H$2942)</f>
        <v>0</v>
      </c>
      <c r="T17" s="29" t="n">
        <f aca="false">LOOKUP(DATE($O17,T$13,T$12),$A$2:$A$2942,$H$2:$H$2942)</f>
        <v>0</v>
      </c>
      <c r="U17" s="29" t="n">
        <f aca="false">LOOKUP(DATE($O17,U$13,U$12),$A$2:$A$2942,$H$2:$H$2942)</f>
        <v>0</v>
      </c>
      <c r="V17" s="29" t="n">
        <f aca="false">LOOKUP(DATE($O17,V$13,V$12),$A$2:$A$2942,$H$2:$H$2942)</f>
        <v>0</v>
      </c>
      <c r="W17" s="29" t="n">
        <f aca="false">LOOKUP(DATE($O17,W$13,W$12),$A$2:$A$2942,$H$2:$H$2942)</f>
        <v>0</v>
      </c>
      <c r="X17" s="29" t="n">
        <f aca="false">LOOKUP(DATE($O17,X$13,X$12),$A$2:$A$2942,$H$2:$H$2942)</f>
        <v>0</v>
      </c>
      <c r="Y17" s="30" t="n">
        <f aca="false">LOOKUP(DATE($O17,Y$13,Y$12),$A$2:$A$2942,$H$2:$H$2942)</f>
        <v>0</v>
      </c>
      <c r="Z17" s="30" t="n">
        <f aca="false">LOOKUP(DATE($O17,Z$13,Z$12),$A$2:$A$2942,$H$2:$H$2942)</f>
        <v>0</v>
      </c>
      <c r="AA17" s="30" t="n">
        <f aca="false">LOOKUP(DATE($O17,AA$13,AA$12),$A$2:$A$2942,$H$2:$H$2942)</f>
        <v>0</v>
      </c>
      <c r="AD17" s="14" t="n">
        <v>2023</v>
      </c>
      <c r="AE17" s="15" t="n">
        <f aca="false">(+P22/AA21)-1</f>
        <v>0.0112461365263257</v>
      </c>
      <c r="AF17" s="15" t="n">
        <f aca="false">(+Q22/P22)-1</f>
        <v>0.0102234747262655</v>
      </c>
      <c r="AG17" s="15" t="n">
        <f aca="false">(+R22/Q22)-1</f>
        <v>0.0107018307226574</v>
      </c>
      <c r="AH17" s="15" t="n">
        <f aca="false">(+S22/R22)-1</f>
        <v>0.00984978266475545</v>
      </c>
      <c r="AI17" s="15" t="n">
        <f aca="false">(+T22/S22)-1</f>
        <v>0.0113268082788736</v>
      </c>
      <c r="AJ17" s="15" t="n">
        <f aca="false">(+U22/T22)-1</f>
        <v>0.0102932598963075</v>
      </c>
      <c r="AK17" s="15" t="n">
        <f aca="false">(+V22/U22)-1</f>
        <v>0.0107369771793859</v>
      </c>
      <c r="AL17" s="15" t="n">
        <f aca="false">(+W22/V22)-1</f>
        <v>0.00966281857222207</v>
      </c>
      <c r="AM17" s="15" t="n">
        <f aca="false">(+X22/W22)-1</f>
        <v>0.00927022007268441</v>
      </c>
      <c r="AN17" s="15" t="n">
        <f aca="false">(+Y22/X22)-1</f>
        <v>0.009174334903437</v>
      </c>
      <c r="AO17" s="15" t="n">
        <f aca="false">(+Z22/Y22)-1</f>
        <v>0.00865985639825317</v>
      </c>
      <c r="AP17" s="15" t="n">
        <f aca="false">(+AA22/Z22)-1</f>
        <v>0.00827149058027898</v>
      </c>
      <c r="AQ17" s="16" t="n">
        <f aca="false">+(AA22/AA21-1)/COUNTA(AE17:AP17)*12</f>
        <v>0.126168909614492</v>
      </c>
      <c r="AR17" s="9"/>
      <c r="AS17" s="9"/>
    </row>
    <row r="18" customFormat="false" ht="15" hidden="false" customHeight="false" outlineLevel="0" collapsed="false">
      <c r="A18" s="17" t="n">
        <v>39141</v>
      </c>
      <c r="B18" s="23" t="n">
        <v>11612.68</v>
      </c>
      <c r="C18" s="24" t="n">
        <v>0.00420986083716054</v>
      </c>
      <c r="D18" s="19" t="n">
        <v>106.021469642495</v>
      </c>
      <c r="E18" s="19"/>
      <c r="F18" s="19"/>
      <c r="O18" s="3" t="n">
        <v>2019</v>
      </c>
      <c r="P18" s="29" t="n">
        <f aca="false">LOOKUP(DATE($O18,P$13,P$12),$A$2:$A$2942,$H$2:$H$2942)</f>
        <v>0</v>
      </c>
      <c r="Q18" s="29" t="n">
        <f aca="false">LOOKUP(DATE($O18,Q$13,Q$12),$A$2:$A$2942,$H$2:$H$2942)</f>
        <v>0</v>
      </c>
      <c r="R18" s="29" t="n">
        <f aca="false">LOOKUP(DATE($O18,R$13,R$12),$A$2:$A$2942,$H$2:$H$2942)</f>
        <v>0</v>
      </c>
      <c r="S18" s="29" t="n">
        <f aca="false">LOOKUP(DATE($O18,S$13,S$12),$A$2:$A$2942,$H$2:$H$2942)</f>
        <v>0</v>
      </c>
      <c r="T18" s="29" t="n">
        <f aca="false">LOOKUP(DATE($O18,T$13,T$12),$A$2:$A$2942,$H$2:$H$2942)</f>
        <v>0</v>
      </c>
      <c r="U18" s="29" t="n">
        <f aca="false">LOOKUP(DATE($O18,U$13,U$12),$A$2:$A$2942,$H$2:$H$2942)</f>
        <v>0</v>
      </c>
      <c r="V18" s="29" t="n">
        <f aca="false">LOOKUP(DATE($O18,V$13,V$12),$A$2:$A$2942,$H$2:$H$2942)</f>
        <v>0</v>
      </c>
      <c r="W18" s="29" t="n">
        <f aca="false">LOOKUP(DATE($O18,W$13,W$12),$A$2:$A$2942,$H$2:$H$2942)</f>
        <v>0</v>
      </c>
      <c r="X18" s="29" t="n">
        <f aca="false">LOOKUP(DATE($O18,X$13,X$12),$A$2:$A$2942,$H$2:$H$2942)</f>
        <v>0</v>
      </c>
      <c r="Y18" s="29" t="n">
        <f aca="false">LOOKUP(DATE($O18,Y$13,Y$12),$A$2:$A$2942,$H$2:$H$2942)</f>
        <v>0</v>
      </c>
      <c r="Z18" s="29" t="n">
        <f aca="false">LOOKUP(DATE($O18,Z$13,Z$12),$A$2:$A$2942,$H$2:$H$2942)</f>
        <v>0</v>
      </c>
      <c r="AA18" s="29" t="n">
        <f aca="false">LOOKUP(DATE($O18,AA$13,AA$12),$A$2:$A$2942,$H$2:$H$2942)</f>
        <v>0</v>
      </c>
      <c r="AD18" s="14" t="n">
        <v>2024</v>
      </c>
      <c r="AE18" s="15" t="n">
        <f aca="false">(+P23/AA22)-1</f>
        <v>0.00838180105004094</v>
      </c>
      <c r="AF18" s="15" t="n">
        <f aca="false">(+Q23/P23)-1</f>
        <v>0.00670833120098702</v>
      </c>
      <c r="AG18" s="15" t="n">
        <f aca="false">(+R23/Q23)-1</f>
        <v>0.00606311670565618</v>
      </c>
      <c r="AH18" s="15" t="n">
        <f aca="false">(+S23/R23)-1</f>
        <v>0.00700111579538287</v>
      </c>
      <c r="AI18" s="15" t="n">
        <f aca="false">(+T23/S23)-1</f>
        <v>0.00600866656427312</v>
      </c>
      <c r="AJ18" s="15" t="n">
        <f aca="false">(+U23/T23)-1</f>
        <v>0.00543685052249465</v>
      </c>
      <c r="AK18" s="15" t="n">
        <f aca="false">(+V23/U23)-1</f>
        <v>0.00507856679840968</v>
      </c>
      <c r="AL18" s="15" t="n">
        <f aca="false">(+W23/V23)-1</f>
        <v>0.00549034681982863</v>
      </c>
      <c r="AM18" s="15" t="n">
        <f aca="false">(+X23/W23)-1</f>
        <v>0.00528131106343444</v>
      </c>
      <c r="AN18" s="15" t="n">
        <f aca="false">(+Y23/X23)-1</f>
        <v>0.00498650252466537</v>
      </c>
      <c r="AO18" s="15" t="n">
        <f aca="false">(+Z23/Y23)-1</f>
        <v>0.00500851288955384</v>
      </c>
      <c r="AP18" s="15" t="n">
        <f aca="false">(+AA23/Z23)-1</f>
        <v>0.00481791368404494</v>
      </c>
      <c r="AQ18" s="16" t="n">
        <f aca="false">+(AA23/AA22-1)/COUNTA(AE18:AP18)*12</f>
        <v>0.0725640256102462</v>
      </c>
      <c r="AR18" s="26"/>
      <c r="AS18" s="9"/>
    </row>
    <row r="19" customFormat="false" ht="15" hidden="false" customHeight="false" outlineLevel="0" collapsed="false">
      <c r="A19" s="17" t="n">
        <v>39171</v>
      </c>
      <c r="B19" s="23" t="n">
        <v>11661.5</v>
      </c>
      <c r="C19" s="24" t="n">
        <v>0.00420402525515207</v>
      </c>
      <c r="D19" s="19" t="n">
        <v>106.467186578461</v>
      </c>
      <c r="E19" s="19"/>
      <c r="F19" s="19"/>
      <c r="O19" s="3" t="n">
        <v>2020</v>
      </c>
      <c r="P19" s="29" t="n">
        <f aca="false">LOOKUP(DATE($O19,P$13,P$12),$A$2:$A$2942,$H$2:$H$2942)</f>
        <v>0</v>
      </c>
      <c r="Q19" s="29" t="n">
        <f aca="false">LOOKUP(DATE($O19,Q$13,Q$12)+1,$A$2:$A$2942,$H$2:$H$2942)</f>
        <v>0</v>
      </c>
      <c r="R19" s="29" t="n">
        <f aca="false">LOOKUP(DATE($O19,R$13,R$12)+1,$A$2:$A$2942,$H$2:$H$2942)</f>
        <v>0</v>
      </c>
      <c r="S19" s="29" t="n">
        <f aca="false">LOOKUP(DATE($O19,S$13,S$12)+1,$A$2:$A$2942,$H$2:$H$2942)</f>
        <v>1000.016</v>
      </c>
      <c r="T19" s="29" t="n">
        <f aca="false">LOOKUP(DATE($O19,T$13,T$12)+1,$A$2:$A$2942,$H$2:$H$2942)</f>
        <v>1001.8702</v>
      </c>
      <c r="U19" s="29" t="n">
        <f aca="false">LOOKUP(DATE($O19,U$13,U$12)+1,$A$2:$A$2942,$H$2:$H$2942)</f>
        <v>1004.7359</v>
      </c>
      <c r="V19" s="29" t="n">
        <f aca="false">LOOKUP(DATE($O19,V$13,V$12)+1,$A$2:$A$2942,$H$2:$H$2942)</f>
        <v>1007.1167</v>
      </c>
      <c r="W19" s="29" t="n">
        <f aca="false">LOOKUP(DATE($O19,W$13,W$12)+1,$A$2:$A$2942,$H$2:$H$2942)</f>
        <v>1009.1755</v>
      </c>
      <c r="X19" s="29" t="n">
        <f aca="false">LOOKUP(DATE($O19,X$13,X$12)+1,$A$2:$A$2942,$H$2:$H$2942)</f>
        <v>1011.6004</v>
      </c>
      <c r="Y19" s="29" t="n">
        <f aca="false">+H183</f>
        <v>1014.3109</v>
      </c>
      <c r="Z19" s="29" t="n">
        <f aca="false">+H184</f>
        <v>1016.8401</v>
      </c>
      <c r="AA19" s="29" t="n">
        <f aca="false">+H185</f>
        <v>1018.95221594982</v>
      </c>
      <c r="AD19" s="14" t="n">
        <v>2025</v>
      </c>
      <c r="AE19" s="15" t="n">
        <f aca="false">(+P24/AA23)-1</f>
        <v>0.00464730404444946</v>
      </c>
      <c r="AF19" s="15" t="n">
        <f aca="false">(+Q24/P24)-1</f>
        <v>0.00469550915860073</v>
      </c>
      <c r="AG19" s="15" t="n">
        <f aca="false">(+R24/Q24)-1</f>
        <v>0.00597109962418463</v>
      </c>
      <c r="AH19" s="15" t="n">
        <f aca="false">(+S24/R24)-1</f>
        <v>0.0063072227560117</v>
      </c>
      <c r="AI19" s="15" t="n">
        <f aca="false">(+T24/S24)-1</f>
        <v>0.00636379372860363</v>
      </c>
      <c r="AJ19" s="15" t="n">
        <f aca="false">(+U24/T24)-1</f>
        <v>0.00577514597781326</v>
      </c>
      <c r="AK19" s="15" t="n">
        <f aca="false">(+V24/U24)-1</f>
        <v>0.00556398659087742</v>
      </c>
      <c r="AL19" s="15" t="n">
        <f aca="false">(+W24/V24)-1</f>
        <v>0.00584747097058735</v>
      </c>
      <c r="AM19" s="15" t="n">
        <f aca="false">(+X24/W24)-1</f>
        <v>0.00538489270541609</v>
      </c>
      <c r="AN19" s="15" t="n">
        <f aca="false">(+Y24/X24)-1</f>
        <v>0.00558411085304522</v>
      </c>
      <c r="AO19" s="15" t="n">
        <f aca="false">(+Z24/Y24)-1</f>
        <v>0.00554133185922723</v>
      </c>
      <c r="AP19" s="15" t="n">
        <f aca="false">(+AA24/Z24)-1</f>
        <v>0.00570115493088008</v>
      </c>
      <c r="AQ19" s="16" t="n">
        <f aca="false">+(AA24/P24-1)/COUNTA(AE19:AP19)*12</f>
        <v>0.0645545743283107</v>
      </c>
      <c r="AR19" s="26"/>
      <c r="AS19" s="9"/>
      <c r="AV19" s="20"/>
      <c r="AW19" s="20"/>
      <c r="AX19" s="20" t="n">
        <v>-1</v>
      </c>
      <c r="AY19" s="20" t="n">
        <v>-3</v>
      </c>
      <c r="AZ19" s="20" t="n">
        <v>-6</v>
      </c>
      <c r="BA19" s="20" t="n">
        <v>-12</v>
      </c>
      <c r="BB19" s="20"/>
    </row>
    <row r="20" customFormat="false" ht="15" hidden="false" customHeight="false" outlineLevel="0" collapsed="false">
      <c r="A20" s="17" t="n">
        <v>39202</v>
      </c>
      <c r="B20" s="23" t="n">
        <v>11712.58</v>
      </c>
      <c r="C20" s="24" t="n">
        <v>0.00423892793075653</v>
      </c>
      <c r="D20" s="19" t="n">
        <v>106.933536867054</v>
      </c>
      <c r="E20" s="19"/>
      <c r="F20" s="19"/>
      <c r="O20" s="3" t="n">
        <v>2021</v>
      </c>
      <c r="P20" s="23" t="n">
        <f aca="false">+H186</f>
        <v>1020.92861594982</v>
      </c>
      <c r="Q20" s="23" t="n">
        <f aca="false">+H187</f>
        <v>1022.60171594982</v>
      </c>
      <c r="R20" s="23" t="n">
        <f aca="false">+H188</f>
        <v>1024.18551594982</v>
      </c>
      <c r="S20" s="23" t="n">
        <f aca="false">+H189</f>
        <v>1025.75841594982</v>
      </c>
      <c r="T20" s="23" t="n">
        <f aca="false">+H190</f>
        <v>1027.57761594982</v>
      </c>
      <c r="U20" s="23" t="n">
        <f aca="false">+H191</f>
        <v>1029.05901594982</v>
      </c>
      <c r="V20" s="23" t="n">
        <f aca="false">+H192</f>
        <v>1030.81941594982</v>
      </c>
      <c r="W20" s="23" t="n">
        <f aca="false">+H193</f>
        <v>1032.05371594982</v>
      </c>
      <c r="X20" s="23" t="n">
        <f aca="false">+H194</f>
        <v>1033.61931594982</v>
      </c>
      <c r="Y20" s="23" t="n">
        <f aca="false">+H195</f>
        <v>1035.15151594982</v>
      </c>
      <c r="Z20" s="23" t="n">
        <f aca="false">+H196</f>
        <v>1036.83621594982</v>
      </c>
      <c r="AA20" s="23" t="n">
        <f aca="false">+H197</f>
        <v>1039.33963713276</v>
      </c>
      <c r="AD20" s="14" t="n">
        <v>2026</v>
      </c>
      <c r="AE20" s="15" t="n">
        <f aca="false">(+P25/AA24)-1</f>
        <v>0.00580564112354232</v>
      </c>
      <c r="AF20" s="15" t="n">
        <f aca="false">(+Q25/P25)-1</f>
        <v>0.00540827196575799</v>
      </c>
      <c r="AG20" s="15" t="n">
        <f aca="false">(+R25/Q25)-1</f>
        <v>0.00591977664149312</v>
      </c>
      <c r="AH20" s="15" t="n">
        <f aca="false">(+S25/R25)-1</f>
        <v>0.00586707433769496</v>
      </c>
      <c r="AI20" s="15"/>
      <c r="AJ20" s="15"/>
      <c r="AK20" s="15"/>
      <c r="AL20" s="15"/>
      <c r="AM20" s="15"/>
      <c r="AN20" s="15"/>
      <c r="AO20" s="15"/>
      <c r="AP20" s="15"/>
      <c r="AQ20" s="16" t="n">
        <f aca="false">+(S25/P25-1)/COUNTA(AE20:AP20)*12</f>
        <v>0.0518813671474068</v>
      </c>
      <c r="AR20" s="26"/>
      <c r="AS20" s="9"/>
      <c r="AV20" s="31" t="s">
        <v>27</v>
      </c>
      <c r="AW20" s="32" t="n">
        <v>46142</v>
      </c>
      <c r="AX20" s="33" t="n">
        <f aca="false">EOMONTH($AW20,AX19)</f>
        <v>46112</v>
      </c>
      <c r="AY20" s="33" t="n">
        <f aca="false">EOMONTH($AW20,AY19)</f>
        <v>46053</v>
      </c>
      <c r="AZ20" s="33" t="n">
        <f aca="false">EOMONTH($AW20,AZ19)</f>
        <v>45961</v>
      </c>
      <c r="BA20" s="33" t="n">
        <f aca="false">EOMONTH($AW20,BA19)</f>
        <v>45777</v>
      </c>
      <c r="BB20" s="33" t="n">
        <v>43100</v>
      </c>
    </row>
    <row r="21" customFormat="false" ht="15" hidden="false" customHeight="false" outlineLevel="0" collapsed="false">
      <c r="A21" s="17" t="n">
        <v>39233</v>
      </c>
      <c r="B21" s="23" t="n">
        <v>11763.78</v>
      </c>
      <c r="C21" s="24" t="n">
        <v>0.00423035634307517</v>
      </c>
      <c r="D21" s="19" t="n">
        <v>107.400982731892</v>
      </c>
      <c r="E21" s="19"/>
      <c r="F21" s="19"/>
      <c r="O21" s="3" t="n">
        <v>2022</v>
      </c>
      <c r="P21" s="23" t="n">
        <f aca="false">+H198</f>
        <v>1042.89523713276</v>
      </c>
      <c r="Q21" s="23" t="n">
        <f aca="false">+H199</f>
        <v>1047.17023713276</v>
      </c>
      <c r="R21" s="23" t="n">
        <f aca="false">+H200</f>
        <v>1052.05433713276</v>
      </c>
      <c r="S21" s="23" t="n">
        <f aca="false">+H201</f>
        <v>1058.71703713276</v>
      </c>
      <c r="T21" s="23" t="n">
        <f aca="false">+H202</f>
        <v>1067.35213713276</v>
      </c>
      <c r="U21" s="23" t="n">
        <f aca="false">+H203</f>
        <v>1075.67923713276</v>
      </c>
      <c r="V21" s="23" t="n">
        <f aca="false">+H204</f>
        <v>1084.50693713276</v>
      </c>
      <c r="W21" s="23" t="n">
        <f aca="false">+H205</f>
        <v>1094.02293713276</v>
      </c>
      <c r="X21" s="23" t="n">
        <f aca="false">+H206</f>
        <v>1103.53183713276</v>
      </c>
      <c r="Y21" s="23" t="n">
        <f aca="false">+H207</f>
        <v>1113.73443713276</v>
      </c>
      <c r="Z21" s="23" t="n">
        <f aca="false">+H208</f>
        <v>1126.05693713276</v>
      </c>
      <c r="AA21" s="23" t="n">
        <f aca="false">+H209</f>
        <v>1137.32723713276</v>
      </c>
      <c r="AD21" s="26" t="s">
        <v>24</v>
      </c>
      <c r="AR21" s="26" t="s">
        <v>28</v>
      </c>
      <c r="AS21" s="9"/>
      <c r="AV21" s="20" t="s">
        <v>3</v>
      </c>
      <c r="AW21" s="34" t="n">
        <f aca="false">LOOKUP(AW20,$A$3:$A$2973,$B$3:$B$2973)</f>
        <v>19916.8502383877</v>
      </c>
      <c r="AX21" s="34" t="n">
        <f aca="false">LOOKUP(AX20,$A$3:$A$2972,$B$3:$B$2972)</f>
        <v>26333.64</v>
      </c>
      <c r="AY21" s="34" t="n">
        <f aca="false">LOOKUP(AY20,$A$3:$A$2972,$B$3:$B$2972)</f>
        <v>26136.9</v>
      </c>
      <c r="AZ21" s="34" t="n">
        <f aca="false">LOOKUP(AZ20,$A$3:$A$2972,$B$3:$B$2972)</f>
        <v>25829.5</v>
      </c>
      <c r="BA21" s="34" t="n">
        <f aca="false">LOOKUP(BA20,$A$3:$A$2972,$B$3:$B$2972)</f>
        <v>25197.48</v>
      </c>
      <c r="BB21" s="34" t="n">
        <f aca="false">LOOKUP(BB20,$A$3:$A$2972,$B$3:$B$2972)</f>
        <v>17872.44</v>
      </c>
    </row>
    <row r="22" customFormat="false" ht="15.75" hidden="false" customHeight="true" outlineLevel="0" collapsed="false">
      <c r="A22" s="17" t="n">
        <v>39262</v>
      </c>
      <c r="B22" s="23" t="n">
        <v>11812.23</v>
      </c>
      <c r="C22" s="24" t="n">
        <v>0.00426059392943191</v>
      </c>
      <c r="D22" s="19" t="n">
        <v>107.8433216411</v>
      </c>
      <c r="E22" s="19"/>
      <c r="F22" s="19"/>
      <c r="O22" s="3" t="n">
        <v>2023</v>
      </c>
      <c r="P22" s="23" t="n">
        <f aca="false">+H210</f>
        <v>1150.11777451667</v>
      </c>
      <c r="Q22" s="23" t="n">
        <f aca="false">+H211</f>
        <v>1161.87597451667</v>
      </c>
      <c r="R22" s="23" t="n">
        <f aca="false">+H212</f>
        <v>1174.31017451667</v>
      </c>
      <c r="S22" s="23" t="n">
        <f aca="false">+H213</f>
        <v>1185.87687451667</v>
      </c>
      <c r="T22" s="23" t="n">
        <f aca="false">+H214</f>
        <v>1199.30907451667</v>
      </c>
      <c r="U22" s="23" t="n">
        <f aca="false">+H215</f>
        <v>1211.65387451667</v>
      </c>
      <c r="V22" s="23" t="n">
        <f aca="false">+H216</f>
        <v>1224.66337451667</v>
      </c>
      <c r="W22" s="23" t="n">
        <f aca="false">+H217</f>
        <v>1236.49707451667</v>
      </c>
      <c r="X22" s="23" t="n">
        <f aca="false">+H218</f>
        <v>1247.95967451667</v>
      </c>
      <c r="Y22" s="23" t="n">
        <f aca="false">+H219</f>
        <v>1259.40887451667</v>
      </c>
      <c r="Z22" s="23" t="n">
        <f aca="false">+H220</f>
        <v>1270.31517451667</v>
      </c>
      <c r="AA22" s="23" t="n">
        <f aca="false">+H221</f>
        <v>1280.82257451667</v>
      </c>
      <c r="AD22" s="27" t="s">
        <v>29</v>
      </c>
      <c r="AE22" s="8" t="s">
        <v>4</v>
      </c>
      <c r="AF22" s="8" t="s">
        <v>5</v>
      </c>
      <c r="AG22" s="8" t="s">
        <v>6</v>
      </c>
      <c r="AH22" s="8" t="s">
        <v>7</v>
      </c>
      <c r="AI22" s="8" t="s">
        <v>8</v>
      </c>
      <c r="AJ22" s="8" t="s">
        <v>9</v>
      </c>
      <c r="AK22" s="8" t="s">
        <v>10</v>
      </c>
      <c r="AL22" s="8" t="s">
        <v>11</v>
      </c>
      <c r="AM22" s="8" t="s">
        <v>12</v>
      </c>
      <c r="AN22" s="8" t="s">
        <v>13</v>
      </c>
      <c r="AO22" s="8" t="s">
        <v>14</v>
      </c>
      <c r="AP22" s="8" t="s">
        <v>15</v>
      </c>
      <c r="AQ22" s="8" t="s">
        <v>16</v>
      </c>
      <c r="AR22" s="26"/>
      <c r="AS22" s="9"/>
      <c r="AV22" s="20" t="s">
        <v>29</v>
      </c>
      <c r="AW22" s="34" t="n">
        <f aca="false">LOOKUP(AW20,$F$2:$F$2973,$K$2:$K$2973)</f>
        <v>0</v>
      </c>
      <c r="AX22" s="34" t="n">
        <f aca="false">LOOKUP(AX20,$F$2:$F$2973,$K$2:$K$2973)</f>
        <v>6335.4774</v>
      </c>
      <c r="AY22" s="34" t="n">
        <f aca="false">LOOKUP(AY20,$F$2:$F$2973,$K$2:$K$2973)</f>
        <v>6303.0823</v>
      </c>
      <c r="AZ22" s="34" t="n">
        <f aca="false">LOOKUP(AZ20,$F$2:$F$2973,$K$2:$K$2973)</f>
        <v>6250.6982</v>
      </c>
      <c r="BA22" s="34" t="n">
        <f aca="false">LOOKUP(BA20,$F$2:$F$2973,$K$2:$K$2973)</f>
        <v>6141.4105</v>
      </c>
      <c r="BB22" s="34" t="n">
        <f aca="false">LOOKUP(BB20,$F$2:$F$2973,$K$2:$K$2973)</f>
        <v>0</v>
      </c>
    </row>
    <row r="23" customFormat="false" ht="15" hidden="false" customHeight="false" outlineLevel="0" collapsed="false">
      <c r="A23" s="17" t="n">
        <v>39294</v>
      </c>
      <c r="B23" s="23" t="n">
        <v>11866.53</v>
      </c>
      <c r="C23" s="24" t="n">
        <v>0.0043096223151768</v>
      </c>
      <c r="D23" s="19" t="n">
        <v>108.339069892287</v>
      </c>
      <c r="E23" s="19"/>
      <c r="F23" s="19"/>
      <c r="O23" s="3" t="n">
        <v>2024</v>
      </c>
      <c r="P23" s="23" t="n">
        <f aca="false">+H222</f>
        <v>1291.55817451667</v>
      </c>
      <c r="Q23" s="23" t="n">
        <f aca="false">+H223</f>
        <v>1300.22237451667</v>
      </c>
      <c r="R23" s="23" t="n">
        <f aca="false">+H224</f>
        <v>1308.10577451667</v>
      </c>
      <c r="S23" s="23" t="n">
        <f aca="false">+H225</f>
        <v>1317.26397451667</v>
      </c>
      <c r="T23" s="23" t="n">
        <f aca="false">+H226</f>
        <v>1325.17897451667</v>
      </c>
      <c r="U23" s="23" t="n">
        <f aca="false">+H227</f>
        <v>1332.38377451667</v>
      </c>
      <c r="V23" s="23" t="n">
        <f aca="false">+H228</f>
        <v>1339.15037451667</v>
      </c>
      <c r="W23" s="23" t="n">
        <f aca="false">+H229</f>
        <v>1346.50277451667</v>
      </c>
      <c r="X23" s="23" t="n">
        <f aca="false">+H230</f>
        <v>1353.61407451667</v>
      </c>
      <c r="Y23" s="23" t="n">
        <f aca="false">+H231</f>
        <v>1360.36387451667</v>
      </c>
      <c r="Z23" s="23" t="n">
        <f aca="false">+H232</f>
        <v>1367.17727451667</v>
      </c>
      <c r="AA23" s="23" t="n">
        <f aca="false">+H233</f>
        <v>1373.76421661608</v>
      </c>
      <c r="AD23" s="35" t="n">
        <v>2016</v>
      </c>
      <c r="AE23" s="36"/>
      <c r="AF23" s="36"/>
      <c r="AG23" s="36"/>
      <c r="AH23" s="36"/>
      <c r="AI23" s="36"/>
      <c r="AJ23" s="36"/>
      <c r="AK23" s="36"/>
      <c r="AL23" s="36"/>
      <c r="AM23" s="36"/>
      <c r="AN23" s="36"/>
      <c r="AO23" s="36"/>
      <c r="AP23" s="36"/>
      <c r="AQ23" s="37"/>
      <c r="AR23" s="26"/>
      <c r="AS23" s="9"/>
      <c r="AV23" s="20" t="s">
        <v>30</v>
      </c>
      <c r="AW23" s="34" t="n">
        <f aca="false">LOOKUP(AW20,$F$2:$F$2971,$H$2:$H$2971)</f>
        <v>1503.32961661608</v>
      </c>
      <c r="AX23" s="34" t="n">
        <f aca="false">LOOKUP(AX20,$F$2:$F$2971,$H$2:$H$2971)</f>
        <v>1494.56091661608</v>
      </c>
      <c r="AY23" s="34" t="n">
        <f aca="false">LOOKUP(AY20,$F$2:$F$2971,$H$2:$H$2971)</f>
        <v>1477.77331661608</v>
      </c>
      <c r="AZ23" s="34" t="n">
        <f aca="false">LOOKUP(AZ20,$F$2:$F$2971,$H$2:$H$2971)</f>
        <v>1452.86371661608</v>
      </c>
      <c r="BA23" s="34" t="n">
        <f aca="false">LOOKUP(BA20,$F$2:$F$2971,$H$2:$H$2971)</f>
        <v>1403.70671661608</v>
      </c>
      <c r="BB23" s="34" t="n">
        <f aca="false">LOOKUP(BB20,$F$2:$F$2971,$H$2:$H$2971)</f>
        <v>0</v>
      </c>
    </row>
    <row r="24" customFormat="false" ht="15" hidden="false" customHeight="false" outlineLevel="0" collapsed="false">
      <c r="A24" s="17" t="n">
        <v>39325</v>
      </c>
      <c r="B24" s="23" t="n">
        <v>11922.48</v>
      </c>
      <c r="C24" s="24" t="n">
        <v>0.00456284704040026</v>
      </c>
      <c r="D24" s="19" t="n">
        <v>108.849882316852</v>
      </c>
      <c r="E24" s="19"/>
      <c r="F24" s="19"/>
      <c r="O24" s="3" t="n">
        <v>2025</v>
      </c>
      <c r="P24" s="23" t="n">
        <f aca="false">+H234</f>
        <v>1380.14851661608</v>
      </c>
      <c r="Q24" s="23" t="n">
        <f aca="false">+H235</f>
        <v>1386.62901661608</v>
      </c>
      <c r="R24" s="23" t="n">
        <f aca="false">+H236</f>
        <v>1394.90871661608</v>
      </c>
      <c r="S24" s="23" t="n">
        <f aca="false">+H237</f>
        <v>1403.70671661608</v>
      </c>
      <c r="T24" s="23" t="n">
        <f aca="false">+H238</f>
        <v>1412.63961661608</v>
      </c>
      <c r="U24" s="23" t="n">
        <f aca="false">+H239</f>
        <v>1420.79781661608</v>
      </c>
      <c r="V24" s="23" t="n">
        <f aca="false">+H240</f>
        <v>1428.70311661608</v>
      </c>
      <c r="W24" s="23" t="n">
        <f aca="false">+H241</f>
        <v>1437.05741661608</v>
      </c>
      <c r="X24" s="23" t="n">
        <f aca="false">+H242</f>
        <v>1444.79581661608</v>
      </c>
      <c r="Y24" s="23" t="n">
        <f aca="false">+H243</f>
        <v>1452.86371661608</v>
      </c>
      <c r="Z24" s="23" t="n">
        <f aca="false">+H244</f>
        <v>1460.91451661608</v>
      </c>
      <c r="AA24" s="23" t="n">
        <f aca="false">+H245</f>
        <v>1469.24341661608</v>
      </c>
      <c r="AD24" s="14" t="n">
        <v>2017</v>
      </c>
      <c r="AE24" s="15"/>
      <c r="AF24" s="15"/>
      <c r="AG24" s="15"/>
      <c r="AH24" s="15"/>
      <c r="AI24" s="15"/>
      <c r="AJ24" s="15"/>
      <c r="AK24" s="15"/>
      <c r="AL24" s="15"/>
      <c r="AM24" s="15"/>
      <c r="AN24" s="15"/>
      <c r="AO24" s="15"/>
      <c r="AP24" s="15"/>
      <c r="AQ24" s="16"/>
      <c r="AR24" s="26"/>
      <c r="AS24" s="9"/>
      <c r="AV24" s="20"/>
      <c r="AW24" s="20"/>
      <c r="AX24" s="20"/>
      <c r="AY24" s="20"/>
      <c r="AZ24" s="20"/>
      <c r="BA24" s="20"/>
      <c r="BB24" s="20"/>
    </row>
    <row r="25" customFormat="false" ht="15" hidden="false" customHeight="false" outlineLevel="0" collapsed="false">
      <c r="A25" s="17"/>
      <c r="B25" s="23"/>
      <c r="C25" s="24"/>
      <c r="D25" s="19"/>
      <c r="E25" s="19"/>
      <c r="F25" s="19"/>
      <c r="O25" s="3" t="n">
        <v>2026</v>
      </c>
      <c r="P25" s="23" t="n">
        <f aca="false">+H246</f>
        <v>1477.77331661608</v>
      </c>
      <c r="Q25" s="23" t="n">
        <f aca="false">+H247</f>
        <v>1485.76551661608</v>
      </c>
      <c r="R25" s="23" t="n">
        <f aca="false">+H248</f>
        <v>1494.56091661608</v>
      </c>
      <c r="S25" s="23" t="n">
        <f aca="false">+H249</f>
        <v>1503.32961661608</v>
      </c>
      <c r="T25" s="23"/>
      <c r="U25" s="23"/>
      <c r="V25" s="23"/>
      <c r="W25" s="23"/>
      <c r="X25" s="23"/>
      <c r="Y25" s="23"/>
      <c r="Z25" s="23"/>
      <c r="AA25" s="23"/>
      <c r="AD25" s="35" t="n">
        <v>2018</v>
      </c>
      <c r="AE25" s="36"/>
      <c r="AF25" s="36"/>
      <c r="AG25" s="36"/>
      <c r="AH25" s="36"/>
      <c r="AI25" s="36"/>
      <c r="AJ25" s="36"/>
      <c r="AK25" s="38"/>
      <c r="AL25" s="38"/>
      <c r="AM25" s="38"/>
      <c r="AN25" s="36"/>
      <c r="AO25" s="36"/>
      <c r="AP25" s="36"/>
      <c r="AQ25" s="37"/>
      <c r="AR25" s="26"/>
      <c r="AS25" s="9"/>
      <c r="AV25" s="20"/>
      <c r="AW25" s="20"/>
      <c r="AX25" s="20"/>
      <c r="AY25" s="20"/>
      <c r="AZ25" s="20"/>
      <c r="BA25" s="20"/>
      <c r="BB25" s="20"/>
    </row>
    <row r="26" customFormat="false" ht="15" hidden="false" customHeight="false" outlineLevel="0" collapsed="false">
      <c r="A26" s="17" t="n">
        <v>39353</v>
      </c>
      <c r="B26" s="23" t="n">
        <v>11975.61</v>
      </c>
      <c r="C26" s="24" t="n">
        <v>0.004774593876442</v>
      </c>
      <c r="D26" s="19" t="n">
        <v>109.334948699642</v>
      </c>
      <c r="E26" s="19"/>
      <c r="F26" s="19"/>
      <c r="P26" s="10" t="n">
        <v>31</v>
      </c>
      <c r="Q26" s="10" t="n">
        <v>28</v>
      </c>
      <c r="R26" s="10" t="n">
        <v>31</v>
      </c>
      <c r="S26" s="10" t="n">
        <v>30</v>
      </c>
      <c r="T26" s="10" t="n">
        <v>31</v>
      </c>
      <c r="U26" s="10" t="n">
        <v>30</v>
      </c>
      <c r="V26" s="10" t="n">
        <v>31</v>
      </c>
      <c r="W26" s="10" t="n">
        <v>31</v>
      </c>
      <c r="X26" s="10" t="n">
        <v>30</v>
      </c>
      <c r="Y26" s="10" t="n">
        <v>31</v>
      </c>
      <c r="Z26" s="10" t="n">
        <v>30</v>
      </c>
      <c r="AA26" s="10" t="n">
        <v>31</v>
      </c>
      <c r="AD26" s="14" t="n">
        <v>2019</v>
      </c>
      <c r="AE26" s="15"/>
      <c r="AF26" s="15"/>
      <c r="AG26" s="15"/>
      <c r="AH26" s="15"/>
      <c r="AI26" s="15"/>
      <c r="AJ26" s="15"/>
      <c r="AK26" s="15"/>
      <c r="AL26" s="15"/>
      <c r="AM26" s="15"/>
      <c r="AN26" s="15"/>
      <c r="AO26" s="15"/>
      <c r="AP26" s="15"/>
      <c r="AQ26" s="16"/>
      <c r="AR26" s="26"/>
      <c r="AS26" s="9"/>
    </row>
    <row r="27" customFormat="false" ht="15" hidden="false" customHeight="false" outlineLevel="0" collapsed="false">
      <c r="A27" s="17" t="n">
        <v>39386</v>
      </c>
      <c r="B27" s="23" t="n">
        <v>12038.9</v>
      </c>
      <c r="C27" s="24" t="n">
        <v>0.00480446203879073</v>
      </c>
      <c r="D27" s="19" t="n">
        <v>109.912773871237</v>
      </c>
      <c r="E27" s="19"/>
      <c r="F27" s="19"/>
      <c r="P27" s="10" t="n">
        <v>1</v>
      </c>
      <c r="Q27" s="10" t="n">
        <v>2</v>
      </c>
      <c r="R27" s="10" t="n">
        <v>3</v>
      </c>
      <c r="S27" s="10" t="n">
        <v>4</v>
      </c>
      <c r="T27" s="10" t="n">
        <v>5</v>
      </c>
      <c r="U27" s="10" t="n">
        <v>6</v>
      </c>
      <c r="V27" s="10" t="n">
        <v>7</v>
      </c>
      <c r="W27" s="10" t="n">
        <v>8</v>
      </c>
      <c r="X27" s="10" t="n">
        <v>9</v>
      </c>
      <c r="Y27" s="10" t="n">
        <v>10</v>
      </c>
      <c r="Z27" s="10" t="n">
        <v>11</v>
      </c>
      <c r="AA27" s="10" t="n">
        <v>12</v>
      </c>
      <c r="AD27" s="14" t="n">
        <v>2020</v>
      </c>
      <c r="AE27" s="15"/>
      <c r="AF27" s="15"/>
      <c r="AG27" s="15"/>
      <c r="AH27" s="15"/>
      <c r="AI27" s="15" t="n">
        <f aca="false">+(T33/S33-1)</f>
        <v>0.000160275615728844</v>
      </c>
      <c r="AJ27" s="15" t="n">
        <f aca="false">+(U33/T33-1)</f>
        <v>0.000160249931572487</v>
      </c>
      <c r="AK27" s="15" t="n">
        <f aca="false">+(V33/U33-1)</f>
        <v>0.000100108302503399</v>
      </c>
      <c r="AL27" s="15" t="n">
        <f aca="false">+(W33/V33-1)</f>
        <v>0.000191471092258366</v>
      </c>
      <c r="AM27" s="15" t="n">
        <f aca="false">+(X33/W33-1)</f>
        <v>7.08706922130098E-005</v>
      </c>
      <c r="AN27" s="15" t="n">
        <f aca="false">+(Y33/X33-1)</f>
        <v>6.73193292279883E-005</v>
      </c>
      <c r="AO27" s="15" t="n">
        <f aca="false">+(Z33/Y33-1)</f>
        <v>6.09358900838242E-005</v>
      </c>
      <c r="AP27" s="15" t="n">
        <f aca="false">+(AA33/Z33-1)</f>
        <v>6.06264973088688E-005</v>
      </c>
      <c r="AQ27" s="16" t="n">
        <f aca="false">+(AA33/S33-1)/COUNTA(AE27:AP27)*12</f>
        <v>0.00130826998110811</v>
      </c>
      <c r="AR27" s="9"/>
      <c r="AS27" s="9"/>
    </row>
    <row r="28" customFormat="false" ht="15" hidden="false" customHeight="false" outlineLevel="0" collapsed="false">
      <c r="A28" s="17" t="n">
        <v>39416</v>
      </c>
      <c r="B28" s="23" t="n">
        <v>12096.85</v>
      </c>
      <c r="C28" s="24" t="n">
        <v>0.00481356270091138</v>
      </c>
      <c r="D28" s="19" t="n">
        <v>110.441845899897</v>
      </c>
      <c r="E28" s="19"/>
      <c r="F28" s="19"/>
      <c r="O28" s="28" t="s">
        <v>29</v>
      </c>
      <c r="P28" s="3" t="s">
        <v>4</v>
      </c>
      <c r="Q28" s="3" t="s">
        <v>5</v>
      </c>
      <c r="R28" s="3" t="s">
        <v>6</v>
      </c>
      <c r="S28" s="3" t="s">
        <v>7</v>
      </c>
      <c r="T28" s="3" t="s">
        <v>8</v>
      </c>
      <c r="U28" s="3" t="s">
        <v>9</v>
      </c>
      <c r="V28" s="3" t="s">
        <v>10</v>
      </c>
      <c r="W28" s="3" t="s">
        <v>11</v>
      </c>
      <c r="X28" s="3" t="s">
        <v>12</v>
      </c>
      <c r="Y28" s="3" t="s">
        <v>13</v>
      </c>
      <c r="Z28" s="3" t="s">
        <v>14</v>
      </c>
      <c r="AA28" s="3" t="s">
        <v>15</v>
      </c>
      <c r="AD28" s="14" t="n">
        <v>2021</v>
      </c>
      <c r="AE28" s="15" t="n">
        <f aca="false">+(P34/AA33)-1</f>
        <v>4.99042994888121E-005</v>
      </c>
      <c r="AF28" s="15" t="n">
        <f aca="false">+(Q34/P34)-1</f>
        <v>5.45068760882117E-005</v>
      </c>
      <c r="AG28" s="15" t="n">
        <f aca="false">+(R34/Q34)-1</f>
        <v>5.40352735418637E-005</v>
      </c>
      <c r="AH28" s="15" t="n">
        <f aca="false">+(S34/R34)-1</f>
        <v>6.6256868343384E-005</v>
      </c>
      <c r="AI28" s="15" t="n">
        <f aca="false">+(T34/S34)-1</f>
        <v>6.00795078637972E-005</v>
      </c>
      <c r="AJ28" s="15" t="n">
        <f aca="false">+(U34/T34)-1</f>
        <v>5.99332972144318E-005</v>
      </c>
      <c r="AK28" s="15" t="n">
        <f aca="false">+(V34/U34)-1</f>
        <v>6.18852634586276E-005</v>
      </c>
      <c r="AL28" s="15" t="n">
        <f aca="false">+(W34/V34)-1</f>
        <v>6.20443869945309E-005</v>
      </c>
      <c r="AM28" s="15" t="n">
        <f aca="false">+(X34/W34)-1</f>
        <v>-0.000117767035173966</v>
      </c>
      <c r="AN28" s="15" t="n">
        <f aca="false">+(Y34/X34)-1</f>
        <v>0.0010223227816486</v>
      </c>
      <c r="AO28" s="15" t="n">
        <f aca="false">+(Z34/Y34)-1</f>
        <v>0.00125922502391873</v>
      </c>
      <c r="AP28" s="15" t="n">
        <f aca="false">+(AA34/Z34)-1</f>
        <v>0.0018230922141349</v>
      </c>
      <c r="AQ28" s="16" t="n">
        <f aca="false">+(AA34/AA33-1)/COUNTA(AE28:AP28)*12</f>
        <v>0.00446245101879761</v>
      </c>
      <c r="AV28" s="9"/>
      <c r="AW28" s="9"/>
      <c r="AX28" s="9"/>
      <c r="AY28" s="9"/>
      <c r="AZ28" s="9"/>
      <c r="BA28" s="9"/>
      <c r="BB28" s="9"/>
      <c r="BC28" s="9"/>
    </row>
    <row r="29" customFormat="false" ht="15" hidden="false" customHeight="false" outlineLevel="0" collapsed="false">
      <c r="A29" s="17" t="n">
        <v>39447</v>
      </c>
      <c r="B29" s="23" t="n">
        <v>12152.6</v>
      </c>
      <c r="C29" s="24" t="n">
        <v>0.00445997205084178</v>
      </c>
      <c r="D29" s="19" t="n">
        <v>110.950832364053</v>
      </c>
      <c r="E29" s="19"/>
      <c r="F29" s="19"/>
      <c r="O29" s="3" t="n">
        <v>2016</v>
      </c>
      <c r="P29" s="23"/>
      <c r="Q29" s="23"/>
      <c r="R29" s="23"/>
      <c r="S29" s="23"/>
      <c r="T29" s="23"/>
      <c r="U29" s="29"/>
      <c r="V29" s="29"/>
      <c r="W29" s="29"/>
      <c r="X29" s="29"/>
      <c r="Y29" s="29"/>
      <c r="Z29" s="29"/>
      <c r="AA29" s="29"/>
      <c r="AD29" s="14" t="n">
        <v>2022</v>
      </c>
      <c r="AE29" s="15" t="n">
        <f aca="false">+(P35/AA34)-1</f>
        <v>0.00257166759736172</v>
      </c>
      <c r="AF29" s="15" t="n">
        <f aca="false">+(Q35/P35)-1</f>
        <v>0.00330034492532061</v>
      </c>
      <c r="AG29" s="15" t="n">
        <f aca="false">+(R35/Q35)-1</f>
        <v>0.00379260664764991</v>
      </c>
      <c r="AH29" s="15" t="n">
        <f aca="false">+(S35/R35)-1</f>
        <v>0.00457161325790945</v>
      </c>
      <c r="AI29" s="15" t="n">
        <f aca="false">+(T35/S35)-1</f>
        <v>0.00551056008510376</v>
      </c>
      <c r="AJ29" s="15" t="n">
        <f aca="false">+(U35/T35)-1</f>
        <v>0.00588359145110817</v>
      </c>
      <c r="AK29" s="15" t="n">
        <f aca="false">+(V35/U35)-1</f>
        <v>0.00651186691407713</v>
      </c>
      <c r="AL29" s="15" t="n">
        <f aca="false">+(W35/V35)-1</f>
        <v>0.00703045536532287</v>
      </c>
      <c r="AM29" s="15" t="n">
        <f aca="false">+(X35/W35)-1</f>
        <v>0.00733574547403659</v>
      </c>
      <c r="AN29" s="15" t="n">
        <f aca="false">+(Y35/X35)-1</f>
        <v>0.00724225279230772</v>
      </c>
      <c r="AO29" s="15" t="n">
        <f aca="false">+(Z35/Y35)-1</f>
        <v>0.00874180469630037</v>
      </c>
      <c r="AP29" s="15" t="n">
        <f aca="false">+(AA35/Z35)-1</f>
        <v>0.00792817195118678</v>
      </c>
      <c r="AQ29" s="16" t="n">
        <f aca="false">+(AA35/AA34-1)/COUNTA(AE29:AP29)*12</f>
        <v>0.0727164295690508</v>
      </c>
      <c r="AV29" s="39"/>
      <c r="AW29" s="40" t="s">
        <v>31</v>
      </c>
      <c r="AX29" s="40" t="s">
        <v>32</v>
      </c>
      <c r="AY29" s="40" t="s">
        <v>33</v>
      </c>
      <c r="AZ29" s="40" t="s">
        <v>34</v>
      </c>
      <c r="BA29" s="40" t="s">
        <v>35</v>
      </c>
      <c r="BB29" s="40" t="s">
        <v>36</v>
      </c>
      <c r="BC29" s="41"/>
      <c r="BD29" s="42"/>
    </row>
    <row r="30" customFormat="false" ht="15" hidden="false" customHeight="false" outlineLevel="0" collapsed="false">
      <c r="A30" s="17" t="n">
        <v>39478</v>
      </c>
      <c r="B30" s="23" t="n">
        <v>12223.14</v>
      </c>
      <c r="C30" s="24" t="n">
        <v>0.0056172766427787</v>
      </c>
      <c r="D30" s="19" t="n">
        <v>111.594848600493</v>
      </c>
      <c r="E30" s="19"/>
      <c r="F30" s="19"/>
      <c r="O30" s="3" t="n">
        <v>2017</v>
      </c>
      <c r="P30" s="29"/>
      <c r="Q30" s="29"/>
      <c r="R30" s="29"/>
      <c r="S30" s="29"/>
      <c r="T30" s="29"/>
      <c r="U30" s="4"/>
      <c r="V30" s="4"/>
      <c r="W30" s="4"/>
      <c r="X30" s="4"/>
      <c r="Y30" s="4"/>
      <c r="Z30" s="4"/>
      <c r="AA30" s="4"/>
      <c r="AD30" s="14" t="n">
        <v>2023</v>
      </c>
      <c r="AE30" s="15" t="n">
        <f aca="false">+(P36/AA35)-1</f>
        <v>0.00844131235614931</v>
      </c>
      <c r="AF30" s="15" t="n">
        <f aca="false">+(Q36/P36)-1</f>
        <v>0.0073877688517241</v>
      </c>
      <c r="AG30" s="15" t="n">
        <f aca="false">+(R36/Q36)-1</f>
        <v>0.00821037864298546</v>
      </c>
      <c r="AH30" s="15" t="n">
        <f aca="false">+(S36/R36)-1</f>
        <v>0.00745817908130753</v>
      </c>
      <c r="AI30" s="15" t="n">
        <f aca="false">+(T36/S36)-1</f>
        <v>0.00882507642095476</v>
      </c>
      <c r="AJ30" s="15" t="n">
        <f aca="false">+(U36/T36)-1</f>
        <v>0.00800289135407151</v>
      </c>
      <c r="AK30" s="15" t="n">
        <f aca="false">+(V36/U36)-1</f>
        <v>0.00820447209350883</v>
      </c>
      <c r="AL30" s="15" t="n">
        <f aca="false">+(W36/V36)-1</f>
        <v>0.00759628558108139</v>
      </c>
      <c r="AM30" s="15" t="n">
        <f aca="false">+(X36/W36)-1</f>
        <v>0.00678482261305935</v>
      </c>
      <c r="AN30" s="15" t="n">
        <f aca="false">+(Y36/X36)-1</f>
        <v>0.00667608269659126</v>
      </c>
      <c r="AO30" s="15" t="n">
        <f aca="false">+(Z36/Y36)-1</f>
        <v>0.00616956723192952</v>
      </c>
      <c r="AP30" s="15" t="n">
        <f aca="false">+(AA36/Z36)-1</f>
        <v>0.00610155186395645</v>
      </c>
      <c r="AQ30" s="16" t="n">
        <f aca="false">+(AA36/AA35-1)/COUNTA(AE30:AP30)*12</f>
        <v>0.093648405763658</v>
      </c>
      <c r="AV30" s="43"/>
      <c r="AW30" s="40" t="s">
        <v>37</v>
      </c>
      <c r="AX30" s="44" t="n">
        <f aca="false">$AW21/AX21-1</f>
        <v>-0.243672722859896</v>
      </c>
      <c r="AY30" s="44" t="n">
        <f aca="false">$AW21/AY21-1</f>
        <v>-0.237979628862347</v>
      </c>
      <c r="AZ30" s="44" t="n">
        <f aca="false">$AW21/AZ21-1</f>
        <v>-0.228910732364632</v>
      </c>
      <c r="BA30" s="44" t="n">
        <f aca="false">$AW21/BA21-1</f>
        <v>-0.209569757039683</v>
      </c>
      <c r="BB30" s="44" t="n">
        <f aca="false">+AQ57</f>
        <v>-0.71393888658704</v>
      </c>
      <c r="BC30" s="45"/>
      <c r="BD30" s="38"/>
    </row>
    <row r="31" customFormat="false" ht="15" hidden="false" customHeight="false" outlineLevel="0" collapsed="false">
      <c r="A31" s="17" t="n">
        <v>39507</v>
      </c>
      <c r="B31" s="23" t="n">
        <v>12284.88</v>
      </c>
      <c r="C31" s="24" t="n">
        <v>0.00522525026443619</v>
      </c>
      <c r="D31" s="19" t="n">
        <v>112.158522578913</v>
      </c>
      <c r="E31" s="19"/>
      <c r="F31" s="19"/>
      <c r="O31" s="3" t="n">
        <v>2018</v>
      </c>
      <c r="P31" s="29"/>
      <c r="Q31" s="29"/>
      <c r="R31" s="29"/>
      <c r="S31" s="29"/>
      <c r="T31" s="23"/>
      <c r="U31" s="23"/>
      <c r="V31" s="23"/>
      <c r="W31" s="23"/>
      <c r="X31" s="23"/>
      <c r="Y31" s="23"/>
      <c r="Z31" s="23"/>
      <c r="AA31" s="23"/>
      <c r="AD31" s="14" t="n">
        <v>2024</v>
      </c>
      <c r="AE31" s="15" t="n">
        <f aca="false">+(P37/AA36)-1</f>
        <v>0.00587192975175177</v>
      </c>
      <c r="AF31" s="15" t="n">
        <f aca="false">+(Q37/P37)-1</f>
        <v>0.00508491077058904</v>
      </c>
      <c r="AG31" s="15" t="n">
        <f aca="false">+(R37/Q37)-1</f>
        <v>0.0044501495538698</v>
      </c>
      <c r="AH31" s="15" t="n">
        <f aca="false">+(S37/R37)-1</f>
        <v>0.00472012403360989</v>
      </c>
      <c r="AI31" s="15" t="n">
        <f aca="false">+(T37/S37)-1</f>
        <v>0.00416779685595303</v>
      </c>
      <c r="AJ31" s="15" t="n">
        <f aca="false">+(U37/T37)-1</f>
        <v>0.00365019312776771</v>
      </c>
      <c r="AK31" s="15" t="n">
        <f aca="false">+(V37/U37)-1</f>
        <v>0.00363412607508162</v>
      </c>
      <c r="AL31" s="15" t="n">
        <f aca="false">+(W37/V37)-1</f>
        <v>0.00362766941593184</v>
      </c>
      <c r="AM31" s="15" t="n">
        <f aca="false">+(X37/W37)-1</f>
        <v>0.0033754452875443</v>
      </c>
      <c r="AN31" s="15" t="n">
        <f aca="false">+(Y37/X37)-1</f>
        <v>0.00341081299567914</v>
      </c>
      <c r="AO31" s="15" t="n">
        <f aca="false">+(Z37/Y37)-1</f>
        <v>0.00322037460491331</v>
      </c>
      <c r="AP31" s="15" t="n">
        <f aca="false">+(AA37/Z37)-1</f>
        <v>0.003229855901979</v>
      </c>
      <c r="AQ31" s="16" t="n">
        <f aca="false">+(AA37/AA36-1)/COUNTA(AE31:AP31)*12</f>
        <v>0.0495295629197707</v>
      </c>
      <c r="AR31" s="9"/>
      <c r="AS31" s="9"/>
      <c r="AV31" s="43"/>
      <c r="AW31" s="40" t="s">
        <v>29</v>
      </c>
      <c r="AX31" s="44" t="n">
        <f aca="false">$AW22/AX22-1</f>
        <v>-1</v>
      </c>
      <c r="AY31" s="44" t="n">
        <f aca="false">($AW22)/AY22-1</f>
        <v>-1</v>
      </c>
      <c r="AZ31" s="44" t="n">
        <f aca="false">($AW22)/AZ22-1</f>
        <v>-1</v>
      </c>
      <c r="BA31" s="44" t="n">
        <f aca="false">($AW22)/BA22-1</f>
        <v>-1</v>
      </c>
      <c r="BB31" s="44" t="n">
        <f aca="false">+AQ58</f>
        <v>-3</v>
      </c>
      <c r="BC31" s="45"/>
      <c r="BD31" s="38"/>
    </row>
    <row r="32" customFormat="false" ht="15" hidden="false" customHeight="false" outlineLevel="0" collapsed="false">
      <c r="A32" s="17" t="n">
        <v>39538</v>
      </c>
      <c r="B32" s="23" t="n">
        <v>12351.45</v>
      </c>
      <c r="C32" s="24" t="n">
        <v>0.00524405453249546</v>
      </c>
      <c r="D32" s="19" t="n">
        <v>112.766293501224</v>
      </c>
      <c r="E32" s="19"/>
      <c r="F32" s="19"/>
      <c r="O32" s="3" t="n">
        <v>2019</v>
      </c>
      <c r="R32" s="18"/>
      <c r="S32" s="18"/>
      <c r="T32" s="18"/>
      <c r="X32" s="46"/>
      <c r="Y32" s="46"/>
      <c r="AD32" s="14" t="n">
        <v>2025</v>
      </c>
      <c r="AE32" s="15" t="n">
        <f aca="false">+(P38/AA37)-1</f>
        <v>0.00302021033404665</v>
      </c>
      <c r="AF32" s="15" t="n">
        <f aca="false">+(Q38/P38)-1</f>
        <v>0.00276213771028111</v>
      </c>
      <c r="AG32" s="15" t="n">
        <f aca="false">+(R38/Q38)-1</f>
        <v>0.00306282692323312</v>
      </c>
      <c r="AH32" s="15" t="n">
        <f aca="false">+(S38/R38)-1</f>
        <v>0.00297594968581905</v>
      </c>
      <c r="AI32" s="15" t="n">
        <f aca="false">+(T38/S38)-1</f>
        <v>0.00308976252279503</v>
      </c>
      <c r="AJ32" s="15" t="n">
        <f aca="false">+(U38/T38)-1</f>
        <v>0.00299705245742721</v>
      </c>
      <c r="AK32" s="15" t="n">
        <f aca="false">+(V38/U38)-1</f>
        <v>0.00295054952791363</v>
      </c>
      <c r="AL32" s="15" t="n">
        <f aca="false">+(W38/V38)-1</f>
        <v>0.00300054219083834</v>
      </c>
      <c r="AM32" s="15" t="n">
        <f aca="false">+(X38/W38)-1</f>
        <v>0.00276161496613736</v>
      </c>
      <c r="AN32" s="15" t="n">
        <f aca="false">+(Y38/X38)-1</f>
        <v>0.00286519472447866</v>
      </c>
      <c r="AO32" s="15" t="n">
        <f aca="false">+(Z38/Y38)-1</f>
        <v>0.00279501576319907</v>
      </c>
      <c r="AP32" s="15" t="n">
        <f aca="false">+(AA38/Z38)-1</f>
        <v>0.00283776649927603</v>
      </c>
      <c r="AQ32" s="16" t="n">
        <f aca="false">+(Z38/P38-1)/COUNTA(AE32:AP32)*12</f>
        <v>0.0296488830992687</v>
      </c>
      <c r="AR32" s="26"/>
      <c r="AS32" s="9"/>
      <c r="AV32" s="9"/>
      <c r="AW32" s="40" t="s">
        <v>30</v>
      </c>
      <c r="AX32" s="44" t="n">
        <f aca="false">+AW23/AX23-1</f>
        <v>0.00586707433769496</v>
      </c>
      <c r="AY32" s="44" t="n">
        <f aca="false">+AW23/AY23-1</f>
        <v>0.0172937890491356</v>
      </c>
      <c r="AZ32" s="44" t="n">
        <f aca="false">($AW23)/AZ23-1</f>
        <v>0.0347354672174911</v>
      </c>
      <c r="BA32" s="44" t="n">
        <f aca="false">($AW23)/BA23-1</f>
        <v>0.0709713067699509</v>
      </c>
      <c r="BB32" s="44" t="n">
        <f aca="false">+AQ59</f>
        <v>0.0518813671474068</v>
      </c>
      <c r="BC32" s="9"/>
      <c r="BD32" s="38"/>
    </row>
    <row r="33" customFormat="false" ht="15" hidden="false" customHeight="false" outlineLevel="0" collapsed="false">
      <c r="A33" s="17" t="n">
        <v>39568</v>
      </c>
      <c r="B33" s="23" t="n">
        <v>12416.18</v>
      </c>
      <c r="C33" s="24" t="n">
        <v>0.00524068024401991</v>
      </c>
      <c r="D33" s="19" t="n">
        <v>113.357265587768</v>
      </c>
      <c r="E33" s="19"/>
      <c r="F33" s="19"/>
      <c r="O33" s="3" t="n">
        <v>2020</v>
      </c>
      <c r="P33" s="3" t="n">
        <f aca="false">+K174</f>
        <v>4885.3887</v>
      </c>
      <c r="Q33" s="3" t="n">
        <f aca="false">+K175</f>
        <v>4887.7164</v>
      </c>
      <c r="R33" s="3" t="n">
        <f aca="false">+K176</f>
        <v>4892.3528</v>
      </c>
      <c r="S33" s="3" t="n">
        <f aca="false">+K177</f>
        <v>4903.1164</v>
      </c>
      <c r="T33" s="3" t="n">
        <f aca="false">+K178</f>
        <v>4903.90225</v>
      </c>
      <c r="U33" s="3" t="n">
        <f aca="false">+K179</f>
        <v>4904.6881</v>
      </c>
      <c r="V33" s="3" t="n">
        <f aca="false">+K180</f>
        <v>4905.1791</v>
      </c>
      <c r="W33" s="3" t="n">
        <f aca="false">+K181</f>
        <v>4906.1183</v>
      </c>
      <c r="X33" s="3" t="n">
        <f aca="false">+K182</f>
        <v>4906.466</v>
      </c>
      <c r="Y33" s="3" t="n">
        <f aca="false">+K183</f>
        <v>4906.7963</v>
      </c>
      <c r="Z33" s="3" t="n">
        <f aca="false">+K184</f>
        <v>4907.0953</v>
      </c>
      <c r="AA33" s="3" t="n">
        <f aca="false">+K185</f>
        <v>4907.3928</v>
      </c>
      <c r="AD33" s="14" t="n">
        <v>2026</v>
      </c>
      <c r="AE33" s="15" t="n">
        <f aca="false">+(P39/AA38)-1</f>
        <v>0.00272443815472734</v>
      </c>
      <c r="AF33" s="15" t="n">
        <f aca="false">+(Q39/P39)-1</f>
        <v>0.00244521636660222</v>
      </c>
      <c r="AG33" s="15" t="n">
        <f aca="false">+(R39/Q39)-1</f>
        <v>0.00268777625151762</v>
      </c>
      <c r="AH33" s="15" t="n">
        <f aca="false">+(S39/R39)-1</f>
        <v>-1</v>
      </c>
      <c r="AQ33" s="16" t="n">
        <f aca="false">+(S39/P39-1)/COUNTA(AE33:AP33)*12</f>
        <v>-3</v>
      </c>
      <c r="AR33" s="26"/>
      <c r="AS33" s="26"/>
      <c r="AV33" s="9"/>
      <c r="AW33" s="47"/>
      <c r="AX33" s="9"/>
      <c r="AY33" s="9"/>
      <c r="AZ33" s="9"/>
      <c r="BA33" s="9"/>
      <c r="BB33" s="9"/>
      <c r="BC33" s="9"/>
      <c r="BD33" s="38"/>
    </row>
    <row r="34" customFormat="false" ht="15" hidden="false" customHeight="false" outlineLevel="0" collapsed="false">
      <c r="A34" s="17" t="n">
        <v>39598</v>
      </c>
      <c r="B34" s="23" t="n">
        <v>12481.48</v>
      </c>
      <c r="C34" s="24" t="n">
        <v>0.00525926653769515</v>
      </c>
      <c r="D34" s="19" t="n">
        <v>113.953441661478</v>
      </c>
      <c r="E34" s="19"/>
      <c r="F34" s="19"/>
      <c r="O34" s="3" t="n">
        <v>2021</v>
      </c>
      <c r="P34" s="3" t="n">
        <f aca="false">+K186</f>
        <v>4907.6377</v>
      </c>
      <c r="Q34" s="3" t="n">
        <f aca="false">+K187</f>
        <v>4907.9052</v>
      </c>
      <c r="R34" s="3" t="n">
        <f aca="false">+K188</f>
        <v>4908.1704</v>
      </c>
      <c r="S34" s="3" t="n">
        <f aca="false">+K189</f>
        <v>4908.4956</v>
      </c>
      <c r="T34" s="3" t="n">
        <f aca="false">+K190</f>
        <v>4908.7905</v>
      </c>
      <c r="U34" s="3" t="n">
        <f aca="false">+K191</f>
        <v>4909.0847</v>
      </c>
      <c r="V34" s="3" t="n">
        <f aca="false">+K192</f>
        <v>4909.3885</v>
      </c>
      <c r="W34" s="3" t="n">
        <f aca="false">+K193</f>
        <v>4909.6931</v>
      </c>
      <c r="X34" s="18" t="n">
        <f aca="false">+K194</f>
        <v>4909.1149</v>
      </c>
      <c r="Y34" s="18" t="n">
        <f aca="false">+K195</f>
        <v>4914.1336</v>
      </c>
      <c r="Z34" s="18" t="n">
        <f aca="false">+K196</f>
        <v>4920.3216</v>
      </c>
      <c r="AA34" s="18" t="n">
        <f aca="false">+K197</f>
        <v>4929.2918</v>
      </c>
      <c r="AD34" s="26"/>
      <c r="AE34" s="9"/>
      <c r="AF34" s="9"/>
      <c r="AG34" s="9"/>
      <c r="AH34" s="9"/>
      <c r="AI34" s="9"/>
      <c r="AJ34" s="9"/>
      <c r="AK34" s="9"/>
      <c r="AL34" s="9"/>
      <c r="AM34" s="9"/>
      <c r="AN34" s="9"/>
      <c r="AO34" s="9"/>
      <c r="AP34" s="9"/>
      <c r="AQ34" s="9"/>
      <c r="AR34" s="9"/>
      <c r="AS34" s="9"/>
      <c r="BD34" s="38"/>
    </row>
    <row r="35" customFormat="false" ht="15" hidden="false" customHeight="false" outlineLevel="0" collapsed="false">
      <c r="A35" s="17" t="n">
        <v>39629</v>
      </c>
      <c r="B35" s="23" t="n">
        <v>12552.23</v>
      </c>
      <c r="C35" s="24" t="n">
        <v>0.00548554674088997</v>
      </c>
      <c r="D35" s="19" t="n">
        <v>114.599375156348</v>
      </c>
      <c r="E35" s="19"/>
      <c r="F35" s="19"/>
      <c r="O35" s="3" t="n">
        <v>2022</v>
      </c>
      <c r="P35" s="3" t="n">
        <f aca="false">+K198</f>
        <v>4941.9683</v>
      </c>
      <c r="Q35" s="18" t="n">
        <f aca="false">+K199</f>
        <v>4958.2785</v>
      </c>
      <c r="R35" s="3" t="n">
        <f aca="false">+K200</f>
        <v>4977.0833</v>
      </c>
      <c r="S35" s="3" t="n">
        <f aca="false">+K201</f>
        <v>4999.8366</v>
      </c>
      <c r="T35" s="3" t="n">
        <f aca="false">+K202</f>
        <v>5027.3885</v>
      </c>
      <c r="U35" s="18" t="n">
        <f aca="false">+K203</f>
        <v>5056.9676</v>
      </c>
      <c r="V35" s="3" t="n">
        <f aca="false">+K204</f>
        <v>5089.8979</v>
      </c>
      <c r="W35" s="18" t="n">
        <f aca="false">+K205</f>
        <v>5125.6822</v>
      </c>
      <c r="X35" s="18" t="n">
        <f aca="false">+K206</f>
        <v>5163.2829</v>
      </c>
      <c r="Y35" s="18" t="n">
        <f aca="false">+K207</f>
        <v>5200.6767</v>
      </c>
      <c r="Z35" s="18" t="n">
        <f aca="false">+K208</f>
        <v>5246.14</v>
      </c>
      <c r="AA35" s="18" t="n">
        <f aca="false">+K209</f>
        <v>5287.7323</v>
      </c>
      <c r="AD35" s="26" t="s">
        <v>24</v>
      </c>
      <c r="AE35" s="9"/>
      <c r="AF35" s="9"/>
      <c r="AG35" s="9"/>
      <c r="AH35" s="9"/>
      <c r="AI35" s="9"/>
      <c r="AJ35" s="9"/>
      <c r="AK35" s="9"/>
      <c r="AL35" s="9"/>
      <c r="AM35" s="9"/>
      <c r="AN35" s="9"/>
      <c r="AO35" s="9"/>
      <c r="AP35" s="9"/>
      <c r="AQ35" s="9"/>
      <c r="AR35" s="26" t="s">
        <v>28</v>
      </c>
      <c r="AS35" s="9"/>
    </row>
    <row r="36" customFormat="false" ht="15" hidden="false" customHeight="false" outlineLevel="0" collapsed="false">
      <c r="A36" s="17" t="n">
        <v>39660</v>
      </c>
      <c r="B36" s="23" t="n">
        <v>12628.9</v>
      </c>
      <c r="C36" s="24" t="n">
        <v>0.00591104323244138</v>
      </c>
      <c r="D36" s="19" t="n">
        <v>115.29935707934</v>
      </c>
      <c r="E36" s="19"/>
      <c r="F36" s="19"/>
      <c r="O36" s="3" t="n">
        <v>2023</v>
      </c>
      <c r="P36" s="3" t="n">
        <f aca="false">+K210</f>
        <v>5332.3677</v>
      </c>
      <c r="Q36" s="3" t="n">
        <f aca="false">+K211</f>
        <v>5371.762</v>
      </c>
      <c r="R36" s="3" t="n">
        <f aca="false">+K212</f>
        <v>5415.8662</v>
      </c>
      <c r="S36" s="3" t="n">
        <f aca="false">+K213</f>
        <v>5456.2587</v>
      </c>
      <c r="T36" s="18" t="n">
        <f aca="false">+K214</f>
        <v>5504.4106</v>
      </c>
      <c r="U36" s="3" t="n">
        <f aca="false">+K215</f>
        <v>5548.4618</v>
      </c>
      <c r="V36" s="3" t="n">
        <f aca="false">+K216</f>
        <v>5593.984</v>
      </c>
      <c r="W36" s="18" t="n">
        <f aca="false">+K217</f>
        <v>5636.4775</v>
      </c>
      <c r="X36" s="3" t="n">
        <f aca="false">+K218</f>
        <v>5674.72</v>
      </c>
      <c r="Y36" s="3" t="n">
        <f aca="false">+K219</f>
        <v>5712.6049</v>
      </c>
      <c r="Z36" s="3" t="n">
        <f aca="false">+K220</f>
        <v>5747.8492</v>
      </c>
      <c r="AA36" s="3" t="n">
        <f aca="false">+K221</f>
        <v>5782.92</v>
      </c>
      <c r="AD36" s="26"/>
      <c r="AE36" s="9"/>
      <c r="AF36" s="9"/>
      <c r="AG36" s="9"/>
      <c r="AH36" s="9"/>
      <c r="AI36" s="9"/>
      <c r="AJ36" s="9"/>
      <c r="AK36" s="9"/>
      <c r="AL36" s="9"/>
      <c r="AM36" s="9"/>
      <c r="AN36" s="9"/>
      <c r="AO36" s="9"/>
      <c r="AP36" s="9"/>
      <c r="AQ36" s="9"/>
      <c r="AR36" s="9"/>
      <c r="AS36" s="9"/>
    </row>
    <row r="37" customFormat="false" ht="15" hidden="false" customHeight="false" outlineLevel="0" collapsed="false">
      <c r="A37" s="17" t="n">
        <v>39689</v>
      </c>
      <c r="B37" s="23" t="n">
        <v>12704.63</v>
      </c>
      <c r="C37" s="24" t="n">
        <v>0.00620334148740949</v>
      </c>
      <c r="D37" s="19" t="n">
        <v>115.990756988407</v>
      </c>
      <c r="E37" s="19"/>
      <c r="F37" s="19"/>
      <c r="O37" s="3" t="n">
        <v>2024</v>
      </c>
      <c r="P37" s="3" t="n">
        <f aca="false">+K222</f>
        <v>5816.8769</v>
      </c>
      <c r="Q37" s="3" t="n">
        <f aca="false">+K223</f>
        <v>5846.4552</v>
      </c>
      <c r="R37" s="3" t="n">
        <f aca="false">+K224</f>
        <v>5872.4728</v>
      </c>
      <c r="S37" s="3" t="n">
        <f aca="false">+K225</f>
        <v>5900.1916</v>
      </c>
      <c r="T37" s="3" t="n">
        <f aca="false">+K226</f>
        <v>5924.7824</v>
      </c>
      <c r="U37" s="3" t="n">
        <f aca="false">+K227</f>
        <v>5946.409</v>
      </c>
      <c r="V37" s="3" t="n">
        <f aca="false">+K228</f>
        <v>5968.019</v>
      </c>
      <c r="W37" s="3" t="n">
        <f aca="false">+K229</f>
        <v>5989.669</v>
      </c>
      <c r="X37" s="3" t="n">
        <f aca="false">+K230</f>
        <v>6009.8868</v>
      </c>
      <c r="Y37" s="3" t="n">
        <f aca="false">+K231</f>
        <v>6030.3854</v>
      </c>
      <c r="Z37" s="3" t="n">
        <f aca="false">+K232</f>
        <v>6049.8055</v>
      </c>
      <c r="AA37" s="3" t="n">
        <f aca="false">+K233</f>
        <v>6069.3455</v>
      </c>
      <c r="AC37" s="48" t="s">
        <v>38</v>
      </c>
      <c r="AD37" s="49" t="s">
        <v>39</v>
      </c>
      <c r="AE37" s="49" t="s">
        <v>4</v>
      </c>
      <c r="AF37" s="49" t="s">
        <v>5</v>
      </c>
      <c r="AG37" s="49" t="s">
        <v>6</v>
      </c>
      <c r="AH37" s="49" t="s">
        <v>7</v>
      </c>
      <c r="AI37" s="49" t="s">
        <v>8</v>
      </c>
      <c r="AJ37" s="49" t="s">
        <v>9</v>
      </c>
      <c r="AK37" s="49" t="s">
        <v>10</v>
      </c>
      <c r="AL37" s="49" t="s">
        <v>11</v>
      </c>
      <c r="AM37" s="49" t="s">
        <v>12</v>
      </c>
      <c r="AN37" s="49" t="s">
        <v>13</v>
      </c>
      <c r="AO37" s="49" t="s">
        <v>14</v>
      </c>
      <c r="AP37" s="49" t="s">
        <v>15</v>
      </c>
      <c r="AQ37" s="49" t="s">
        <v>16</v>
      </c>
      <c r="AR37" s="26"/>
      <c r="AS37" s="9"/>
    </row>
    <row r="38" customFormat="false" ht="15" hidden="false" customHeight="false" outlineLevel="0" collapsed="false">
      <c r="A38" s="17" t="n">
        <v>39721</v>
      </c>
      <c r="B38" s="23" t="n">
        <v>12796.95</v>
      </c>
      <c r="C38" s="24" t="n">
        <v>0.0068124770260921</v>
      </c>
      <c r="D38" s="19" t="n">
        <v>116.833620313444</v>
      </c>
      <c r="E38" s="19"/>
      <c r="F38" s="19"/>
      <c r="O38" s="3" t="n">
        <v>2025</v>
      </c>
      <c r="P38" s="3" t="n">
        <f aca="false">+K234</f>
        <v>6087.6762</v>
      </c>
      <c r="Q38" s="3" t="n">
        <f aca="false">+K235</f>
        <v>6104.4912</v>
      </c>
      <c r="R38" s="3" t="n">
        <f aca="false">+K236</f>
        <v>6123.1882</v>
      </c>
      <c r="S38" s="3" t="n">
        <f aca="false">+K237</f>
        <v>6141.4105</v>
      </c>
      <c r="T38" s="3" t="n">
        <f aca="false">+K238</f>
        <v>6160.386</v>
      </c>
      <c r="U38" s="3" t="n">
        <f aca="false">+K239</f>
        <v>6178.849</v>
      </c>
      <c r="V38" s="3" t="n">
        <f aca="false">+K240</f>
        <v>6197.08</v>
      </c>
      <c r="W38" s="3" t="n">
        <f aca="false">+K241</f>
        <v>6215.6746</v>
      </c>
      <c r="X38" s="3" t="n">
        <f aca="false">+K242</f>
        <v>6232.8399</v>
      </c>
      <c r="Y38" s="3" t="n">
        <f aca="false">+K243</f>
        <v>6250.6982</v>
      </c>
      <c r="Z38" s="3" t="n">
        <f aca="false">+K244</f>
        <v>6268.169</v>
      </c>
      <c r="AA38" s="3" t="n">
        <f aca="false">+K245</f>
        <v>6285.9566</v>
      </c>
      <c r="AC38" s="50"/>
      <c r="AD38" s="51" t="s">
        <v>30</v>
      </c>
      <c r="AE38" s="52"/>
      <c r="AF38" s="52"/>
      <c r="AG38" s="52"/>
      <c r="AH38" s="52"/>
      <c r="AI38" s="52"/>
      <c r="AJ38" s="52"/>
      <c r="AK38" s="52"/>
      <c r="AL38" s="52"/>
      <c r="AM38" s="52"/>
      <c r="AN38" s="52"/>
      <c r="AO38" s="52"/>
      <c r="AP38" s="52"/>
      <c r="AQ38" s="53"/>
      <c r="AR38" s="26"/>
      <c r="AS38" s="9"/>
    </row>
    <row r="39" customFormat="false" ht="15" hidden="false" customHeight="false" outlineLevel="0" collapsed="false">
      <c r="A39" s="17" t="n">
        <v>39752</v>
      </c>
      <c r="B39" s="23" t="n">
        <v>12885.37</v>
      </c>
      <c r="C39" s="24" t="n">
        <v>0.00668657312371184</v>
      </c>
      <c r="D39" s="19" t="n">
        <v>117.640877410496</v>
      </c>
      <c r="E39" s="19"/>
      <c r="F39" s="19"/>
      <c r="O39" s="3" t="n">
        <v>2026</v>
      </c>
      <c r="P39" s="3" t="n">
        <f aca="false">+K246</f>
        <v>6303.0823</v>
      </c>
      <c r="Q39" s="3" t="n">
        <f aca="false">+K247</f>
        <v>6318.4947</v>
      </c>
      <c r="R39" s="3" t="n">
        <f aca="false">+K248</f>
        <v>6335.4774</v>
      </c>
      <c r="S39" s="3" t="n">
        <f aca="false">+K249</f>
        <v>0</v>
      </c>
      <c r="AC39" s="50" t="n">
        <v>2020</v>
      </c>
      <c r="AD39" s="51" t="s">
        <v>3</v>
      </c>
      <c r="AE39" s="52"/>
      <c r="AF39" s="52"/>
      <c r="AG39" s="52"/>
      <c r="AH39" s="52"/>
      <c r="AI39" s="52" t="n">
        <f aca="false">+AI3</f>
        <v>0.000386405912274901</v>
      </c>
      <c r="AJ39" s="52" t="n">
        <f aca="false">+AJ3</f>
        <v>0.000390483819491916</v>
      </c>
      <c r="AK39" s="52" t="n">
        <f aca="false">+AK3</f>
        <v>0.000428360983128151</v>
      </c>
      <c r="AL39" s="52" t="n">
        <f aca="false">+AL3</f>
        <v>0.00041973016893726</v>
      </c>
      <c r="AM39" s="52" t="n">
        <f aca="false">+AM3</f>
        <v>0.000394750243948305</v>
      </c>
      <c r="AN39" s="52" t="n">
        <f aca="false">+AN3</f>
        <v>0.000372438103266815</v>
      </c>
      <c r="AO39" s="52" t="n">
        <f aca="false">+AO3</f>
        <v>0.00032958520252091</v>
      </c>
      <c r="AP39" s="52" t="n">
        <f aca="false">+AP3</f>
        <v>0.000390100308495622</v>
      </c>
      <c r="AQ39" s="53" t="n">
        <f aca="false">+AQ3</f>
        <v>0.010351900904977</v>
      </c>
      <c r="AR39" s="9"/>
      <c r="AS39" s="9"/>
    </row>
    <row r="40" customFormat="false" ht="15" hidden="false" customHeight="false" outlineLevel="0" collapsed="false">
      <c r="A40" s="17" t="n">
        <v>39780</v>
      </c>
      <c r="B40" s="23" t="n">
        <v>12970.93</v>
      </c>
      <c r="C40" s="24" t="n">
        <v>0.0071143807722579</v>
      </c>
      <c r="D40" s="19" t="n">
        <v>118.422023273691</v>
      </c>
      <c r="E40" s="19"/>
      <c r="F40" s="19"/>
      <c r="AC40" s="50"/>
      <c r="AD40" s="51" t="s">
        <v>29</v>
      </c>
      <c r="AE40" s="52"/>
      <c r="AF40" s="52"/>
      <c r="AG40" s="52"/>
      <c r="AH40" s="52"/>
      <c r="AI40" s="52" t="n">
        <f aca="false">+AI27</f>
        <v>0.000160275615728844</v>
      </c>
      <c r="AJ40" s="52" t="n">
        <f aca="false">+AJ27</f>
        <v>0.000160249931572487</v>
      </c>
      <c r="AK40" s="52" t="n">
        <f aca="false">+AK27</f>
        <v>0.000100108302503399</v>
      </c>
      <c r="AL40" s="52" t="n">
        <f aca="false">+AL27</f>
        <v>0.000191471092258366</v>
      </c>
      <c r="AM40" s="52" t="n">
        <f aca="false">+AM27</f>
        <v>7.08706922130098E-005</v>
      </c>
      <c r="AN40" s="52" t="n">
        <f aca="false">+AN27</f>
        <v>6.73193292279883E-005</v>
      </c>
      <c r="AO40" s="52" t="n">
        <f aca="false">+AO27</f>
        <v>6.09358900838242E-005</v>
      </c>
      <c r="AP40" s="52" t="n">
        <f aca="false">+AP27</f>
        <v>6.06264973088688E-005</v>
      </c>
      <c r="AQ40" s="53" t="n">
        <f aca="false">+AQ27</f>
        <v>0.00130826998110811</v>
      </c>
      <c r="AR40" s="26" t="s">
        <v>28</v>
      </c>
      <c r="AS40" s="9"/>
      <c r="BE40" s="42"/>
      <c r="BF40" s="42"/>
      <c r="BG40" s="42"/>
      <c r="BH40" s="42"/>
      <c r="BI40" s="42"/>
      <c r="BJ40" s="42"/>
    </row>
    <row r="41" customFormat="false" ht="15" hidden="false" customHeight="true" outlineLevel="0" collapsed="false">
      <c r="A41" s="17" t="n">
        <v>39813</v>
      </c>
      <c r="B41" s="23" t="n">
        <v>13066.33</v>
      </c>
      <c r="C41" s="24" t="n">
        <v>0.00668628022256474</v>
      </c>
      <c r="D41" s="19" t="n">
        <v>119.293006389036</v>
      </c>
      <c r="E41" s="19"/>
      <c r="F41" s="19"/>
      <c r="AC41" s="50"/>
      <c r="AD41" s="51" t="s">
        <v>30</v>
      </c>
      <c r="AE41" s="52"/>
      <c r="AF41" s="52"/>
      <c r="AG41" s="52"/>
      <c r="AH41" s="52"/>
      <c r="AI41" s="52" t="n">
        <f aca="false">+AI14</f>
        <v>0.00185417033327462</v>
      </c>
      <c r="AJ41" s="52" t="n">
        <f aca="false">+AJ14</f>
        <v>0.00286035057235967</v>
      </c>
      <c r="AK41" s="52" t="n">
        <f aca="false">+AK14</f>
        <v>0.00236957791594783</v>
      </c>
      <c r="AL41" s="52" t="n">
        <f aca="false">+AL14</f>
        <v>0.00204425167411082</v>
      </c>
      <c r="AM41" s="52" t="n">
        <f aca="false">+AM14</f>
        <v>0.00240285262573248</v>
      </c>
      <c r="AN41" s="52" t="n">
        <f aca="false">+AN14</f>
        <v>0.00267941768310886</v>
      </c>
      <c r="AO41" s="52" t="n">
        <f aca="false">+AO14</f>
        <v>0.00249351554833943</v>
      </c>
      <c r="AP41" s="52" t="n">
        <f aca="false">+AP14</f>
        <v>0.00207713675908638</v>
      </c>
      <c r="AQ41" s="53" t="n">
        <f aca="false">+AQ14</f>
        <v>0.028403869462823</v>
      </c>
      <c r="AR41" s="9"/>
      <c r="AS41" s="9"/>
      <c r="BE41" s="38"/>
      <c r="BF41" s="38"/>
      <c r="BG41" s="38"/>
      <c r="BH41" s="38"/>
      <c r="BI41" s="38"/>
      <c r="BJ41" s="54"/>
    </row>
    <row r="42" customFormat="false" ht="15" hidden="false" customHeight="true" outlineLevel="0" collapsed="false">
      <c r="A42" s="17" t="n">
        <v>39843</v>
      </c>
      <c r="B42" s="23" t="n">
        <v>13151.16</v>
      </c>
      <c r="C42" s="24" t="n">
        <v>0.0064922591117782</v>
      </c>
      <c r="D42" s="19" t="n">
        <v>120.067487496736</v>
      </c>
      <c r="E42" s="19"/>
      <c r="F42" s="19"/>
      <c r="AC42" s="50" t="n">
        <v>2021</v>
      </c>
      <c r="AD42" s="51" t="s">
        <v>3</v>
      </c>
      <c r="AE42" s="55" t="n">
        <f aca="false">+AE4</f>
        <v>0.000271909818684524</v>
      </c>
      <c r="AF42" s="55" t="n">
        <f aca="false">+AF4</f>
        <v>0.000239173450272023</v>
      </c>
      <c r="AG42" s="55" t="n">
        <f aca="false">+AG4</f>
        <v>0.000259130396311313</v>
      </c>
      <c r="AH42" s="55" t="n">
        <f aca="false">+AH4</f>
        <v>0.000294342205723552</v>
      </c>
      <c r="AI42" s="55" t="n">
        <f aca="false">+AI4</f>
        <v>0.000242668745581653</v>
      </c>
      <c r="AJ42" s="55" t="n">
        <f aca="false">+AJ4</f>
        <v>0.000272607187777885</v>
      </c>
      <c r="AK42" s="55" t="n">
        <f aca="false">+AK4</f>
        <v>0.000501923514011571</v>
      </c>
      <c r="AL42" s="55" t="n">
        <f aca="false">+AL4</f>
        <v>0.00062893015614951</v>
      </c>
      <c r="AM42" s="55" t="n">
        <f aca="false">+AM4</f>
        <v>0.00124761014863051</v>
      </c>
      <c r="AN42" s="55" t="n">
        <f aca="false">+AN4</f>
        <v>0.00207168546072567</v>
      </c>
      <c r="AO42" s="55" t="n">
        <f aca="false">+AO4</f>
        <v>0.00214125696183509</v>
      </c>
      <c r="AP42" s="55" t="n">
        <f aca="false">+AP4</f>
        <v>0.0031851611422884</v>
      </c>
      <c r="AQ42" s="55" t="n">
        <f aca="false">+AQ4</f>
        <v>0.0114102002015084</v>
      </c>
      <c r="AR42" s="9"/>
      <c r="AS42" s="9"/>
      <c r="BE42" s="38"/>
      <c r="BF42" s="38"/>
      <c r="BG42" s="38"/>
      <c r="BH42" s="38"/>
      <c r="BI42" s="38"/>
      <c r="BJ42" s="54"/>
    </row>
    <row r="43" customFormat="false" ht="15" hidden="false" customHeight="true" outlineLevel="0" collapsed="false">
      <c r="A43" s="17" t="n">
        <v>39871</v>
      </c>
      <c r="B43" s="23" t="n">
        <v>13212.09</v>
      </c>
      <c r="C43" s="24" t="n">
        <v>0.00496398362252023</v>
      </c>
      <c r="D43" s="19" t="n">
        <v>120.623766335498</v>
      </c>
      <c r="E43" s="19"/>
      <c r="F43" s="19"/>
      <c r="AC43" s="50"/>
      <c r="AD43" s="51" t="s">
        <v>29</v>
      </c>
      <c r="AE43" s="55" t="n">
        <f aca="false">+AE28</f>
        <v>4.99042994888121E-005</v>
      </c>
      <c r="AF43" s="55" t="n">
        <f aca="false">+AF28</f>
        <v>5.45068760882117E-005</v>
      </c>
      <c r="AG43" s="55" t="n">
        <f aca="false">+AG28</f>
        <v>5.40352735418637E-005</v>
      </c>
      <c r="AH43" s="55" t="n">
        <f aca="false">+AH28</f>
        <v>6.6256868343384E-005</v>
      </c>
      <c r="AI43" s="55" t="n">
        <f aca="false">+AI28</f>
        <v>6.00795078637972E-005</v>
      </c>
      <c r="AJ43" s="55" t="n">
        <f aca="false">+AJ28</f>
        <v>5.99332972144318E-005</v>
      </c>
      <c r="AK43" s="55" t="n">
        <f aca="false">+AK28</f>
        <v>6.18852634586276E-005</v>
      </c>
      <c r="AL43" s="55" t="n">
        <f aca="false">+AL28</f>
        <v>6.20443869945309E-005</v>
      </c>
      <c r="AM43" s="55" t="n">
        <f aca="false">+AM28</f>
        <v>-0.000117767035173966</v>
      </c>
      <c r="AN43" s="55" t="n">
        <f aca="false">+AN28</f>
        <v>0.0010223227816486</v>
      </c>
      <c r="AO43" s="55" t="n">
        <f aca="false">+AO28</f>
        <v>0.00125922502391873</v>
      </c>
      <c r="AP43" s="55" t="n">
        <f aca="false">+AP28</f>
        <v>0.0018230922141349</v>
      </c>
      <c r="AQ43" s="55" t="n">
        <f aca="false">+AQ28</f>
        <v>0.00446245101879761</v>
      </c>
      <c r="AR43" s="9"/>
      <c r="AS43" s="9"/>
      <c r="BE43" s="38"/>
      <c r="BF43" s="38"/>
      <c r="BG43" s="38"/>
      <c r="BH43" s="38"/>
      <c r="BI43" s="38"/>
      <c r="BJ43" s="54"/>
    </row>
    <row r="44" customFormat="false" ht="15" hidden="false" customHeight="false" outlineLevel="0" collapsed="false">
      <c r="A44" s="17" t="n">
        <v>39903</v>
      </c>
      <c r="B44" s="23" t="n">
        <v>13251.18</v>
      </c>
      <c r="C44" s="24" t="n">
        <v>0.00277373791731671</v>
      </c>
      <c r="D44" s="19" t="n">
        <v>120.98065029754</v>
      </c>
      <c r="E44" s="19"/>
      <c r="F44" s="19"/>
      <c r="AC44" s="50"/>
      <c r="AD44" s="51" t="s">
        <v>30</v>
      </c>
      <c r="AE44" s="55" t="n">
        <f aca="false">+AE15</f>
        <v>0.00193963953271115</v>
      </c>
      <c r="AF44" s="55" t="n">
        <f aca="false">+AF15</f>
        <v>0.00163880213940648</v>
      </c>
      <c r="AG44" s="55" t="n">
        <f aca="false">+AG15</f>
        <v>0.00154879458473123</v>
      </c>
      <c r="AH44" s="55" t="n">
        <f aca="false">+AH15</f>
        <v>0.00153575692636232</v>
      </c>
      <c r="AI44" s="55" t="n">
        <f aca="false">+AI15</f>
        <v>0.00177351701113326</v>
      </c>
      <c r="AJ44" s="55" t="n">
        <f aca="false">+AJ15</f>
        <v>0.00144164292507543</v>
      </c>
      <c r="AK44" s="55" t="n">
        <f aca="false">+AK15</f>
        <v>0.00171068905933969</v>
      </c>
      <c r="AL44" s="55" t="n">
        <f aca="false">+AL15</f>
        <v>0.00119739692607812</v>
      </c>
      <c r="AM44" s="55" t="n">
        <f aca="false">+AM15</f>
        <v>0.00151697530448724</v>
      </c>
      <c r="AN44" s="55" t="n">
        <f aca="false">+AN15</f>
        <v>0.00148236393840229</v>
      </c>
      <c r="AO44" s="55" t="n">
        <f aca="false">+AO15</f>
        <v>0.00162749121654326</v>
      </c>
      <c r="AP44" s="55" t="n">
        <f aca="false">+AP15</f>
        <v>0.00241448084512208</v>
      </c>
      <c r="AQ44" s="55" t="n">
        <f aca="false">+AQ15</f>
        <v>0.0200082210567012</v>
      </c>
      <c r="AR44" s="9"/>
      <c r="AS44" s="9"/>
      <c r="BE44" s="38"/>
      <c r="BF44" s="38"/>
      <c r="BG44" s="38"/>
      <c r="BH44" s="38"/>
      <c r="BI44" s="38"/>
      <c r="BJ44" s="54"/>
    </row>
    <row r="45" customFormat="false" ht="15" hidden="false" customHeight="false" outlineLevel="0" collapsed="false">
      <c r="A45" s="17" t="n">
        <v>39933</v>
      </c>
      <c r="B45" s="23" t="n">
        <v>13272.62</v>
      </c>
      <c r="C45" s="24" t="n">
        <v>0.00161796911671264</v>
      </c>
      <c r="D45" s="19" t="n">
        <v>121.176393253442</v>
      </c>
      <c r="E45" s="19"/>
      <c r="F45" s="19"/>
      <c r="AC45" s="50" t="n">
        <v>2022</v>
      </c>
      <c r="AD45" s="51" t="s">
        <v>3</v>
      </c>
      <c r="AE45" s="55" t="n">
        <f aca="false">+AE5</f>
        <v>0.00343555418239894</v>
      </c>
      <c r="AF45" s="55" t="n">
        <f aca="false">+AF5</f>
        <v>0.0042862298052635</v>
      </c>
      <c r="AG45" s="55" t="n">
        <f aca="false">+AG5</f>
        <v>0.00483147984427568</v>
      </c>
      <c r="AH45" s="55" t="n">
        <f aca="false">+AH5</f>
        <v>0.00545243589644651</v>
      </c>
      <c r="AI45" s="55" t="n">
        <f aca="false">+AI5</f>
        <v>0.00711313258265056</v>
      </c>
      <c r="AJ45" s="55" t="n">
        <f aca="false">+AJ5</f>
        <v>0.00735963642867588</v>
      </c>
      <c r="AK45" s="55" t="n">
        <f aca="false">+AK5</f>
        <v>0.00758934606328521</v>
      </c>
      <c r="AL45" s="55" t="n">
        <f aca="false">+AL5</f>
        <v>0.00897594167289917</v>
      </c>
      <c r="AM45" s="55" t="n">
        <f aca="false">+AM5</f>
        <v>0.00879983646672877</v>
      </c>
      <c r="AN45" s="55" t="n">
        <f aca="false">+AN5</f>
        <v>0.00860306861798099</v>
      </c>
      <c r="AO45" s="55" t="n">
        <f aca="false">+AO5</f>
        <v>0.0103612389794803</v>
      </c>
      <c r="AP45" s="55" t="n">
        <f aca="false">+AP5</f>
        <v>0.00941665122241275</v>
      </c>
      <c r="AQ45" s="55" t="n">
        <f aca="false">+AQ5</f>
        <v>0.0896859911813484</v>
      </c>
      <c r="AR45" s="9"/>
      <c r="AS45" s="9"/>
      <c r="BE45" s="38"/>
      <c r="BF45" s="38"/>
      <c r="BG45" s="38"/>
      <c r="BH45" s="38"/>
      <c r="BI45" s="38"/>
      <c r="BJ45" s="54"/>
    </row>
    <row r="46" customFormat="false" ht="15" hidden="false" customHeight="false" outlineLevel="0" collapsed="false">
      <c r="A46" s="17" t="n">
        <v>39962</v>
      </c>
      <c r="B46" s="23" t="n">
        <v>13286.96</v>
      </c>
      <c r="C46" s="24" t="n">
        <v>0.00111767554247918</v>
      </c>
      <c r="D46" s="19" t="n">
        <v>121.307314614805</v>
      </c>
      <c r="E46" s="19"/>
      <c r="F46" s="19"/>
      <c r="AC46" s="50"/>
      <c r="AD46" s="51" t="s">
        <v>29</v>
      </c>
      <c r="AE46" s="55" t="n">
        <f aca="false">+AE29</f>
        <v>0.00257166759736172</v>
      </c>
      <c r="AF46" s="55" t="n">
        <f aca="false">+AF29</f>
        <v>0.00330034492532061</v>
      </c>
      <c r="AG46" s="55" t="n">
        <f aca="false">+AG29</f>
        <v>0.00379260664764991</v>
      </c>
      <c r="AH46" s="55" t="n">
        <f aca="false">+AH29</f>
        <v>0.00457161325790945</v>
      </c>
      <c r="AI46" s="55" t="n">
        <f aca="false">+AI29</f>
        <v>0.00551056008510376</v>
      </c>
      <c r="AJ46" s="55" t="n">
        <f aca="false">+AJ29</f>
        <v>0.00588359145110817</v>
      </c>
      <c r="AK46" s="55" t="n">
        <f aca="false">+AK29</f>
        <v>0.00651186691407713</v>
      </c>
      <c r="AL46" s="55" t="n">
        <f aca="false">+AL29</f>
        <v>0.00703045536532287</v>
      </c>
      <c r="AM46" s="55" t="n">
        <f aca="false">+AM29</f>
        <v>0.00733574547403659</v>
      </c>
      <c r="AN46" s="55" t="n">
        <f aca="false">+AN29</f>
        <v>0.00724225279230772</v>
      </c>
      <c r="AO46" s="55" t="n">
        <f aca="false">+AO29</f>
        <v>0.00874180469630037</v>
      </c>
      <c r="AP46" s="55" t="n">
        <f aca="false">+AP29</f>
        <v>0.00792817195118678</v>
      </c>
      <c r="AQ46" s="55" t="n">
        <f aca="false">+AQ29</f>
        <v>0.0727164295690508</v>
      </c>
      <c r="AR46" s="9"/>
      <c r="AS46" s="9"/>
      <c r="BD46" s="38"/>
      <c r="BE46" s="38"/>
      <c r="BF46" s="38"/>
      <c r="BG46" s="38"/>
      <c r="BH46" s="38"/>
      <c r="BI46" s="38"/>
      <c r="BJ46" s="54"/>
    </row>
    <row r="47" customFormat="false" ht="15.75" hidden="false" customHeight="true" outlineLevel="0" collapsed="false">
      <c r="A47" s="17" t="n">
        <v>39994</v>
      </c>
      <c r="B47" s="23" t="n">
        <v>13299.08</v>
      </c>
      <c r="C47" s="24" t="n">
        <v>0.000855161752575523</v>
      </c>
      <c r="D47" s="19" t="n">
        <v>121.417967815622</v>
      </c>
      <c r="E47" s="19"/>
      <c r="F47" s="19"/>
      <c r="AC47" s="50"/>
      <c r="AD47" s="51" t="s">
        <v>30</v>
      </c>
      <c r="AE47" s="55" t="n">
        <f aca="false">+AE16</f>
        <v>0.0034210183783705</v>
      </c>
      <c r="AF47" s="55" t="n">
        <f aca="false">+AF16</f>
        <v>0.0040991653310769</v>
      </c>
      <c r="AG47" s="55" t="n">
        <f aca="false">+AG16</f>
        <v>0.00466409359892905</v>
      </c>
      <c r="AH47" s="55" t="n">
        <f aca="false">+AH16</f>
        <v>0.00633303790958029</v>
      </c>
      <c r="AI47" s="55" t="n">
        <f aca="false">+AI16</f>
        <v>0.00815619253977973</v>
      </c>
      <c r="AJ47" s="55" t="n">
        <f aca="false">+AJ16</f>
        <v>0.00780164269157613</v>
      </c>
      <c r="AK47" s="55" t="n">
        <f aca="false">+AK16</f>
        <v>0.00820662860754884</v>
      </c>
      <c r="AL47" s="55" t="n">
        <f aca="false">+AL16</f>
        <v>0.00877449435700117</v>
      </c>
      <c r="AM47" s="55" t="n">
        <f aca="false">+AM16</f>
        <v>0.00869168248420937</v>
      </c>
      <c r="AN47" s="55" t="n">
        <f aca="false">+AN16</f>
        <v>0.00924540611941804</v>
      </c>
      <c r="AO47" s="55" t="n">
        <f aca="false">+AO16</f>
        <v>0.0110641276673848</v>
      </c>
      <c r="AP47" s="55" t="n">
        <f aca="false">+AP16</f>
        <v>0.0100086413291829</v>
      </c>
      <c r="AQ47" s="55" t="n">
        <f aca="false">+AQ16</f>
        <v>0.0942787097683675</v>
      </c>
      <c r="AR47" s="9"/>
      <c r="AS47" s="9"/>
      <c r="BD47" s="38"/>
      <c r="BE47" s="38"/>
      <c r="BF47" s="38"/>
      <c r="BG47" s="38"/>
      <c r="BH47" s="38"/>
      <c r="BI47" s="38"/>
      <c r="BJ47" s="54"/>
    </row>
    <row r="48" customFormat="false" ht="15" hidden="false" customHeight="false" outlineLevel="0" collapsed="false">
      <c r="A48" s="17" t="n">
        <v>40025</v>
      </c>
      <c r="B48" s="23" t="n">
        <v>13305.34</v>
      </c>
      <c r="C48" s="24" t="n">
        <v>0.000455525082647034</v>
      </c>
      <c r="D48" s="19" t="n">
        <v>121.47512037644</v>
      </c>
      <c r="E48" s="19"/>
      <c r="F48" s="19"/>
      <c r="AC48" s="56" t="n">
        <v>2023</v>
      </c>
      <c r="AD48" s="51" t="s">
        <v>3</v>
      </c>
      <c r="AE48" s="55" t="n">
        <f aca="false">+AE6</f>
        <v>0.0100469572011002</v>
      </c>
      <c r="AF48" s="55" t="n">
        <f aca="false">+AF6</f>
        <v>0.0087853587137845</v>
      </c>
      <c r="AG48" s="55" t="n">
        <f aca="false">+AG6</f>
        <v>0.00973181777442234</v>
      </c>
      <c r="AH48" s="55" t="n">
        <f aca="false">+AH6</f>
        <v>0.00878524391320701</v>
      </c>
      <c r="AI48" s="55" t="n">
        <f aca="false">+AI6</f>
        <v>0.0103616631363057</v>
      </c>
      <c r="AJ48" s="55" t="n">
        <f aca="false">+AJ6</f>
        <v>0.00941507013085063</v>
      </c>
      <c r="AK48" s="55" t="n">
        <f aca="false">+AK6</f>
        <v>0.00973152922417442</v>
      </c>
      <c r="AL48" s="55" t="n">
        <f aca="false">+AL6</f>
        <v>0.00886337395135217</v>
      </c>
      <c r="AM48" s="55" t="n">
        <f aca="false">+AM6</f>
        <v>0.00779534514134506</v>
      </c>
      <c r="AN48" s="55" t="n">
        <f aca="false">+AN6</f>
        <v>0.00846015350417906</v>
      </c>
      <c r="AO48" s="55" t="n">
        <f aca="false">+AO6</f>
        <v>0.00752661431064561</v>
      </c>
      <c r="AP48" s="55" t="n">
        <f aca="false">+AP6</f>
        <v>0.00708194994827327</v>
      </c>
      <c r="AQ48" s="55" t="n">
        <f aca="false">+AQ6</f>
        <v>0.111942792636216</v>
      </c>
      <c r="AR48" s="9"/>
      <c r="AS48" s="9"/>
      <c r="BD48" s="38"/>
      <c r="BE48" s="38"/>
      <c r="BF48" s="38"/>
      <c r="BG48" s="38"/>
      <c r="BH48" s="38"/>
      <c r="BI48" s="38"/>
      <c r="BJ48" s="54"/>
    </row>
    <row r="49" customFormat="false" ht="15" hidden="false" customHeight="false" outlineLevel="0" collapsed="false">
      <c r="A49" s="17" t="n">
        <v>40056</v>
      </c>
      <c r="B49" s="23" t="n">
        <v>13310.07</v>
      </c>
      <c r="C49" s="24" t="n">
        <v>0.000344028739952433</v>
      </c>
      <c r="D49" s="19" t="n">
        <v>121.518304340125</v>
      </c>
      <c r="E49" s="19"/>
      <c r="F49" s="19"/>
      <c r="AC49" s="56"/>
      <c r="AD49" s="51" t="s">
        <v>29</v>
      </c>
      <c r="AE49" s="55" t="n">
        <f aca="false">+AE30</f>
        <v>0.00844131235614931</v>
      </c>
      <c r="AF49" s="55" t="n">
        <f aca="false">+AF30</f>
        <v>0.0073877688517241</v>
      </c>
      <c r="AG49" s="55" t="n">
        <f aca="false">+AG30</f>
        <v>0.00821037864298546</v>
      </c>
      <c r="AH49" s="55" t="n">
        <f aca="false">+AH30</f>
        <v>0.00745817908130753</v>
      </c>
      <c r="AI49" s="55" t="n">
        <f aca="false">+AI30</f>
        <v>0.00882507642095476</v>
      </c>
      <c r="AJ49" s="55" t="n">
        <f aca="false">+AJ30</f>
        <v>0.00800289135407151</v>
      </c>
      <c r="AK49" s="55" t="n">
        <f aca="false">+AK30</f>
        <v>0.00820447209350883</v>
      </c>
      <c r="AL49" s="55" t="n">
        <f aca="false">+AL30</f>
        <v>0.00759628558108139</v>
      </c>
      <c r="AM49" s="55" t="n">
        <f aca="false">+AM30</f>
        <v>0.00678482261305935</v>
      </c>
      <c r="AN49" s="55" t="n">
        <f aca="false">+AN30</f>
        <v>0.00667608269659126</v>
      </c>
      <c r="AO49" s="55" t="n">
        <f aca="false">+AO30</f>
        <v>0.00616956723192952</v>
      </c>
      <c r="AP49" s="55" t="n">
        <f aca="false">+AP30</f>
        <v>0.00610155186395645</v>
      </c>
      <c r="AQ49" s="55" t="n">
        <f aca="false">+AQ30</f>
        <v>0.093648405763658</v>
      </c>
      <c r="AR49" s="9"/>
      <c r="AS49" s="9"/>
      <c r="BD49" s="38"/>
      <c r="BE49" s="38"/>
      <c r="BF49" s="38"/>
      <c r="BG49" s="38"/>
      <c r="BH49" s="38"/>
      <c r="BI49" s="38"/>
      <c r="BJ49" s="54"/>
    </row>
    <row r="50" customFormat="false" ht="15" hidden="false" customHeight="false" outlineLevel="0" collapsed="false">
      <c r="A50" s="17" t="n">
        <v>40086</v>
      </c>
      <c r="B50" s="23" t="n">
        <v>13315.05</v>
      </c>
      <c r="C50" s="24" t="n">
        <v>0.000374152803103156</v>
      </c>
      <c r="D50" s="19" t="n">
        <v>121.563770754323</v>
      </c>
      <c r="E50" s="19"/>
      <c r="F50" s="19"/>
      <c r="AC50" s="56"/>
      <c r="AD50" s="51" t="s">
        <v>30</v>
      </c>
      <c r="AE50" s="55" t="n">
        <f aca="false">+AE17</f>
        <v>0.0112461365263257</v>
      </c>
      <c r="AF50" s="55" t="n">
        <f aca="false">+AF17</f>
        <v>0.0102234747262655</v>
      </c>
      <c r="AG50" s="55" t="n">
        <f aca="false">+AG17</f>
        <v>0.0107018307226574</v>
      </c>
      <c r="AH50" s="55" t="n">
        <f aca="false">+AH17</f>
        <v>0.00984978266475545</v>
      </c>
      <c r="AI50" s="55" t="n">
        <f aca="false">+AI17</f>
        <v>0.0113268082788736</v>
      </c>
      <c r="AJ50" s="55" t="n">
        <f aca="false">+AJ17</f>
        <v>0.0102932598963075</v>
      </c>
      <c r="AK50" s="55" t="n">
        <f aca="false">+AK17</f>
        <v>0.0107369771793859</v>
      </c>
      <c r="AL50" s="55" t="n">
        <f aca="false">+AL17</f>
        <v>0.00966281857222207</v>
      </c>
      <c r="AM50" s="55" t="n">
        <f aca="false">+AM17</f>
        <v>0.00927022007268441</v>
      </c>
      <c r="AN50" s="55" t="n">
        <f aca="false">+AN17</f>
        <v>0.009174334903437</v>
      </c>
      <c r="AO50" s="55" t="n">
        <f aca="false">+AO17</f>
        <v>0.00865985639825317</v>
      </c>
      <c r="AP50" s="55" t="n">
        <f aca="false">+AP17</f>
        <v>0.00827149058027898</v>
      </c>
      <c r="AQ50" s="55" t="n">
        <f aca="false">+AQ17</f>
        <v>0.126168909614492</v>
      </c>
      <c r="AR50" s="9"/>
      <c r="AS50" s="9"/>
      <c r="BD50" s="38"/>
      <c r="BE50" s="38"/>
      <c r="BF50" s="38"/>
      <c r="BG50" s="38"/>
      <c r="BH50" s="38"/>
      <c r="BI50" s="38"/>
      <c r="BJ50" s="54"/>
    </row>
    <row r="51" customFormat="false" ht="15" hidden="false" customHeight="false" outlineLevel="0" collapsed="false">
      <c r="A51" s="17" t="n">
        <v>40116</v>
      </c>
      <c r="B51" s="23" t="n">
        <v>13319.74</v>
      </c>
      <c r="C51" s="24" t="n">
        <v>0.000352232999500712</v>
      </c>
      <c r="D51" s="19" t="n">
        <v>121.606589525926</v>
      </c>
      <c r="E51" s="19"/>
      <c r="F51" s="19"/>
      <c r="AC51" s="56" t="n">
        <v>2024</v>
      </c>
      <c r="AD51" s="51" t="s">
        <v>3</v>
      </c>
      <c r="AE51" s="55" t="n">
        <f aca="false">+AE7</f>
        <v>0.00735722532416316</v>
      </c>
      <c r="AF51" s="55" t="n">
        <f aca="false">+AF7</f>
        <v>0.00611213912063557</v>
      </c>
      <c r="AG51" s="55" t="n">
        <f aca="false">+AG7</f>
        <v>0.00564735171406094</v>
      </c>
      <c r="AH51" s="55" t="n">
        <f aca="false">+AH7</f>
        <v>0.00609278396182833</v>
      </c>
      <c r="AI51" s="55" t="n">
        <f aca="false">+AI7</f>
        <v>0.00551411929031809</v>
      </c>
      <c r="AJ51" s="55" t="n">
        <f aca="false">+AJ7</f>
        <v>0.00461354906321554</v>
      </c>
      <c r="AK51" s="55" t="n">
        <f aca="false">+AK7</f>
        <v>0.00528435035284347</v>
      </c>
      <c r="AL51" s="55" t="n">
        <f aca="false">+AL7</f>
        <v>0.00480235203759283</v>
      </c>
      <c r="AM51" s="55" t="n">
        <f aca="false">+AM7</f>
        <v>0.00478104349541386</v>
      </c>
      <c r="AN51" s="55" t="n">
        <f aca="false">+AN7</f>
        <v>0.00451044051641847</v>
      </c>
      <c r="AO51" s="55" t="n">
        <f aca="false">+AO7</f>
        <v>0.0043843255475724</v>
      </c>
      <c r="AP51" s="55" t="n">
        <f aca="false">+AP7</f>
        <v>0.00444626417327787</v>
      </c>
      <c r="AQ51" s="55" t="n">
        <f aca="false">+AQ7</f>
        <v>0.0654251259349719</v>
      </c>
      <c r="AR51" s="57" t="s">
        <v>28</v>
      </c>
      <c r="AS51" s="9"/>
      <c r="BD51" s="38"/>
      <c r="BE51" s="38"/>
      <c r="BF51" s="38"/>
      <c r="BG51" s="38"/>
      <c r="BH51" s="38"/>
      <c r="BI51" s="38"/>
      <c r="BJ51" s="54"/>
      <c r="BK51" s="58"/>
    </row>
    <row r="52" customFormat="false" ht="15" hidden="false" customHeight="false" outlineLevel="0" collapsed="false">
      <c r="A52" s="17" t="n">
        <v>40147</v>
      </c>
      <c r="B52" s="23" t="n">
        <v>13324.51</v>
      </c>
      <c r="C52" s="24" t="n">
        <v>0.000346562998396176</v>
      </c>
      <c r="D52" s="19" t="n">
        <v>121.650138681693</v>
      </c>
      <c r="E52" s="19"/>
      <c r="F52" s="19"/>
      <c r="AC52" s="56"/>
      <c r="AD52" s="51" t="s">
        <v>29</v>
      </c>
      <c r="AE52" s="55" t="n">
        <f aca="false">+AE31</f>
        <v>0.00587192975175177</v>
      </c>
      <c r="AF52" s="55" t="n">
        <f aca="false">+AF31</f>
        <v>0.00508491077058904</v>
      </c>
      <c r="AG52" s="55" t="n">
        <f aca="false">+AG31</f>
        <v>0.0044501495538698</v>
      </c>
      <c r="AH52" s="55" t="n">
        <f aca="false">+AH31</f>
        <v>0.00472012403360989</v>
      </c>
      <c r="AI52" s="55" t="n">
        <f aca="false">+AI31</f>
        <v>0.00416779685595303</v>
      </c>
      <c r="AJ52" s="55" t="n">
        <f aca="false">+AJ31</f>
        <v>0.00365019312776771</v>
      </c>
      <c r="AK52" s="55" t="n">
        <f aca="false">+AK31</f>
        <v>0.00363412607508162</v>
      </c>
      <c r="AL52" s="55" t="n">
        <f aca="false">+AL31</f>
        <v>0.00362766941593184</v>
      </c>
      <c r="AM52" s="55" t="n">
        <f aca="false">+AM31</f>
        <v>0.0033754452875443</v>
      </c>
      <c r="AN52" s="55" t="n">
        <f aca="false">+AN31</f>
        <v>0.00341081299567914</v>
      </c>
      <c r="AO52" s="55" t="n">
        <f aca="false">+AO31</f>
        <v>0.00322037460491331</v>
      </c>
      <c r="AP52" s="55" t="n">
        <f aca="false">+AP31</f>
        <v>0.003229855901979</v>
      </c>
      <c r="AQ52" s="55" t="n">
        <f aca="false">+AQ31</f>
        <v>0.0495295629197707</v>
      </c>
      <c r="AR52" s="57"/>
      <c r="AS52" s="9"/>
      <c r="BD52" s="38"/>
      <c r="BE52" s="38"/>
      <c r="BF52" s="38"/>
      <c r="BG52" s="38"/>
      <c r="BH52" s="38"/>
      <c r="BI52" s="38"/>
      <c r="BJ52" s="54"/>
      <c r="BK52" s="58"/>
    </row>
    <row r="53" customFormat="false" ht="15" hidden="false" customHeight="false" outlineLevel="0" collapsed="false">
      <c r="A53" s="17" t="n">
        <v>40178</v>
      </c>
      <c r="B53" s="23" t="n">
        <v>13329.5</v>
      </c>
      <c r="C53" s="24" t="n">
        <v>0.000362417248969413</v>
      </c>
      <c r="D53" s="19" t="n">
        <v>121.695696393911</v>
      </c>
      <c r="E53" s="19"/>
      <c r="F53" s="19"/>
      <c r="AC53" s="56"/>
      <c r="AD53" s="51" t="s">
        <v>30</v>
      </c>
      <c r="AE53" s="55" t="n">
        <f aca="false">+AE18</f>
        <v>0.00838180105004094</v>
      </c>
      <c r="AF53" s="55" t="n">
        <f aca="false">+AF18</f>
        <v>0.00670833120098702</v>
      </c>
      <c r="AG53" s="55" t="n">
        <f aca="false">+AG18</f>
        <v>0.00606311670565618</v>
      </c>
      <c r="AH53" s="55" t="n">
        <f aca="false">+AH18</f>
        <v>0.00700111579538287</v>
      </c>
      <c r="AI53" s="55" t="n">
        <f aca="false">+AI18</f>
        <v>0.00600866656427312</v>
      </c>
      <c r="AJ53" s="55" t="n">
        <f aca="false">+AJ18</f>
        <v>0.00543685052249465</v>
      </c>
      <c r="AK53" s="55" t="n">
        <f aca="false">+AK18</f>
        <v>0.00507856679840968</v>
      </c>
      <c r="AL53" s="55" t="n">
        <f aca="false">+AL18</f>
        <v>0.00549034681982863</v>
      </c>
      <c r="AM53" s="55" t="n">
        <f aca="false">+AM18</f>
        <v>0.00528131106343444</v>
      </c>
      <c r="AN53" s="55" t="n">
        <f aca="false">+AN18</f>
        <v>0.00498650252466537</v>
      </c>
      <c r="AO53" s="55" t="n">
        <f aca="false">+AO18</f>
        <v>0.00500851288955384</v>
      </c>
      <c r="AP53" s="55" t="n">
        <f aca="false">+AP18</f>
        <v>0.00481791368404494</v>
      </c>
      <c r="AQ53" s="55" t="n">
        <f aca="false">+AQ18</f>
        <v>0.0725640256102462</v>
      </c>
      <c r="AR53" s="9"/>
      <c r="AS53" s="9"/>
    </row>
    <row r="54" customFormat="false" ht="15" hidden="false" customHeight="false" outlineLevel="0" collapsed="false">
      <c r="A54" s="17" t="n">
        <v>40207</v>
      </c>
      <c r="B54" s="23" t="n">
        <v>13334.25</v>
      </c>
      <c r="C54" s="24" t="n">
        <v>0.000368640466892793</v>
      </c>
      <c r="D54" s="19" t="n">
        <v>121.739062953637</v>
      </c>
      <c r="E54" s="19"/>
      <c r="F54" s="19"/>
      <c r="AC54" s="56" t="n">
        <v>2025</v>
      </c>
      <c r="AD54" s="51" t="s">
        <v>3</v>
      </c>
      <c r="AE54" s="55" t="n">
        <f aca="false">+AE8</f>
        <v>0.00445443017437541</v>
      </c>
      <c r="AF54" s="55" t="n">
        <f aca="false">+AF8</f>
        <v>0.00389626305099444</v>
      </c>
      <c r="AG54" s="55" t="n">
        <f aca="false">+AG8</f>
        <v>0.0043138020854181</v>
      </c>
      <c r="AH54" s="55" t="n">
        <f aca="false">+AH8</f>
        <v>0.00417571644342774</v>
      </c>
      <c r="AI54" s="55" t="n">
        <f aca="false">+AI8</f>
        <v>0.00417422694650416</v>
      </c>
      <c r="AJ54" s="55" t="n">
        <f aca="false">+AJ8</f>
        <v>0.00431456613652492</v>
      </c>
      <c r="AK54" s="55" t="n">
        <f aca="false">+AK8</f>
        <v>0.00430626208344687</v>
      </c>
      <c r="AL54" s="55" t="n">
        <f aca="false">+AL8</f>
        <v>0.00383327468941586</v>
      </c>
      <c r="AM54" s="55" t="n">
        <f aca="false">+AM8</f>
        <v>0.00423004876441735</v>
      </c>
      <c r="AN54" s="55" t="n">
        <f aca="false">+AN8</f>
        <v>0.00396619021077105</v>
      </c>
      <c r="AO54" s="55" t="n">
        <f aca="false">+AO8</f>
        <v>0.00383243965233548</v>
      </c>
      <c r="AP54" s="55" t="n">
        <f aca="false">+AP8</f>
        <v>0.00413946203577598</v>
      </c>
      <c r="AQ54" s="55" t="n">
        <f aca="false">+AQ8</f>
        <v>0.0461215166375695</v>
      </c>
      <c r="AR54" s="9"/>
      <c r="AS54" s="9"/>
    </row>
    <row r="55" customFormat="false" ht="15" hidden="false" customHeight="false" outlineLevel="0" collapsed="false">
      <c r="A55" s="17" t="n">
        <v>40235</v>
      </c>
      <c r="B55" s="23" t="n">
        <v>13338.53</v>
      </c>
      <c r="C55" s="24" t="n">
        <v>0.000343904927964735</v>
      </c>
      <c r="D55" s="19" t="n">
        <v>121.778138506401</v>
      </c>
      <c r="E55" s="19"/>
      <c r="F55" s="19"/>
      <c r="AC55" s="56"/>
      <c r="AD55" s="51" t="s">
        <v>29</v>
      </c>
      <c r="AE55" s="55" t="n">
        <f aca="false">+AE32</f>
        <v>0.00302021033404665</v>
      </c>
      <c r="AF55" s="55" t="n">
        <f aca="false">+AF32</f>
        <v>0.00276213771028111</v>
      </c>
      <c r="AG55" s="55" t="n">
        <f aca="false">+AG32</f>
        <v>0.00306282692323312</v>
      </c>
      <c r="AH55" s="55" t="n">
        <f aca="false">+AH32</f>
        <v>0.00297594968581905</v>
      </c>
      <c r="AI55" s="55" t="n">
        <f aca="false">+AI32</f>
        <v>0.00308976252279503</v>
      </c>
      <c r="AJ55" s="55" t="n">
        <f aca="false">+AJ32</f>
        <v>0.00299705245742721</v>
      </c>
      <c r="AK55" s="55" t="n">
        <f aca="false">+AK32</f>
        <v>0.00295054952791363</v>
      </c>
      <c r="AL55" s="55" t="n">
        <f aca="false">+AL32</f>
        <v>0.00300054219083834</v>
      </c>
      <c r="AM55" s="55" t="n">
        <f aca="false">+AM32</f>
        <v>0.00276161496613736</v>
      </c>
      <c r="AN55" s="55" t="n">
        <f aca="false">+AN32</f>
        <v>0.00286519472447866</v>
      </c>
      <c r="AO55" s="55" t="n">
        <f aca="false">+AO32</f>
        <v>0.00279501576319907</v>
      </c>
      <c r="AP55" s="55" t="n">
        <f aca="false">+AP32</f>
        <v>0.00283776649927603</v>
      </c>
      <c r="AQ55" s="55" t="n">
        <f aca="false">+AQ32</f>
        <v>0.0296488830992687</v>
      </c>
      <c r="AS55" s="9"/>
    </row>
    <row r="56" customFormat="false" ht="15" hidden="false" customHeight="false" outlineLevel="0" collapsed="false">
      <c r="A56" s="17" t="n">
        <v>40268</v>
      </c>
      <c r="B56" s="23" t="n">
        <v>13343.79</v>
      </c>
      <c r="C56" s="24" t="n">
        <v>0.000358496639571185</v>
      </c>
      <c r="D56" s="19" t="n">
        <v>121.826161265172</v>
      </c>
      <c r="E56" s="19"/>
      <c r="F56" s="19"/>
      <c r="AC56" s="56"/>
      <c r="AD56" s="51" t="s">
        <v>30</v>
      </c>
      <c r="AE56" s="55" t="n">
        <f aca="false">+AE19</f>
        <v>0.00464730404444946</v>
      </c>
      <c r="AF56" s="55" t="n">
        <f aca="false">+AF19</f>
        <v>0.00469550915860073</v>
      </c>
      <c r="AG56" s="55" t="n">
        <f aca="false">+AG19</f>
        <v>0.00597109962418463</v>
      </c>
      <c r="AH56" s="55" t="n">
        <f aca="false">+AH19</f>
        <v>0.0063072227560117</v>
      </c>
      <c r="AI56" s="55" t="n">
        <f aca="false">+AI19</f>
        <v>0.00636379372860363</v>
      </c>
      <c r="AJ56" s="55" t="n">
        <f aca="false">+AJ19</f>
        <v>0.00577514597781326</v>
      </c>
      <c r="AK56" s="55" t="n">
        <f aca="false">+AK19</f>
        <v>0.00556398659087742</v>
      </c>
      <c r="AL56" s="55" t="n">
        <f aca="false">+AL19</f>
        <v>0.00584747097058735</v>
      </c>
      <c r="AM56" s="55" t="n">
        <f aca="false">+AM19</f>
        <v>0.00538489270541609</v>
      </c>
      <c r="AN56" s="55" t="n">
        <f aca="false">+AN19</f>
        <v>0.00558411085304522</v>
      </c>
      <c r="AO56" s="55" t="n">
        <f aca="false">+AO19</f>
        <v>0.00554133185922723</v>
      </c>
      <c r="AP56" s="55" t="n">
        <f aca="false">+AP19</f>
        <v>0.00570115493088008</v>
      </c>
      <c r="AQ56" s="55" t="n">
        <f aca="false">+AQ19</f>
        <v>0.0645545743283107</v>
      </c>
      <c r="AS56" s="9"/>
    </row>
    <row r="57" customFormat="false" ht="15" hidden="false" customHeight="false" outlineLevel="0" collapsed="false">
      <c r="A57" s="17" t="n">
        <v>40298</v>
      </c>
      <c r="B57" s="23" t="n">
        <v>13348.63</v>
      </c>
      <c r="C57" s="24" t="n">
        <v>0.000362715540337399</v>
      </c>
      <c r="D57" s="19" t="n">
        <v>121.870349507082</v>
      </c>
      <c r="E57" s="19"/>
      <c r="F57" s="19"/>
      <c r="AC57" s="56" t="n">
        <v>2026</v>
      </c>
      <c r="AD57" s="51" t="s">
        <v>3</v>
      </c>
      <c r="AE57" s="55" t="n">
        <f aca="false">+AE9</f>
        <v>0.00388234363273376</v>
      </c>
      <c r="AF57" s="55" t="n">
        <f aca="false">+AF9</f>
        <v>0.00363126461056962</v>
      </c>
      <c r="AG57" s="55" t="n">
        <f aca="false">+AG9</f>
        <v>0.0038819280865483</v>
      </c>
      <c r="AH57" s="55" t="n">
        <f aca="false">+AH9</f>
        <v>-0.243672722859896</v>
      </c>
      <c r="AI57" s="55"/>
      <c r="AJ57" s="55"/>
      <c r="AK57" s="55"/>
      <c r="AL57" s="55"/>
      <c r="AM57" s="55"/>
      <c r="AN57" s="55"/>
      <c r="AO57" s="55"/>
      <c r="AP57" s="55"/>
      <c r="AQ57" s="55" t="n">
        <f aca="false">+AQ9</f>
        <v>-0.71393888658704</v>
      </c>
      <c r="AS57" s="9"/>
    </row>
    <row r="58" customFormat="false" ht="15" hidden="false" customHeight="false" outlineLevel="0" collapsed="false">
      <c r="A58" s="17" t="n">
        <v>40329</v>
      </c>
      <c r="B58" s="23" t="n">
        <v>13353.5</v>
      </c>
      <c r="C58" s="24" t="n">
        <v>0.00035306269076351</v>
      </c>
      <c r="D58" s="19" t="n">
        <v>121.914811643054</v>
      </c>
      <c r="E58" s="19"/>
      <c r="F58" s="19"/>
      <c r="AC58" s="56"/>
      <c r="AD58" s="51" t="s">
        <v>29</v>
      </c>
      <c r="AE58" s="55" t="n">
        <f aca="false">+AE33</f>
        <v>0.00272443815472734</v>
      </c>
      <c r="AF58" s="55" t="n">
        <f aca="false">+AF33</f>
        <v>0.00244521636660222</v>
      </c>
      <c r="AG58" s="55" t="n">
        <f aca="false">+AG33</f>
        <v>0.00268777625151762</v>
      </c>
      <c r="AH58" s="55" t="n">
        <f aca="false">+AH33</f>
        <v>-1</v>
      </c>
      <c r="AI58" s="55"/>
      <c r="AJ58" s="55"/>
      <c r="AK58" s="55"/>
      <c r="AL58" s="55"/>
      <c r="AM58" s="55"/>
      <c r="AN58" s="55"/>
      <c r="AO58" s="55"/>
      <c r="AP58" s="55"/>
      <c r="AQ58" s="55" t="n">
        <f aca="false">+AQ33</f>
        <v>-3</v>
      </c>
      <c r="AS58" s="9"/>
    </row>
    <row r="59" customFormat="false" ht="15" hidden="false" customHeight="false" outlineLevel="0" collapsed="false">
      <c r="A59" s="17" t="n">
        <v>40359</v>
      </c>
      <c r="B59" s="23" t="n">
        <v>13360.9</v>
      </c>
      <c r="C59" s="24" t="n">
        <v>0.000554161830231825</v>
      </c>
      <c r="D59" s="19" t="n">
        <v>121.982372178206</v>
      </c>
      <c r="E59" s="19"/>
      <c r="F59" s="19"/>
      <c r="AC59" s="56"/>
      <c r="AD59" s="51" t="s">
        <v>30</v>
      </c>
      <c r="AE59" s="55" t="n">
        <f aca="false">+AE20</f>
        <v>0.00580564112354232</v>
      </c>
      <c r="AF59" s="55" t="n">
        <f aca="false">+AF20</f>
        <v>0.00540827196575799</v>
      </c>
      <c r="AG59" s="55" t="n">
        <f aca="false">+AG20</f>
        <v>0.00591977664149312</v>
      </c>
      <c r="AH59" s="55" t="n">
        <f aca="false">+AH20</f>
        <v>0.00586707433769496</v>
      </c>
      <c r="AI59" s="55"/>
      <c r="AJ59" s="55"/>
      <c r="AK59" s="55"/>
      <c r="AL59" s="55"/>
      <c r="AM59" s="55"/>
      <c r="AN59" s="55"/>
      <c r="AO59" s="55"/>
      <c r="AP59" s="55"/>
      <c r="AQ59" s="55" t="n">
        <f aca="false">+AQ20</f>
        <v>0.0518813671474068</v>
      </c>
      <c r="AS59" s="9"/>
    </row>
    <row r="60" customFormat="false" ht="15" hidden="false" customHeight="false" outlineLevel="0" collapsed="false">
      <c r="A60" s="17" t="n">
        <v>40389</v>
      </c>
      <c r="B60" s="23" t="n">
        <v>13373.99</v>
      </c>
      <c r="C60" s="24" t="n">
        <v>0.00097972441976224</v>
      </c>
      <c r="D60" s="19" t="n">
        <v>122.10188128701</v>
      </c>
      <c r="E60" s="19"/>
      <c r="F60" s="19"/>
      <c r="AC60" s="50"/>
      <c r="AD60" s="51"/>
      <c r="AE60" s="55"/>
      <c r="AF60" s="55"/>
      <c r="AG60" s="55"/>
      <c r="AH60" s="55"/>
      <c r="AI60" s="55"/>
      <c r="AJ60" s="55"/>
      <c r="AK60" s="55"/>
      <c r="AL60" s="55"/>
      <c r="AM60" s="55"/>
      <c r="AN60" s="55"/>
      <c r="AO60" s="55"/>
      <c r="AP60" s="55"/>
      <c r="AQ60" s="55"/>
      <c r="AS60" s="9"/>
    </row>
    <row r="61" customFormat="false" ht="15" hidden="false" customHeight="false" outlineLevel="0" collapsed="false">
      <c r="A61" s="17" t="n">
        <v>40421</v>
      </c>
      <c r="B61" s="23" t="n">
        <v>13395.21</v>
      </c>
      <c r="C61" s="24" t="n">
        <v>0.00148749550433341</v>
      </c>
      <c r="D61" s="19" t="n">
        <v>122.295615686461</v>
      </c>
      <c r="E61" s="19"/>
      <c r="F61" s="19"/>
      <c r="AB61" s="4"/>
      <c r="AD61" s="17" t="n">
        <v>43008</v>
      </c>
      <c r="AE61" s="59" t="n">
        <v>0.00311210000000006</v>
      </c>
      <c r="AS61" s="9"/>
    </row>
    <row r="62" customFormat="false" ht="15" hidden="false" customHeight="false" outlineLevel="0" collapsed="false">
      <c r="A62" s="17" t="n">
        <v>40451</v>
      </c>
      <c r="B62" s="23" t="n">
        <v>13419.79</v>
      </c>
      <c r="C62" s="24" t="n">
        <v>0.00183498429662565</v>
      </c>
      <c r="D62" s="19" t="n">
        <v>122.520026220792</v>
      </c>
      <c r="E62" s="19"/>
      <c r="F62" s="19"/>
      <c r="AB62" s="4"/>
      <c r="AD62" s="17" t="n">
        <v>43039</v>
      </c>
      <c r="AE62" s="59" t="n">
        <v>0.00266354947734888</v>
      </c>
      <c r="AS62" s="9"/>
    </row>
    <row r="63" customFormat="false" ht="15" hidden="false" customHeight="false" outlineLevel="0" collapsed="false">
      <c r="A63" s="17" t="n">
        <v>40480</v>
      </c>
      <c r="B63" s="23" t="n">
        <v>13448.69</v>
      </c>
      <c r="C63" s="24" t="n">
        <v>0.00222779579443021</v>
      </c>
      <c r="D63" s="19" t="n">
        <v>122.783877499968</v>
      </c>
      <c r="E63" s="19"/>
      <c r="F63" s="19"/>
      <c r="AB63" s="4"/>
      <c r="AD63" s="17" t="n">
        <v>43069</v>
      </c>
      <c r="AE63" s="59" t="n">
        <v>0.00270401929468234</v>
      </c>
      <c r="AS63" s="9"/>
    </row>
    <row r="64" customFormat="false" ht="15" hidden="false" customHeight="false" outlineLevel="0" collapsed="false">
      <c r="A64" s="17" t="n">
        <v>40512</v>
      </c>
      <c r="B64" s="23" t="n">
        <v>13483.02</v>
      </c>
      <c r="C64" s="24" t="n">
        <v>0.00239312341945575</v>
      </c>
      <c r="D64" s="19" t="n">
        <v>123.097303604263</v>
      </c>
      <c r="E64" s="19"/>
      <c r="F64" s="19"/>
      <c r="AB64" s="4"/>
      <c r="AD64" s="17" t="n">
        <v>43100</v>
      </c>
      <c r="AE64" s="59" t="n">
        <v>0.00300965446914445</v>
      </c>
      <c r="AS64" s="9"/>
    </row>
    <row r="65" customFormat="false" ht="15" hidden="false" customHeight="false" outlineLevel="0" collapsed="false">
      <c r="A65" s="17" t="n">
        <v>40543</v>
      </c>
      <c r="B65" s="23" t="n">
        <v>13522.93</v>
      </c>
      <c r="C65" s="24" t="n">
        <v>0.00286453484791705</v>
      </c>
      <c r="D65" s="19" t="n">
        <v>123.461674003984</v>
      </c>
      <c r="E65" s="19"/>
      <c r="F65" s="19"/>
      <c r="AB65" s="4"/>
      <c r="AD65" s="17" t="n">
        <v>43131</v>
      </c>
      <c r="AE65" s="59" t="n">
        <v>0.00473727239934226</v>
      </c>
    </row>
    <row r="66" customFormat="false" ht="15" hidden="false" customHeight="false" outlineLevel="0" collapsed="false">
      <c r="A66" s="17" t="n">
        <v>40574</v>
      </c>
      <c r="B66" s="23" t="n">
        <v>13557.12</v>
      </c>
      <c r="C66" s="24" t="n">
        <v>0.00244674022376755</v>
      </c>
      <c r="D66" s="19" t="n">
        <v>123.773821935993</v>
      </c>
      <c r="E66" s="19"/>
      <c r="F66" s="19"/>
      <c r="O66" s="4"/>
      <c r="P66" s="4"/>
      <c r="Q66" s="4"/>
      <c r="R66" s="4"/>
      <c r="S66" s="4"/>
      <c r="T66" s="4"/>
      <c r="U66" s="4"/>
      <c r="V66" s="4"/>
      <c r="W66" s="4"/>
      <c r="X66" s="4"/>
      <c r="Y66" s="4"/>
      <c r="Z66" s="4"/>
      <c r="AA66" s="4"/>
      <c r="AB66" s="4"/>
      <c r="AD66" s="17" t="n">
        <v>43159</v>
      </c>
      <c r="AE66" s="59" t="n">
        <v>0.00378152301954046</v>
      </c>
    </row>
    <row r="67" s="4" customFormat="true" ht="15" hidden="false" customHeight="false" outlineLevel="0" collapsed="false">
      <c r="A67" s="17" t="n">
        <v>40602</v>
      </c>
      <c r="B67" s="23" t="n">
        <v>13592.3</v>
      </c>
      <c r="C67" s="24" t="n">
        <v>0.00278029973496265</v>
      </c>
      <c r="D67" s="19" t="n">
        <v>124.095008372029</v>
      </c>
      <c r="E67" s="19"/>
      <c r="F67" s="19"/>
      <c r="I67" s="5"/>
      <c r="N67" s="3"/>
      <c r="AC67" s="3"/>
      <c r="AD67" s="17" t="n">
        <v>43190</v>
      </c>
      <c r="AE67" s="59" t="n">
        <v>0.00300527511908573</v>
      </c>
      <c r="AF67" s="3"/>
      <c r="AG67" s="3"/>
      <c r="AH67" s="3"/>
      <c r="AI67" s="3"/>
      <c r="AJ67" s="3"/>
      <c r="AK67" s="3"/>
      <c r="AL67" s="3"/>
      <c r="AM67" s="3"/>
      <c r="AN67" s="3"/>
      <c r="AO67" s="3"/>
      <c r="AP67" s="3"/>
      <c r="AQ67" s="3"/>
      <c r="AR67" s="3"/>
      <c r="AS67" s="3"/>
      <c r="AT67" s="3"/>
    </row>
    <row r="68" s="4" customFormat="true" ht="15" hidden="false" customHeight="false" outlineLevel="0" collapsed="false">
      <c r="A68" s="17" t="n">
        <v>40633</v>
      </c>
      <c r="B68" s="23" t="n">
        <v>13635.91</v>
      </c>
      <c r="C68" s="24" t="n">
        <v>0.0031049363100028</v>
      </c>
      <c r="D68" s="19" t="n">
        <v>124.493159039326</v>
      </c>
      <c r="E68" s="19"/>
      <c r="F68" s="19"/>
      <c r="I68" s="5"/>
      <c r="AC68" s="3"/>
      <c r="AD68" s="17" t="n">
        <v>43220</v>
      </c>
      <c r="AE68" s="59" t="n">
        <v>0.00316130254575997</v>
      </c>
      <c r="AF68" s="3"/>
      <c r="AG68" s="3"/>
      <c r="AH68" s="3"/>
      <c r="AI68" s="3"/>
      <c r="AJ68" s="3"/>
      <c r="AK68" s="3"/>
      <c r="AL68" s="3"/>
      <c r="AM68" s="3"/>
      <c r="AN68" s="3"/>
      <c r="AO68" s="3"/>
      <c r="AP68" s="3"/>
      <c r="AQ68" s="3"/>
      <c r="AS68" s="3"/>
    </row>
    <row r="69" s="4" customFormat="true" ht="15" hidden="false" customHeight="false" outlineLevel="0" collapsed="false">
      <c r="A69" s="17" t="n">
        <v>40662</v>
      </c>
      <c r="B69" s="23" t="n">
        <v>13682.94</v>
      </c>
      <c r="C69" s="24" t="n">
        <v>0.00356791179598074</v>
      </c>
      <c r="D69" s="19" t="n">
        <v>124.922533629626</v>
      </c>
      <c r="E69" s="19"/>
      <c r="F69" s="19"/>
      <c r="I69" s="5"/>
      <c r="AC69" s="3"/>
      <c r="AD69" s="17" t="n">
        <v>43251</v>
      </c>
      <c r="AE69" s="59" t="n">
        <v>0.00310067866389014</v>
      </c>
      <c r="AF69" s="3"/>
      <c r="AG69" s="3"/>
      <c r="AH69" s="3"/>
      <c r="AI69" s="3"/>
      <c r="AJ69" s="3"/>
      <c r="AK69" s="3"/>
      <c r="AL69" s="3"/>
      <c r="AM69" s="3"/>
      <c r="AN69" s="3"/>
      <c r="AO69" s="3"/>
      <c r="AP69" s="3"/>
      <c r="AQ69" s="3"/>
      <c r="AS69" s="3"/>
    </row>
    <row r="70" s="4" customFormat="true" ht="15" hidden="false" customHeight="false" outlineLevel="0" collapsed="false">
      <c r="A70" s="17" t="n">
        <v>40694</v>
      </c>
      <c r="B70" s="23" t="n">
        <v>13741.06</v>
      </c>
      <c r="C70" s="24" t="n">
        <v>0.00398214857333289</v>
      </c>
      <c r="D70" s="19" t="n">
        <v>125.453157724634</v>
      </c>
      <c r="E70" s="19"/>
      <c r="F70" s="19"/>
      <c r="I70" s="5"/>
      <c r="AC70" s="3"/>
      <c r="AD70" s="17" t="n">
        <v>43281</v>
      </c>
      <c r="AE70" s="59" t="n">
        <v>0.00287709140845549</v>
      </c>
      <c r="AF70" s="3"/>
      <c r="AG70" s="3"/>
      <c r="AH70" s="3"/>
      <c r="AI70" s="3"/>
      <c r="AJ70" s="3"/>
      <c r="AK70" s="3"/>
      <c r="AL70" s="3"/>
      <c r="AM70" s="3"/>
      <c r="AN70" s="3"/>
      <c r="AO70" s="3"/>
      <c r="AP70" s="3"/>
      <c r="AQ70" s="3"/>
      <c r="AS70" s="3"/>
    </row>
    <row r="71" s="4" customFormat="true" ht="15" hidden="false" customHeight="false" outlineLevel="0" collapsed="false">
      <c r="A71" s="17" t="n">
        <v>40724</v>
      </c>
      <c r="B71" s="23" t="n">
        <v>13799.74</v>
      </c>
      <c r="C71" s="24" t="n">
        <v>0.00427041290846564</v>
      </c>
      <c r="D71" s="19" t="n">
        <v>125.988894508789</v>
      </c>
      <c r="E71" s="19"/>
      <c r="F71" s="19"/>
      <c r="I71" s="5"/>
      <c r="AC71" s="3"/>
      <c r="AD71" s="17" t="n">
        <v>43312</v>
      </c>
      <c r="AE71" s="59" t="n">
        <v>0.00279025405786912</v>
      </c>
      <c r="AF71" s="3"/>
      <c r="AG71" s="3"/>
      <c r="AH71" s="3"/>
      <c r="AI71" s="3"/>
      <c r="AJ71" s="3"/>
      <c r="AK71" s="3"/>
      <c r="AL71" s="3"/>
      <c r="AM71" s="3"/>
      <c r="AN71" s="3"/>
      <c r="AO71" s="3"/>
      <c r="AP71" s="3"/>
      <c r="AQ71" s="3"/>
      <c r="AS71" s="3"/>
    </row>
    <row r="72" s="4" customFormat="true" ht="15" hidden="false" customHeight="false" outlineLevel="0" collapsed="false">
      <c r="A72" s="17" t="n">
        <v>40753</v>
      </c>
      <c r="B72" s="23" t="n">
        <v>13858.14</v>
      </c>
      <c r="C72" s="24" t="n">
        <v>0.00437789357650559</v>
      </c>
      <c r="D72" s="19" t="n">
        <v>126.522074948371</v>
      </c>
      <c r="E72" s="19"/>
      <c r="F72" s="19"/>
      <c r="I72" s="5"/>
      <c r="AC72" s="3"/>
      <c r="AD72" s="17" t="n">
        <v>43343</v>
      </c>
      <c r="AE72" s="59" t="n">
        <v>0.00269722002207049</v>
      </c>
      <c r="AS72" s="3"/>
    </row>
    <row r="73" s="4" customFormat="true" ht="15" hidden="false" customHeight="false" outlineLevel="0" collapsed="false">
      <c r="A73" s="17" t="n">
        <v>40786</v>
      </c>
      <c r="B73" s="23" t="n">
        <v>13925.03</v>
      </c>
      <c r="C73" s="24" t="n">
        <v>0.00438796915813318</v>
      </c>
      <c r="D73" s="19" t="n">
        <v>127.132767407337</v>
      </c>
      <c r="E73" s="19"/>
      <c r="F73" s="19"/>
      <c r="I73" s="5"/>
      <c r="AC73" s="3"/>
      <c r="AD73" s="17" t="n">
        <v>43373</v>
      </c>
      <c r="AE73" s="59" t="n">
        <v>0.00294678677406712</v>
      </c>
      <c r="AS73" s="3"/>
    </row>
    <row r="74" s="4" customFormat="true" ht="15" hidden="false" customHeight="false" outlineLevel="0" collapsed="false">
      <c r="A74" s="17" t="n">
        <v>40816</v>
      </c>
      <c r="B74" s="23" t="n">
        <v>13985.97</v>
      </c>
      <c r="C74" s="24" t="n">
        <v>0.00437629218752123</v>
      </c>
      <c r="D74" s="19" t="n">
        <v>127.68913754412</v>
      </c>
      <c r="E74" s="19"/>
      <c r="F74" s="19"/>
      <c r="I74" s="5"/>
      <c r="AC74" s="3"/>
      <c r="AD74" s="17" t="n">
        <v>43404</v>
      </c>
      <c r="AE74" s="59" t="n">
        <v>0.00273411579812808</v>
      </c>
      <c r="AS74" s="3"/>
    </row>
    <row r="75" s="4" customFormat="true" ht="15" hidden="false" customHeight="false" outlineLevel="0" collapsed="false">
      <c r="A75" s="17" t="n">
        <v>40847</v>
      </c>
      <c r="B75" s="23" t="n">
        <v>14043.21</v>
      </c>
      <c r="C75" s="24" t="n">
        <v>0.00396065116592525</v>
      </c>
      <c r="D75" s="19" t="n">
        <v>128.211727413326</v>
      </c>
      <c r="E75" s="19"/>
      <c r="F75" s="19"/>
      <c r="I75" s="5"/>
      <c r="AC75" s="3"/>
      <c r="AD75" s="17" t="n">
        <v>43434</v>
      </c>
      <c r="AE75" s="59" t="n">
        <v>0.00284409288655185</v>
      </c>
      <c r="AS75" s="3"/>
    </row>
    <row r="76" s="4" customFormat="true" ht="15" hidden="false" customHeight="false" outlineLevel="0" collapsed="false">
      <c r="A76" s="17" t="n">
        <v>40877</v>
      </c>
      <c r="B76" s="23" t="n">
        <v>14110.87</v>
      </c>
      <c r="C76" s="24" t="n">
        <v>0.0048179867708309</v>
      </c>
      <c r="D76" s="19" t="n">
        <v>128.829449819869</v>
      </c>
      <c r="E76" s="19"/>
      <c r="F76" s="19"/>
      <c r="I76" s="5"/>
      <c r="AD76" s="17" t="n">
        <v>43465</v>
      </c>
      <c r="AE76" s="59" t="n">
        <v>0.00262659891580654</v>
      </c>
      <c r="AS76" s="3"/>
    </row>
    <row r="77" s="4" customFormat="true" ht="15" hidden="false" customHeight="false" outlineLevel="0" collapsed="false">
      <c r="A77" s="17" t="n">
        <v>40907</v>
      </c>
      <c r="B77" s="23" t="n">
        <v>14172.63</v>
      </c>
      <c r="C77" s="24" t="n">
        <v>0.0043767676975266</v>
      </c>
      <c r="D77" s="19" t="n">
        <v>129.393306394331</v>
      </c>
      <c r="E77" s="19"/>
      <c r="F77" s="19"/>
      <c r="I77" s="5"/>
      <c r="AD77" s="17" t="n">
        <v>43496</v>
      </c>
      <c r="AE77" s="59" t="n">
        <v>0.00281430328228941</v>
      </c>
      <c r="AS77" s="3"/>
    </row>
    <row r="78" s="4" customFormat="true" ht="15" hidden="false" customHeight="false" outlineLevel="0" collapsed="false">
      <c r="A78" s="17" t="n">
        <v>40939</v>
      </c>
      <c r="B78" s="23" t="n">
        <v>14236.38</v>
      </c>
      <c r="C78" s="24" t="n">
        <v>0.00421697490162375</v>
      </c>
      <c r="D78" s="19" t="n">
        <v>129.975331274867</v>
      </c>
      <c r="E78" s="19"/>
      <c r="F78" s="19"/>
      <c r="I78" s="5"/>
      <c r="AD78" s="17" t="n">
        <v>43524</v>
      </c>
      <c r="AE78" s="59" t="n">
        <v>0.00282360638687196</v>
      </c>
      <c r="AS78" s="3"/>
    </row>
    <row r="79" s="4" customFormat="true" ht="15" hidden="false" customHeight="false" outlineLevel="0" collapsed="false">
      <c r="A79" s="17" t="n">
        <v>40968</v>
      </c>
      <c r="B79" s="23" t="n">
        <v>14293.67</v>
      </c>
      <c r="C79" s="24" t="n">
        <v>0.00416296258187693</v>
      </c>
      <c r="D79" s="19" t="n">
        <v>130.498377634176</v>
      </c>
      <c r="E79" s="19"/>
      <c r="F79" s="19"/>
      <c r="I79" s="5"/>
      <c r="AD79" s="17" t="n">
        <v>43555</v>
      </c>
      <c r="AE79" s="59" t="n">
        <v>0.00286536279403882</v>
      </c>
      <c r="AS79" s="3"/>
    </row>
    <row r="80" s="4" customFormat="true" ht="15" hidden="false" customHeight="false" outlineLevel="0" collapsed="false">
      <c r="A80" s="17" t="n">
        <v>40998</v>
      </c>
      <c r="B80" s="23" t="n">
        <v>14353.34</v>
      </c>
      <c r="C80" s="24" t="n">
        <v>0.00417457517908271</v>
      </c>
      <c r="D80" s="19" t="n">
        <v>131.043152922358</v>
      </c>
      <c r="E80" s="19"/>
      <c r="F80" s="19"/>
      <c r="I80" s="5"/>
      <c r="AD80" s="17" t="n">
        <v>43585</v>
      </c>
      <c r="AE80" s="59" t="n">
        <v>0.00293240905161363</v>
      </c>
    </row>
    <row r="81" s="4" customFormat="true" ht="15" hidden="false" customHeight="false" outlineLevel="0" collapsed="false">
      <c r="A81" s="17" t="n">
        <v>41029</v>
      </c>
      <c r="B81" s="23" t="n">
        <v>14415.21</v>
      </c>
      <c r="C81" s="24" t="n">
        <v>0.00417144675374423</v>
      </c>
      <c r="D81" s="19" t="n">
        <v>131.608013775045</v>
      </c>
      <c r="E81" s="19"/>
      <c r="F81" s="19"/>
      <c r="I81" s="5"/>
    </row>
    <row r="82" s="4" customFormat="true" ht="15" hidden="false" customHeight="false" outlineLevel="0" collapsed="false">
      <c r="A82" s="17" t="n">
        <v>41060</v>
      </c>
      <c r="B82" s="23" t="n">
        <v>14477.55</v>
      </c>
      <c r="C82" s="24" t="n">
        <v>0.00418509562178174</v>
      </c>
      <c r="D82" s="19" t="n">
        <v>132.177165634695</v>
      </c>
      <c r="E82" s="19"/>
      <c r="F82" s="19"/>
      <c r="I82" s="5"/>
    </row>
    <row r="83" s="4" customFormat="true" ht="15" hidden="false" customHeight="false" outlineLevel="0" collapsed="false">
      <c r="A83" s="17" t="n">
        <v>41089</v>
      </c>
      <c r="B83" s="23" t="n">
        <v>14536.13</v>
      </c>
      <c r="C83" s="24" t="n">
        <v>0.00418579110415774</v>
      </c>
      <c r="D83" s="19" t="n">
        <v>132.711989438645</v>
      </c>
      <c r="E83" s="19"/>
      <c r="F83" s="19"/>
      <c r="I83" s="5"/>
    </row>
    <row r="84" s="4" customFormat="true" ht="15" hidden="false" customHeight="false" outlineLevel="0" collapsed="false">
      <c r="A84" s="17" t="n">
        <v>41121</v>
      </c>
      <c r="B84" s="23" t="n">
        <v>14600.61</v>
      </c>
      <c r="C84" s="24" t="n">
        <v>0.00415860342470799</v>
      </c>
      <c r="D84" s="19" t="n">
        <v>133.300679074676</v>
      </c>
      <c r="E84" s="19"/>
      <c r="F84" s="19"/>
      <c r="I84" s="5"/>
    </row>
    <row r="85" s="4" customFormat="true" ht="15" hidden="false" customHeight="false" outlineLevel="0" collapsed="false">
      <c r="A85" s="17" t="n">
        <v>41152</v>
      </c>
      <c r="B85" s="23" t="n">
        <v>14663.33</v>
      </c>
      <c r="C85" s="24" t="n">
        <v>0.0041571396122181</v>
      </c>
      <c r="D85" s="19" t="n">
        <v>133.873300259104</v>
      </c>
      <c r="E85" s="19"/>
      <c r="F85" s="19"/>
      <c r="I85" s="5"/>
    </row>
    <row r="86" s="4" customFormat="true" ht="15" hidden="false" customHeight="false" outlineLevel="0" collapsed="false">
      <c r="A86" s="17" t="n">
        <v>41180</v>
      </c>
      <c r="B86" s="23" t="n">
        <v>14720.68</v>
      </c>
      <c r="C86" s="24" t="n">
        <v>0.0041904825555607</v>
      </c>
      <c r="D86" s="19" t="n">
        <v>134.396894406536</v>
      </c>
      <c r="E86" s="19"/>
      <c r="F86" s="19"/>
      <c r="I86" s="5"/>
    </row>
    <row r="87" s="4" customFormat="true" ht="15" hidden="false" customHeight="false" outlineLevel="0" collapsed="false">
      <c r="A87" s="17" t="n">
        <v>41213</v>
      </c>
      <c r="B87" s="23" t="n">
        <v>14788.56</v>
      </c>
      <c r="C87" s="24" t="n">
        <v>0.0041920000237142</v>
      </c>
      <c r="D87" s="19" t="n">
        <v>135.016625369529</v>
      </c>
      <c r="E87" s="19"/>
      <c r="F87" s="19"/>
      <c r="I87" s="5"/>
    </row>
    <row r="88" s="4" customFormat="true" ht="15" hidden="false" customHeight="false" outlineLevel="0" collapsed="false">
      <c r="A88" s="17" t="n">
        <v>41243</v>
      </c>
      <c r="B88" s="23" t="n">
        <v>14850.38</v>
      </c>
      <c r="C88" s="24" t="n">
        <v>0.00418025825367718</v>
      </c>
      <c r="D88" s="19" t="n">
        <v>135.581029732113</v>
      </c>
      <c r="E88" s="19"/>
      <c r="F88" s="19"/>
      <c r="I88" s="5"/>
    </row>
    <row r="89" s="4" customFormat="true" ht="15" hidden="false" customHeight="false" outlineLevel="0" collapsed="false">
      <c r="A89" s="17" t="n">
        <v>41274</v>
      </c>
      <c r="B89" s="23" t="n">
        <v>14908.2</v>
      </c>
      <c r="C89" s="24" t="n">
        <v>0.00376790618891083</v>
      </c>
      <c r="D89" s="19" t="n">
        <v>136.108914886507</v>
      </c>
      <c r="E89" s="19"/>
      <c r="F89" s="19"/>
      <c r="I89" s="5"/>
    </row>
    <row r="90" s="4" customFormat="true" ht="15" hidden="false" customHeight="false" outlineLevel="0" collapsed="false">
      <c r="A90" s="17" t="n">
        <v>41305</v>
      </c>
      <c r="B90" s="23" t="n">
        <v>14978.58</v>
      </c>
      <c r="C90" s="24" t="n">
        <v>0.00456860502403746</v>
      </c>
      <c r="D90" s="19" t="n">
        <v>136.75147035462</v>
      </c>
      <c r="E90" s="19"/>
      <c r="F90" s="19"/>
      <c r="I90" s="5"/>
    </row>
    <row r="91" s="4" customFormat="true" ht="15" hidden="false" customHeight="false" outlineLevel="0" collapsed="false">
      <c r="A91" s="17" t="n">
        <v>41333</v>
      </c>
      <c r="B91" s="23" t="n">
        <v>15036.94</v>
      </c>
      <c r="C91" s="24" t="n">
        <v>0.00417453266121161</v>
      </c>
      <c r="D91" s="19" t="n">
        <v>137.28428560212</v>
      </c>
      <c r="E91" s="19"/>
      <c r="F91" s="19"/>
      <c r="I91" s="5"/>
    </row>
    <row r="92" s="4" customFormat="true" ht="15" hidden="false" customHeight="false" outlineLevel="0" collapsed="false">
      <c r="A92" s="17" t="n">
        <v>41362</v>
      </c>
      <c r="B92" s="23" t="n">
        <v>15095.51</v>
      </c>
      <c r="C92" s="24" t="n">
        <v>0.00402938730701959</v>
      </c>
      <c r="D92" s="19" t="n">
        <v>137.819018108049</v>
      </c>
      <c r="E92" s="19"/>
      <c r="F92" s="19"/>
      <c r="I92" s="5"/>
    </row>
    <row r="93" s="4" customFormat="true" ht="15" hidden="false" customHeight="false" outlineLevel="0" collapsed="false">
      <c r="A93" s="17" t="n">
        <v>41394</v>
      </c>
      <c r="B93" s="23" t="n">
        <v>15164.77</v>
      </c>
      <c r="C93" s="24" t="n">
        <v>0.00430136179565985</v>
      </c>
      <c r="D93" s="19" t="n">
        <v>138.451348197868</v>
      </c>
      <c r="E93" s="19"/>
      <c r="F93" s="19"/>
      <c r="I93" s="5"/>
    </row>
    <row r="94" s="4" customFormat="true" ht="15" hidden="false" customHeight="false" outlineLevel="0" collapsed="false">
      <c r="A94" s="17" t="n">
        <v>41425</v>
      </c>
      <c r="B94" s="23" t="n">
        <v>15230.38</v>
      </c>
      <c r="C94" s="24" t="n">
        <v>0.00418691139971771</v>
      </c>
      <c r="D94" s="19" t="n">
        <v>139.050354510214</v>
      </c>
      <c r="E94" s="19"/>
      <c r="F94" s="19"/>
      <c r="I94" s="5"/>
    </row>
    <row r="95" s="4" customFormat="true" ht="15" hidden="false" customHeight="false" outlineLevel="0" collapsed="false">
      <c r="A95" s="17" t="n">
        <v>41453</v>
      </c>
      <c r="B95" s="23" t="n">
        <v>15289.74</v>
      </c>
      <c r="C95" s="24" t="n">
        <v>0.00417586429228964</v>
      </c>
      <c r="D95" s="19" t="n">
        <v>139.592299559761</v>
      </c>
      <c r="E95" s="19"/>
      <c r="F95" s="19"/>
      <c r="I95" s="5"/>
    </row>
    <row r="96" s="4" customFormat="true" ht="15" hidden="false" customHeight="false" outlineLevel="0" collapsed="false">
      <c r="A96" s="17" t="n">
        <v>41486</v>
      </c>
      <c r="B96" s="23" t="n">
        <v>15360.27</v>
      </c>
      <c r="C96" s="24" t="n">
        <v>0.0041935429783752</v>
      </c>
      <c r="D96" s="19" t="n">
        <v>140.236224498181</v>
      </c>
      <c r="E96" s="19"/>
      <c r="F96" s="19"/>
      <c r="I96" s="5"/>
    </row>
    <row r="97" s="4" customFormat="true" ht="15" hidden="false" customHeight="false" outlineLevel="0" collapsed="false">
      <c r="A97" s="17" t="n">
        <v>41516</v>
      </c>
      <c r="B97" s="23" t="n">
        <v>15424.43</v>
      </c>
      <c r="C97" s="24" t="n">
        <v>0.00417700990933101</v>
      </c>
      <c r="D97" s="19" t="n">
        <v>140.821992597557</v>
      </c>
      <c r="E97" s="19"/>
      <c r="F97" s="19"/>
      <c r="I97" s="5"/>
    </row>
    <row r="98" s="4" customFormat="true" ht="15" hidden="false" customHeight="false" outlineLevel="0" collapsed="false">
      <c r="A98" s="17" t="n">
        <v>41547</v>
      </c>
      <c r="B98" s="23" t="n">
        <v>15490.99</v>
      </c>
      <c r="C98" s="24" t="n">
        <v>0.00417603134934674</v>
      </c>
      <c r="D98" s="19" t="n">
        <v>141.429672221847</v>
      </c>
      <c r="E98" s="19"/>
      <c r="F98" s="19"/>
      <c r="I98" s="5"/>
    </row>
    <row r="99" s="4" customFormat="true" ht="15" hidden="false" customHeight="false" outlineLevel="0" collapsed="false">
      <c r="A99" s="17" t="n">
        <v>41578</v>
      </c>
      <c r="B99" s="23" t="n">
        <v>15554.36</v>
      </c>
      <c r="C99" s="24" t="n">
        <v>0.00395880485699199</v>
      </c>
      <c r="D99" s="19" t="n">
        <v>142.008227777605</v>
      </c>
      <c r="E99" s="19"/>
      <c r="F99" s="19"/>
      <c r="I99" s="5"/>
    </row>
    <row r="100" s="4" customFormat="true" ht="15" hidden="false" customHeight="false" outlineLevel="0" collapsed="false">
      <c r="A100" s="17" t="n">
        <v>41607</v>
      </c>
      <c r="B100" s="23" t="n">
        <v>15615.06</v>
      </c>
      <c r="C100" s="24" t="n">
        <v>0.00403700978042654</v>
      </c>
      <c r="D100" s="19" t="n">
        <v>142.562406761897</v>
      </c>
      <c r="E100" s="19"/>
      <c r="F100" s="19"/>
      <c r="I100" s="5"/>
    </row>
    <row r="101" s="4" customFormat="true" ht="15" hidden="false" customHeight="false" outlineLevel="0" collapsed="false">
      <c r="A101" s="17" t="n">
        <v>41639</v>
      </c>
      <c r="B101" s="23" t="n">
        <v>15675.68</v>
      </c>
      <c r="C101" s="24" t="n">
        <v>0.00363951531406219</v>
      </c>
      <c r="D101" s="19" t="n">
        <v>143.115855362024</v>
      </c>
      <c r="E101" s="19"/>
      <c r="F101" s="19"/>
      <c r="I101" s="5"/>
    </row>
    <row r="102" s="4" customFormat="true" ht="15" hidden="false" customHeight="false" outlineLevel="0" collapsed="false">
      <c r="A102" s="17" t="n">
        <v>41670</v>
      </c>
      <c r="B102" s="23" t="n">
        <v>15738.45</v>
      </c>
      <c r="C102" s="24" t="n">
        <v>0.0038751212891769</v>
      </c>
      <c r="D102" s="19" t="n">
        <v>143.688933036554</v>
      </c>
      <c r="E102" s="19"/>
      <c r="F102" s="19"/>
      <c r="I102" s="5"/>
    </row>
    <row r="103" s="4" customFormat="true" ht="15" hidden="false" customHeight="false" outlineLevel="0" collapsed="false">
      <c r="A103" s="17" t="n">
        <v>41698</v>
      </c>
      <c r="B103" s="23" t="n">
        <v>15792.47</v>
      </c>
      <c r="C103" s="24" t="n">
        <v>0.00367752678494823</v>
      </c>
      <c r="D103" s="19" t="n">
        <v>144.182124943167</v>
      </c>
      <c r="E103" s="19"/>
      <c r="F103" s="19"/>
      <c r="I103" s="5"/>
    </row>
    <row r="104" s="4" customFormat="true" ht="15" hidden="false" customHeight="false" outlineLevel="0" collapsed="false">
      <c r="A104" s="17" t="n">
        <v>41729</v>
      </c>
      <c r="B104" s="23" t="n">
        <v>15848.53</v>
      </c>
      <c r="C104" s="24" t="n">
        <v>0.00343528358155682</v>
      </c>
      <c r="D104" s="19" t="n">
        <v>144.693941645957</v>
      </c>
      <c r="E104" s="19"/>
      <c r="F104" s="19"/>
      <c r="I104" s="5"/>
    </row>
    <row r="105" s="4" customFormat="true" ht="15" hidden="false" customHeight="false" outlineLevel="0" collapsed="false">
      <c r="A105" s="17" t="n">
        <v>41759</v>
      </c>
      <c r="B105" s="23" t="n">
        <v>15901.43</v>
      </c>
      <c r="C105" s="24" t="n">
        <v>0.00333784899924461</v>
      </c>
      <c r="D105" s="19" t="n">
        <v>145.176908174277</v>
      </c>
      <c r="E105" s="19"/>
      <c r="F105" s="19"/>
      <c r="I105" s="5"/>
    </row>
    <row r="106" s="4" customFormat="true" ht="15" hidden="false" customHeight="false" outlineLevel="0" collapsed="false">
      <c r="A106" s="17" t="n">
        <v>41789</v>
      </c>
      <c r="B106" s="23" t="n">
        <v>15954.5</v>
      </c>
      <c r="C106" s="24" t="n">
        <v>0.0033374356897462</v>
      </c>
      <c r="D106" s="19" t="n">
        <v>145.661426768945</v>
      </c>
      <c r="E106" s="19"/>
      <c r="F106" s="19"/>
      <c r="I106" s="5"/>
    </row>
    <row r="107" s="4" customFormat="true" ht="15" hidden="false" customHeight="false" outlineLevel="0" collapsed="false">
      <c r="A107" s="17" t="n">
        <v>41820</v>
      </c>
      <c r="B107" s="23" t="n">
        <v>16009.53</v>
      </c>
      <c r="C107" s="24" t="n">
        <v>0.00333791962829792</v>
      </c>
      <c r="D107" s="19" t="n">
        <v>146.163839775626</v>
      </c>
      <c r="E107" s="19"/>
      <c r="F107" s="19"/>
      <c r="I107" s="5"/>
    </row>
    <row r="108" s="4" customFormat="true" ht="15" hidden="false" customHeight="false" outlineLevel="0" collapsed="false">
      <c r="A108" s="17" t="n">
        <v>41851</v>
      </c>
      <c r="B108" s="23" t="n">
        <v>16063.18</v>
      </c>
      <c r="C108" s="24" t="n">
        <v>0.00324302804883782</v>
      </c>
      <c r="D108" s="19" t="n">
        <v>146.653653655481</v>
      </c>
      <c r="E108" s="19"/>
      <c r="F108" s="19"/>
      <c r="I108" s="5"/>
    </row>
    <row r="109" s="4" customFormat="true" ht="15" hidden="false" customHeight="false" outlineLevel="0" collapsed="false">
      <c r="A109" s="17" t="n">
        <v>41880</v>
      </c>
      <c r="B109" s="23" t="n">
        <v>16110.55</v>
      </c>
      <c r="C109" s="24" t="n">
        <v>0.00305066918728811</v>
      </c>
      <c r="D109" s="19" t="n">
        <v>147.086132378478</v>
      </c>
      <c r="E109" s="19"/>
      <c r="F109" s="19"/>
      <c r="I109" s="5"/>
      <c r="AB109" s="3"/>
    </row>
    <row r="110" s="4" customFormat="true" ht="15" hidden="false" customHeight="false" outlineLevel="0" collapsed="false">
      <c r="A110" s="17" t="n">
        <v>41912</v>
      </c>
      <c r="B110" s="23" t="n">
        <v>16158.37</v>
      </c>
      <c r="C110" s="24" t="n">
        <v>0.0027827262259824</v>
      </c>
      <c r="D110" s="19" t="n">
        <v>147.522719512396</v>
      </c>
      <c r="E110" s="19"/>
      <c r="F110" s="19"/>
      <c r="I110" s="5"/>
      <c r="AB110" s="3"/>
    </row>
    <row r="111" s="4" customFormat="true" ht="15" hidden="false" customHeight="false" outlineLevel="0" collapsed="false">
      <c r="A111" s="17" t="n">
        <v>41943</v>
      </c>
      <c r="B111" s="23" t="n">
        <v>16200.86</v>
      </c>
      <c r="C111" s="24" t="n">
        <v>0.00254477121384836</v>
      </c>
      <c r="D111" s="19" t="n">
        <v>147.910644801399</v>
      </c>
      <c r="E111" s="19"/>
      <c r="F111" s="19"/>
      <c r="I111" s="5"/>
      <c r="AB111" s="3"/>
    </row>
    <row r="112" s="4" customFormat="true" ht="15" hidden="false" customHeight="false" outlineLevel="0" collapsed="false">
      <c r="A112" s="17" t="n">
        <v>41971</v>
      </c>
      <c r="B112" s="23" t="n">
        <v>16240.11</v>
      </c>
      <c r="C112" s="24" t="n">
        <v>0.00259576167120579</v>
      </c>
      <c r="D112" s="19" t="n">
        <v>148.268989531769</v>
      </c>
      <c r="E112" s="19"/>
      <c r="F112" s="19"/>
      <c r="I112" s="5"/>
      <c r="AB112" s="3"/>
    </row>
    <row r="113" s="4" customFormat="true" ht="15" hidden="false" customHeight="false" outlineLevel="0" collapsed="false">
      <c r="A113" s="17" t="n">
        <v>42004</v>
      </c>
      <c r="B113" s="23" t="n">
        <v>16283.49</v>
      </c>
      <c r="C113" s="24" t="n">
        <v>0.00242833106649904</v>
      </c>
      <c r="D113" s="19" t="n">
        <v>148.665040344595</v>
      </c>
      <c r="E113" s="19"/>
      <c r="F113" s="19"/>
      <c r="I113" s="5"/>
      <c r="AB113" s="3"/>
    </row>
    <row r="114" s="4" customFormat="true" ht="15" hidden="false" customHeight="false" outlineLevel="0" collapsed="false">
      <c r="A114" s="17" t="n">
        <v>42034</v>
      </c>
      <c r="B114" s="23" t="n">
        <v>16325.65</v>
      </c>
      <c r="C114" s="24" t="n">
        <v>0.00258912554986668</v>
      </c>
      <c r="D114" s="19" t="n">
        <v>149.049952798923</v>
      </c>
      <c r="E114" s="19"/>
      <c r="F114" s="19"/>
      <c r="I114" s="5"/>
      <c r="O114" s="3"/>
      <c r="P114" s="3"/>
      <c r="Q114" s="3"/>
      <c r="R114" s="3"/>
      <c r="S114" s="3"/>
      <c r="T114" s="3"/>
      <c r="U114" s="3"/>
      <c r="V114" s="3"/>
      <c r="W114" s="3"/>
      <c r="X114" s="3"/>
      <c r="Y114" s="3"/>
      <c r="Z114" s="3"/>
      <c r="AA114" s="3"/>
      <c r="AB114" s="3"/>
    </row>
    <row r="115" customFormat="false" ht="15" hidden="false" customHeight="false" outlineLevel="0" collapsed="false">
      <c r="A115" s="17" t="n">
        <v>42062</v>
      </c>
      <c r="B115" s="23" t="n">
        <v>16363.77</v>
      </c>
      <c r="C115" s="24" t="n">
        <v>0.00250175993867666</v>
      </c>
      <c r="D115" s="19" t="n">
        <v>149.397980852979</v>
      </c>
      <c r="E115" s="19"/>
      <c r="F115" s="19"/>
      <c r="N115" s="4"/>
      <c r="AC115" s="4"/>
      <c r="AD115" s="4"/>
      <c r="AE115" s="4"/>
      <c r="AF115" s="4"/>
      <c r="AG115" s="4"/>
      <c r="AH115" s="4"/>
      <c r="AI115" s="4"/>
      <c r="AJ115" s="4"/>
      <c r="AK115" s="4"/>
      <c r="AL115" s="4"/>
      <c r="AM115" s="4"/>
      <c r="AN115" s="4"/>
      <c r="AO115" s="4"/>
      <c r="AP115" s="4"/>
      <c r="AQ115" s="4"/>
      <c r="AR115" s="4"/>
      <c r="AS115" s="4"/>
      <c r="AT115" s="4"/>
    </row>
    <row r="116" customFormat="false" ht="15" hidden="false" customHeight="false" outlineLevel="0" collapsed="false">
      <c r="A116" s="17" t="n">
        <v>42094</v>
      </c>
      <c r="B116" s="23" t="n">
        <v>16407.49</v>
      </c>
      <c r="C116" s="24" t="n">
        <v>0.00250477121103515</v>
      </c>
      <c r="D116" s="19" t="n">
        <v>149.797135798502</v>
      </c>
      <c r="E116" s="19"/>
      <c r="F116" s="19"/>
      <c r="AC116" s="4"/>
      <c r="AD116" s="4"/>
      <c r="AE116" s="4"/>
      <c r="AF116" s="4"/>
      <c r="AG116" s="4"/>
      <c r="AH116" s="4"/>
      <c r="AI116" s="4"/>
      <c r="AJ116" s="4"/>
      <c r="AK116" s="4"/>
      <c r="AL116" s="4"/>
      <c r="AM116" s="4"/>
      <c r="AN116" s="4"/>
      <c r="AO116" s="4"/>
      <c r="AP116" s="4"/>
      <c r="AQ116" s="4"/>
      <c r="AS116" s="4"/>
    </row>
    <row r="117" customFormat="false" ht="15" hidden="false" customHeight="false" outlineLevel="0" collapsed="false">
      <c r="A117" s="17" t="n">
        <v>42124</v>
      </c>
      <c r="B117" s="23" t="n">
        <v>16448.59</v>
      </c>
      <c r="C117" s="24" t="n">
        <v>0.00250495353036917</v>
      </c>
      <c r="D117" s="19" t="n">
        <v>150.172370662659</v>
      </c>
      <c r="E117" s="19"/>
      <c r="F117" s="19"/>
      <c r="AC117" s="4"/>
      <c r="AD117" s="4"/>
      <c r="AE117" s="4"/>
      <c r="AF117" s="4"/>
      <c r="AG117" s="4"/>
      <c r="AH117" s="4"/>
      <c r="AI117" s="4"/>
      <c r="AJ117" s="4"/>
      <c r="AK117" s="4"/>
      <c r="AL117" s="4"/>
      <c r="AM117" s="4"/>
      <c r="AN117" s="4"/>
      <c r="AO117" s="4"/>
      <c r="AP117" s="4"/>
      <c r="AQ117" s="4"/>
      <c r="AS117" s="4"/>
    </row>
    <row r="118" customFormat="false" ht="15" hidden="false" customHeight="false" outlineLevel="0" collapsed="false">
      <c r="A118" s="17" t="n">
        <v>42153</v>
      </c>
      <c r="B118" s="23" t="n">
        <v>16488.37</v>
      </c>
      <c r="C118" s="24" t="n">
        <v>0.00250183901099918</v>
      </c>
      <c r="D118" s="19" t="n">
        <v>150.535554188114</v>
      </c>
      <c r="E118" s="19"/>
      <c r="F118" s="19"/>
      <c r="AC118" s="4"/>
      <c r="AD118" s="4"/>
      <c r="AE118" s="4"/>
      <c r="AF118" s="4"/>
      <c r="AG118" s="4"/>
      <c r="AH118" s="4"/>
      <c r="AI118" s="4"/>
      <c r="AJ118" s="4"/>
      <c r="AK118" s="4"/>
      <c r="AL118" s="4"/>
      <c r="AM118" s="4"/>
      <c r="AN118" s="4"/>
      <c r="AO118" s="4"/>
      <c r="AP118" s="4"/>
      <c r="AQ118" s="4"/>
      <c r="AS118" s="4"/>
    </row>
    <row r="119" customFormat="false" ht="15" hidden="false" customHeight="false" outlineLevel="0" collapsed="false">
      <c r="A119" s="17" t="n">
        <v>42185</v>
      </c>
      <c r="B119" s="23" t="n">
        <v>16532.38</v>
      </c>
      <c r="C119" s="24" t="n">
        <v>0.00250233194669942</v>
      </c>
      <c r="D119" s="19" t="n">
        <v>150.93735677623</v>
      </c>
      <c r="E119" s="19"/>
      <c r="F119" s="19"/>
      <c r="AC119" s="4"/>
      <c r="AD119" s="4"/>
      <c r="AE119" s="4"/>
      <c r="AF119" s="4"/>
      <c r="AG119" s="4"/>
      <c r="AH119" s="4"/>
      <c r="AI119" s="4"/>
      <c r="AJ119" s="4"/>
      <c r="AK119" s="4"/>
      <c r="AL119" s="4"/>
      <c r="AM119" s="4"/>
      <c r="AN119" s="4"/>
      <c r="AO119" s="4"/>
      <c r="AP119" s="4"/>
      <c r="AQ119" s="4"/>
      <c r="AS119" s="4"/>
    </row>
    <row r="120" customFormat="false" ht="15" hidden="false" customHeight="false" outlineLevel="0" collapsed="false">
      <c r="A120" s="17" t="n">
        <v>42216</v>
      </c>
      <c r="B120" s="23" t="n">
        <v>16575.11</v>
      </c>
      <c r="C120" s="24" t="n">
        <v>0.00250124984444025</v>
      </c>
      <c r="D120" s="19" t="n">
        <v>151.327473217726</v>
      </c>
      <c r="E120" s="19"/>
      <c r="F120" s="19"/>
      <c r="AC120" s="4"/>
      <c r="AS120" s="4"/>
    </row>
    <row r="121" customFormat="false" ht="15" hidden="false" customHeight="false" outlineLevel="0" collapsed="false">
      <c r="A121" s="17" t="n">
        <v>42247</v>
      </c>
      <c r="B121" s="23" t="n">
        <v>16617.94</v>
      </c>
      <c r="C121" s="24" t="n">
        <v>0.00250064024291679</v>
      </c>
      <c r="D121" s="19" t="n">
        <v>151.718502639426</v>
      </c>
      <c r="E121" s="19"/>
      <c r="F121" s="19"/>
      <c r="AC121" s="4"/>
      <c r="AS121" s="4"/>
    </row>
    <row r="122" customFormat="false" ht="15" hidden="false" customHeight="false" outlineLevel="0" collapsed="false">
      <c r="A122" s="17" t="n">
        <v>42277</v>
      </c>
      <c r="B122" s="23" t="n">
        <v>16659.58</v>
      </c>
      <c r="C122" s="24" t="n">
        <v>0.00250572573977292</v>
      </c>
      <c r="D122" s="19" t="n">
        <v>152.098667596689</v>
      </c>
      <c r="E122" s="19"/>
      <c r="F122" s="19"/>
      <c r="AC122" s="4"/>
      <c r="AS122" s="4"/>
    </row>
    <row r="123" customFormat="false" ht="15" hidden="false" customHeight="false" outlineLevel="0" collapsed="false">
      <c r="A123" s="17" t="n">
        <v>42307</v>
      </c>
      <c r="B123" s="23" t="n">
        <v>16702.94</v>
      </c>
      <c r="C123" s="24" t="n">
        <v>0.00260270667087625</v>
      </c>
      <c r="D123" s="19" t="n">
        <v>152.494535813475</v>
      </c>
      <c r="E123" s="19"/>
      <c r="F123" s="19"/>
      <c r="AC123" s="4"/>
      <c r="AS123" s="4"/>
    </row>
    <row r="124" customFormat="false" ht="15" hidden="false" customHeight="false" outlineLevel="0" collapsed="false">
      <c r="A124" s="17" t="n">
        <v>42338</v>
      </c>
      <c r="B124" s="23" t="n">
        <v>16749.75</v>
      </c>
      <c r="C124" s="24" t="n">
        <v>0.00271209739123785</v>
      </c>
      <c r="D124" s="19" t="n">
        <v>152.921901847324</v>
      </c>
      <c r="E124" s="19"/>
      <c r="F124" s="17"/>
      <c r="AS124" s="4"/>
    </row>
    <row r="125" customFormat="false" ht="15" hidden="false" customHeight="false" outlineLevel="0" collapsed="false">
      <c r="A125" s="17" t="n">
        <v>42369</v>
      </c>
      <c r="B125" s="23" t="n">
        <v>16796.52</v>
      </c>
      <c r="C125" s="24" t="n">
        <v>0.00270220691786938</v>
      </c>
      <c r="D125" s="19" t="n">
        <v>153.348902689092</v>
      </c>
      <c r="E125" s="19"/>
      <c r="F125" s="17" t="n">
        <v>42369</v>
      </c>
      <c r="K125" s="4"/>
      <c r="AS125" s="4"/>
    </row>
    <row r="126" customFormat="false" ht="15" hidden="false" customHeight="false" outlineLevel="0" collapsed="false">
      <c r="A126" s="17" t="n">
        <v>42398</v>
      </c>
      <c r="B126" s="23" t="n">
        <v>16845.59</v>
      </c>
      <c r="C126" s="24" t="n">
        <v>0.00302217774667121</v>
      </c>
      <c r="D126" s="19" t="n">
        <v>153.796902075569</v>
      </c>
      <c r="E126" s="19"/>
      <c r="F126" s="17" t="n">
        <v>42400</v>
      </c>
      <c r="K126" s="4"/>
      <c r="AS126" s="4"/>
    </row>
    <row r="127" customFormat="false" ht="15" hidden="false" customHeight="false" outlineLevel="0" collapsed="false">
      <c r="A127" s="17" t="n">
        <v>42429</v>
      </c>
      <c r="B127" s="23" t="n">
        <v>16896.43</v>
      </c>
      <c r="C127" s="24" t="n">
        <v>0.00292064570015064</v>
      </c>
      <c r="D127" s="19" t="n">
        <v>154.261061211671</v>
      </c>
      <c r="E127" s="19"/>
      <c r="F127" s="17" t="n">
        <v>42428</v>
      </c>
      <c r="K127" s="4"/>
      <c r="AS127" s="4"/>
    </row>
    <row r="128" customFormat="false" ht="15" hidden="false" customHeight="false" outlineLevel="0" collapsed="false">
      <c r="A128" s="17" t="n">
        <v>42460</v>
      </c>
      <c r="B128" s="23" t="n">
        <v>16947.43</v>
      </c>
      <c r="C128" s="24" t="n">
        <v>0.00292102170160664</v>
      </c>
      <c r="D128" s="19" t="n">
        <v>154.7266811161</v>
      </c>
      <c r="E128" s="19"/>
      <c r="F128" s="17" t="n">
        <v>42460</v>
      </c>
      <c r="K128" s="4"/>
    </row>
    <row r="129" customFormat="false" ht="15" hidden="false" customHeight="false" outlineLevel="0" collapsed="false">
      <c r="A129" s="17" t="n">
        <v>42489</v>
      </c>
      <c r="B129" s="23" t="n">
        <v>16995.27</v>
      </c>
      <c r="C129" s="24" t="n">
        <v>0.0029201864337197</v>
      </c>
      <c r="D129" s="19" t="n">
        <v>155.163450846059</v>
      </c>
      <c r="F129" s="17" t="n">
        <v>42490</v>
      </c>
      <c r="K129" s="4"/>
    </row>
    <row r="130" customFormat="false" ht="15" hidden="false" customHeight="false" outlineLevel="0" collapsed="false">
      <c r="A130" s="17" t="n">
        <v>42521</v>
      </c>
      <c r="B130" s="23" t="n">
        <v>17048.23</v>
      </c>
      <c r="C130" s="24" t="n">
        <v>0.00292140107218071</v>
      </c>
      <c r="D130" s="19" t="n">
        <v>155.646965162501</v>
      </c>
      <c r="F130" s="17" t="n">
        <f aca="false">+A130</f>
        <v>42521</v>
      </c>
      <c r="G130" s="60"/>
      <c r="H130" s="60"/>
      <c r="J130" s="18"/>
      <c r="K130" s="4"/>
      <c r="L130" s="24"/>
    </row>
    <row r="131" customFormat="false" ht="15" hidden="false" customHeight="false" outlineLevel="0" collapsed="false">
      <c r="A131" s="17" t="n">
        <v>42551</v>
      </c>
      <c r="B131" s="23" t="n">
        <v>17098.02</v>
      </c>
      <c r="C131" s="24" t="n">
        <v>0.00292053779189994</v>
      </c>
      <c r="D131" s="19" t="n">
        <v>156.101538006453</v>
      </c>
      <c r="F131" s="17" t="n">
        <f aca="false">+A131</f>
        <v>42551</v>
      </c>
      <c r="H131" s="60"/>
      <c r="I131" s="24"/>
      <c r="J131" s="18"/>
      <c r="K131" s="4"/>
      <c r="L131" s="24"/>
      <c r="M131" s="19"/>
    </row>
    <row r="132" customFormat="false" ht="15" hidden="false" customHeight="false" outlineLevel="0" collapsed="false">
      <c r="A132" s="17" t="n">
        <v>42582</v>
      </c>
      <c r="B132" s="61" t="n">
        <v>17149.23</v>
      </c>
      <c r="C132" s="24" t="n">
        <v>0.00289846803993268</v>
      </c>
      <c r="D132" s="19" t="n">
        <v>156.569075169312</v>
      </c>
      <c r="F132" s="17" t="n">
        <f aca="false">+A132</f>
        <v>42582</v>
      </c>
      <c r="H132" s="60"/>
      <c r="I132" s="24"/>
      <c r="J132" s="18"/>
      <c r="K132" s="4"/>
      <c r="L132" s="24"/>
      <c r="M132" s="19"/>
    </row>
    <row r="133" customFormat="false" ht="15" hidden="false" customHeight="false" outlineLevel="0" collapsed="false">
      <c r="A133" s="17" t="n">
        <v>42613</v>
      </c>
      <c r="B133" s="23" t="n">
        <v>17201.38</v>
      </c>
      <c r="C133" s="24" t="n">
        <v>0.00294285760558838</v>
      </c>
      <c r="D133" s="19" t="n">
        <v>157.045194346096</v>
      </c>
      <c r="F133" s="17" t="n">
        <f aca="false">+A133</f>
        <v>42613</v>
      </c>
      <c r="H133" s="60"/>
      <c r="I133" s="24"/>
      <c r="J133" s="18"/>
      <c r="K133" s="4"/>
      <c r="L133" s="24"/>
      <c r="M133" s="19"/>
    </row>
    <row r="134" customFormat="false" ht="15" hidden="false" customHeight="false" outlineLevel="0" collapsed="false">
      <c r="A134" s="17" t="n">
        <f aca="false">+A133+30</f>
        <v>42643</v>
      </c>
      <c r="B134" s="23" t="n">
        <v>17251.61</v>
      </c>
      <c r="C134" s="24" t="n">
        <v>0.00292011454894903</v>
      </c>
      <c r="D134" s="19" t="n">
        <v>157.503784302949</v>
      </c>
      <c r="F134" s="17" t="n">
        <f aca="false">+A134</f>
        <v>42643</v>
      </c>
      <c r="H134" s="60"/>
      <c r="I134" s="24"/>
      <c r="J134" s="18"/>
      <c r="K134" s="4"/>
      <c r="L134" s="24"/>
      <c r="M134" s="19"/>
    </row>
    <row r="135" customFormat="false" ht="15" hidden="false" customHeight="false" outlineLevel="0" collapsed="false">
      <c r="A135" s="17" t="n">
        <v>42674</v>
      </c>
      <c r="B135" s="23" t="n">
        <v>17303.68</v>
      </c>
      <c r="C135" s="24" t="n">
        <v>0.00292090550277028</v>
      </c>
      <c r="D135" s="19" t="n">
        <v>157.979173095569</v>
      </c>
      <c r="F135" s="17" t="n">
        <f aca="false">+A135</f>
        <v>42674</v>
      </c>
      <c r="H135" s="60"/>
      <c r="I135" s="24"/>
      <c r="J135" s="18"/>
      <c r="K135" s="4"/>
      <c r="L135" s="24"/>
      <c r="M135" s="19"/>
      <c r="S135" s="3" t="s">
        <v>40</v>
      </c>
    </row>
    <row r="136" customFormat="false" ht="15" hidden="false" customHeight="false" outlineLevel="0" collapsed="false">
      <c r="A136" s="17" t="n">
        <v>42704</v>
      </c>
      <c r="B136" s="23" t="n">
        <v>17354.21</v>
      </c>
      <c r="C136" s="24" t="n">
        <v>0.00292018807560002</v>
      </c>
      <c r="D136" s="19" t="n">
        <v>158.440501993036</v>
      </c>
      <c r="F136" s="17" t="n">
        <f aca="false">+A136</f>
        <v>42704</v>
      </c>
      <c r="H136" s="60"/>
      <c r="I136" s="24"/>
      <c r="J136" s="18"/>
      <c r="K136" s="4"/>
      <c r="L136" s="24"/>
      <c r="M136" s="19"/>
    </row>
    <row r="137" customFormat="false" ht="15" hidden="false" customHeight="false" outlineLevel="0" collapsed="false">
      <c r="A137" s="17" t="n">
        <v>42735</v>
      </c>
      <c r="B137" s="23" t="n">
        <v>17406.97</v>
      </c>
      <c r="C137" s="24" t="n">
        <v>0.00294211401821993</v>
      </c>
      <c r="D137" s="19" t="n">
        <v>158.922190349069</v>
      </c>
      <c r="F137" s="17" t="n">
        <f aca="false">+A137</f>
        <v>42735</v>
      </c>
      <c r="H137" s="60"/>
      <c r="I137" s="24"/>
      <c r="J137" s="18"/>
      <c r="K137" s="4"/>
      <c r="L137" s="24"/>
      <c r="M137" s="19"/>
      <c r="Q137" s="4" t="n">
        <f aca="false">+G137+S136</f>
        <v>0</v>
      </c>
      <c r="S137" s="3" t="s">
        <v>41</v>
      </c>
    </row>
    <row r="138" customFormat="false" ht="15" hidden="false" customHeight="false" outlineLevel="0" collapsed="false">
      <c r="A138" s="17" t="n">
        <v>42766</v>
      </c>
      <c r="B138" s="23" t="n">
        <v>17457.39</v>
      </c>
      <c r="C138" s="24" t="n">
        <v>0.00280310406619276</v>
      </c>
      <c r="D138" s="19" t="n">
        <v>159.382514968311</v>
      </c>
      <c r="F138" s="17" t="n">
        <f aca="false">+A138</f>
        <v>42766</v>
      </c>
      <c r="I138" s="24"/>
      <c r="J138" s="18"/>
      <c r="K138" s="4"/>
      <c r="L138" s="24"/>
      <c r="M138" s="19"/>
      <c r="S138" s="3" t="n">
        <v>3.1855</v>
      </c>
    </row>
    <row r="139" customFormat="false" ht="15" hidden="false" customHeight="false" outlineLevel="0" collapsed="false">
      <c r="A139" s="17" t="n">
        <v>42794</v>
      </c>
      <c r="B139" s="23" t="n">
        <v>17501.06</v>
      </c>
      <c r="C139" s="24" t="n">
        <v>0.00268019937197288</v>
      </c>
      <c r="D139" s="19" t="n">
        <v>159.781213423731</v>
      </c>
      <c r="F139" s="17" t="n">
        <f aca="false">+A139</f>
        <v>42794</v>
      </c>
      <c r="I139" s="24"/>
      <c r="J139" s="18"/>
      <c r="K139" s="4"/>
      <c r="L139" s="24"/>
      <c r="M139" s="19"/>
      <c r="S139" s="3" t="s">
        <v>42</v>
      </c>
    </row>
    <row r="140" customFormat="false" ht="15" hidden="false" customHeight="false" outlineLevel="0" collapsed="false">
      <c r="A140" s="17" t="n">
        <v>42825</v>
      </c>
      <c r="B140" s="23" t="n">
        <v>17548.35</v>
      </c>
      <c r="C140" s="24" t="n">
        <v>0.00261495681570322</v>
      </c>
      <c r="D140" s="19" t="n">
        <v>160.212961762563</v>
      </c>
      <c r="F140" s="17" t="n">
        <f aca="false">+A140</f>
        <v>42825</v>
      </c>
      <c r="I140" s="24"/>
      <c r="J140" s="18"/>
      <c r="K140" s="4"/>
      <c r="L140" s="24"/>
      <c r="M140" s="19"/>
      <c r="S140" s="3" t="n">
        <v>15.196203464402</v>
      </c>
    </row>
    <row r="141" customFormat="false" ht="15" hidden="false" customHeight="false" outlineLevel="0" collapsed="false">
      <c r="A141" s="17" t="n">
        <v>42855</v>
      </c>
      <c r="B141" s="23" t="n">
        <v>17587.92</v>
      </c>
      <c r="C141" s="24" t="n">
        <v>0.00225491285505464</v>
      </c>
      <c r="D141" s="19" t="n">
        <v>160.574228029588</v>
      </c>
      <c r="F141" s="17" t="n">
        <f aca="false">+A141</f>
        <v>42855</v>
      </c>
      <c r="I141" s="24"/>
      <c r="J141" s="18"/>
      <c r="K141" s="4"/>
      <c r="L141" s="24"/>
      <c r="M141" s="19"/>
      <c r="S141" s="3" t="s">
        <v>43</v>
      </c>
    </row>
    <row r="142" customFormat="false" ht="15" hidden="false" customHeight="false" outlineLevel="0" collapsed="false">
      <c r="A142" s="17" t="n">
        <v>42886</v>
      </c>
      <c r="B142" s="23" t="n">
        <v>17630.79</v>
      </c>
      <c r="C142" s="24" t="n">
        <v>0.00235884042991986</v>
      </c>
      <c r="D142" s="19" t="n">
        <v>160.96562264337</v>
      </c>
      <c r="F142" s="17" t="n">
        <f aca="false">+A142</f>
        <v>42886</v>
      </c>
      <c r="I142" s="24"/>
      <c r="J142" s="18"/>
      <c r="K142" s="4"/>
      <c r="L142" s="24"/>
      <c r="M142" s="19"/>
      <c r="S142" s="3" t="n">
        <v>55.8421633</v>
      </c>
    </row>
    <row r="143" customFormat="false" ht="15" hidden="false" customHeight="false" outlineLevel="0" collapsed="false">
      <c r="A143" s="17" t="n">
        <v>42916</v>
      </c>
      <c r="B143" s="23" t="n">
        <v>17667.59</v>
      </c>
      <c r="C143" s="24" t="n">
        <v>0.00208725757609263</v>
      </c>
      <c r="D143" s="19" t="n">
        <v>161.301599358723</v>
      </c>
      <c r="F143" s="17" t="n">
        <f aca="false">+A143</f>
        <v>42916</v>
      </c>
      <c r="I143" s="24"/>
      <c r="J143" s="18"/>
      <c r="K143" s="4"/>
      <c r="L143" s="24"/>
      <c r="M143" s="19"/>
      <c r="S143" s="3" t="s">
        <v>44</v>
      </c>
    </row>
    <row r="144" customFormat="false" ht="15" hidden="false" customHeight="false" outlineLevel="0" collapsed="false">
      <c r="A144" s="17" t="n">
        <v>42947</v>
      </c>
      <c r="B144" s="23" t="n">
        <v>17705.69</v>
      </c>
      <c r="C144" s="24" t="n">
        <v>0.00208692683846153</v>
      </c>
      <c r="D144" s="19" t="n">
        <v>161.649444816738</v>
      </c>
      <c r="F144" s="17" t="n">
        <f aca="false">+A144</f>
        <v>42947</v>
      </c>
      <c r="I144" s="24"/>
      <c r="J144" s="18"/>
      <c r="K144" s="4"/>
      <c r="L144" s="24"/>
      <c r="M144" s="19"/>
      <c r="S144" s="3" t="n">
        <v>11.007015949823</v>
      </c>
    </row>
    <row r="145" customFormat="false" ht="15" hidden="false" customHeight="false" outlineLevel="0" collapsed="false">
      <c r="A145" s="17" t="n">
        <v>42978</v>
      </c>
      <c r="B145" s="23" t="n">
        <v>17743.83</v>
      </c>
      <c r="C145" s="24" t="n">
        <v>0.00208462236825332</v>
      </c>
      <c r="D145" s="19" t="n">
        <v>161.997655466834</v>
      </c>
      <c r="F145" s="17" t="n">
        <f aca="false">+A145</f>
        <v>42978</v>
      </c>
      <c r="I145" s="24"/>
      <c r="J145" s="18"/>
      <c r="K145" s="4"/>
      <c r="L145" s="24"/>
      <c r="M145" s="19"/>
      <c r="S145" s="3" t="s">
        <v>45</v>
      </c>
    </row>
    <row r="146" customFormat="false" ht="15" hidden="false" customHeight="false" outlineLevel="0" collapsed="false">
      <c r="A146" s="17" t="n">
        <v>43008</v>
      </c>
      <c r="B146" s="23" t="n">
        <v>17780.7817</v>
      </c>
      <c r="C146" s="24" t="n">
        <v>0.00208250980763447</v>
      </c>
      <c r="D146" s="19" t="n">
        <v>162.335017173158</v>
      </c>
      <c r="F146" s="17" t="n">
        <v>43008</v>
      </c>
      <c r="I146" s="24"/>
      <c r="J146" s="18"/>
      <c r="K146" s="4"/>
      <c r="L146" s="24"/>
      <c r="M146" s="19"/>
      <c r="S146" s="3" t="n">
        <v>10.8956211829398</v>
      </c>
    </row>
    <row r="147" customFormat="false" ht="15" hidden="false" customHeight="false" outlineLevel="0" collapsed="false">
      <c r="A147" s="17" t="n">
        <v>43039</v>
      </c>
      <c r="B147" s="3" t="n">
        <v>17819.15</v>
      </c>
      <c r="C147" s="24" t="n">
        <v>0.00208824412389173</v>
      </c>
      <c r="D147" s="19" t="n">
        <v>162.685312157062</v>
      </c>
      <c r="F147" s="17" t="n">
        <v>43039</v>
      </c>
      <c r="I147" s="24"/>
      <c r="J147" s="18"/>
      <c r="K147" s="4"/>
      <c r="L147" s="24"/>
      <c r="M147" s="19"/>
      <c r="S147" s="3" t="s">
        <v>46</v>
      </c>
    </row>
    <row r="148" customFormat="false" ht="15" hidden="false" customHeight="false" outlineLevel="0" collapsed="false">
      <c r="A148" s="17" t="n">
        <v>43069</v>
      </c>
      <c r="B148" s="3" t="n">
        <v>17856.32</v>
      </c>
      <c r="C148" s="24" t="n">
        <v>0.00208595808442036</v>
      </c>
      <c r="D148" s="19" t="n">
        <v>163.024666899172</v>
      </c>
      <c r="F148" s="17" t="n">
        <v>43069</v>
      </c>
      <c r="I148" s="24"/>
      <c r="J148" s="18"/>
      <c r="K148" s="4"/>
      <c r="L148" s="24"/>
      <c r="M148" s="19"/>
      <c r="S148" s="3" t="n">
        <v>32.8585373839039</v>
      </c>
      <c r="AR148" s="62"/>
    </row>
    <row r="149" customFormat="false" ht="15" hidden="false" customHeight="false" outlineLevel="0" collapsed="false">
      <c r="A149" s="17" t="n">
        <v>43100</v>
      </c>
      <c r="B149" s="3" t="n">
        <v>17872.44</v>
      </c>
      <c r="C149" s="24" t="n">
        <v>0.000873640257343073</v>
      </c>
      <c r="D149" s="19" t="n">
        <v>163.17183930818</v>
      </c>
      <c r="F149" s="17" t="n">
        <v>43100</v>
      </c>
      <c r="I149" s="24"/>
      <c r="J149" s="18"/>
      <c r="K149" s="4"/>
      <c r="L149" s="24"/>
      <c r="M149" s="19"/>
      <c r="S149" s="3" t="s">
        <v>47</v>
      </c>
    </row>
    <row r="150" customFormat="false" ht="15" hidden="false" customHeight="false" outlineLevel="0" collapsed="false">
      <c r="A150" s="17" t="n">
        <v>43131</v>
      </c>
      <c r="B150" s="3" t="n">
        <v>17933.28</v>
      </c>
      <c r="C150" s="24" t="n">
        <v>0.00329431344320307</v>
      </c>
      <c r="D150" s="19" t="n">
        <v>163.727296464758</v>
      </c>
      <c r="F150" s="17" t="n">
        <v>43131</v>
      </c>
      <c r="I150" s="24"/>
      <c r="J150" s="18"/>
      <c r="K150" s="4"/>
      <c r="L150" s="24"/>
      <c r="M150" s="19"/>
      <c r="S150" s="3" t="n">
        <v>24.6254420994089</v>
      </c>
    </row>
    <row r="151" customFormat="false" ht="15" hidden="false" customHeight="false" outlineLevel="0" collapsed="false">
      <c r="A151" s="17" t="n">
        <v>43159</v>
      </c>
      <c r="B151" s="3" t="n">
        <v>17968.11</v>
      </c>
      <c r="C151" s="24" t="n">
        <v>0.0020809275906505</v>
      </c>
      <c r="D151" s="19" t="n">
        <v>164.045287470077</v>
      </c>
      <c r="F151" s="17" t="n">
        <v>43159</v>
      </c>
      <c r="I151" s="24"/>
      <c r="J151" s="18"/>
      <c r="K151" s="4"/>
      <c r="L151" s="24"/>
      <c r="M151" s="19"/>
    </row>
    <row r="152" customFormat="false" ht="15" hidden="false" customHeight="false" outlineLevel="0" collapsed="false">
      <c r="A152" s="17" t="n">
        <v>43190</v>
      </c>
      <c r="B152" s="3" t="n">
        <v>18006.83</v>
      </c>
      <c r="C152" s="24" t="n">
        <v>0.00208541509050955</v>
      </c>
      <c r="D152" s="19" t="n">
        <v>164.398793405361</v>
      </c>
      <c r="F152" s="17" t="n">
        <v>43190</v>
      </c>
      <c r="I152" s="24"/>
      <c r="J152" s="18"/>
      <c r="K152" s="4"/>
      <c r="L152" s="24"/>
      <c r="M152" s="19"/>
      <c r="AD152" s="62"/>
      <c r="AE152" s="62"/>
      <c r="AF152" s="62"/>
      <c r="AG152" s="62"/>
      <c r="AH152" s="62"/>
      <c r="AI152" s="62"/>
      <c r="AJ152" s="62"/>
      <c r="AK152" s="62"/>
      <c r="AL152" s="62"/>
      <c r="AM152" s="62"/>
      <c r="AN152" s="62"/>
      <c r="AO152" s="62"/>
      <c r="AP152" s="62"/>
      <c r="AQ152" s="62"/>
    </row>
    <row r="153" customFormat="false" ht="15" hidden="false" customHeight="false" outlineLevel="0" collapsed="false">
      <c r="A153" s="17" t="n">
        <v>43220</v>
      </c>
      <c r="B153" s="3" t="n">
        <v>18044.25</v>
      </c>
      <c r="C153" s="24" t="n">
        <v>0.00207810036525014</v>
      </c>
      <c r="D153" s="19" t="n">
        <v>164.740430597984</v>
      </c>
      <c r="F153" s="17" t="n">
        <v>43220</v>
      </c>
      <c r="I153" s="24"/>
      <c r="J153" s="18"/>
      <c r="K153" s="4"/>
      <c r="L153" s="24"/>
      <c r="M153" s="19"/>
    </row>
    <row r="154" customFormat="false" ht="15" hidden="false" customHeight="false" outlineLevel="0" collapsed="false">
      <c r="A154" s="17" t="n">
        <v>43251</v>
      </c>
      <c r="B154" s="18" t="n">
        <v>18082.87</v>
      </c>
      <c r="C154" s="24" t="n">
        <v>0.00207125225755497</v>
      </c>
      <c r="D154" s="19" t="n">
        <v>165.093023553063</v>
      </c>
      <c r="F154" s="17" t="n">
        <v>43251</v>
      </c>
      <c r="I154" s="24"/>
      <c r="J154" s="18"/>
      <c r="K154" s="4"/>
      <c r="L154" s="24"/>
      <c r="M154" s="19"/>
    </row>
    <row r="155" customFormat="false" ht="15" hidden="false" customHeight="false" outlineLevel="0" collapsed="false">
      <c r="A155" s="17" t="n">
        <v>43281</v>
      </c>
      <c r="B155" s="19" t="n">
        <v>18120.6225</v>
      </c>
      <c r="C155" s="24" t="n">
        <v>0.00208774934509837</v>
      </c>
      <c r="D155" s="19" t="n">
        <v>165.437696404867</v>
      </c>
      <c r="F155" s="17" t="n">
        <v>43281</v>
      </c>
      <c r="I155" s="24"/>
      <c r="J155" s="18"/>
      <c r="L155" s="24"/>
      <c r="M155" s="19"/>
    </row>
    <row r="156" customFormat="false" ht="15" hidden="false" customHeight="false" outlineLevel="0" collapsed="false">
      <c r="A156" s="17" t="n">
        <v>43312</v>
      </c>
      <c r="B156" s="18" t="n">
        <v>18159.66</v>
      </c>
      <c r="C156" s="24" t="n">
        <v>0.00208481942639968</v>
      </c>
      <c r="D156" s="19" t="n">
        <v>165.794101052301</v>
      </c>
      <c r="F156" s="17" t="n">
        <v>43312</v>
      </c>
      <c r="I156" s="24"/>
      <c r="J156" s="18"/>
      <c r="L156" s="24"/>
      <c r="M156" s="19"/>
    </row>
    <row r="157" customFormat="false" ht="15" hidden="false" customHeight="false" outlineLevel="0" collapsed="false">
      <c r="A157" s="17" t="n">
        <v>43343</v>
      </c>
      <c r="B157" s="18" t="n">
        <v>18198.62</v>
      </c>
      <c r="C157" s="24" t="n">
        <v>0.00207620769367104</v>
      </c>
      <c r="D157" s="19" t="n">
        <v>166.149798140077</v>
      </c>
      <c r="F157" s="17" t="n">
        <v>43343</v>
      </c>
      <c r="I157" s="24"/>
      <c r="J157" s="18"/>
      <c r="L157" s="24"/>
      <c r="M157" s="19"/>
    </row>
    <row r="158" customFormat="false" ht="15" hidden="false" customHeight="false" outlineLevel="0" collapsed="false">
      <c r="A158" s="17" t="n">
        <v>43373</v>
      </c>
      <c r="B158" s="63" t="n">
        <v>18235.9</v>
      </c>
      <c r="C158" s="24" t="n">
        <v>0.00204850697470471</v>
      </c>
      <c r="D158" s="19" t="n">
        <v>166.490157160413</v>
      </c>
      <c r="F158" s="17" t="n">
        <v>43373</v>
      </c>
      <c r="I158" s="24"/>
      <c r="J158" s="18"/>
      <c r="L158" s="24"/>
      <c r="M158" s="19"/>
    </row>
    <row r="159" customFormat="false" ht="15" hidden="false" customHeight="false" outlineLevel="0" collapsed="false">
      <c r="A159" s="17" t="n">
        <v>43404</v>
      </c>
      <c r="B159" s="3" t="n">
        <v>18277.4</v>
      </c>
      <c r="C159" s="24" t="n">
        <v>0.00220232016640697</v>
      </c>
      <c r="D159" s="19" t="n">
        <v>166.869043945389</v>
      </c>
      <c r="F159" s="17" t="n">
        <v>43404</v>
      </c>
      <c r="I159" s="24"/>
      <c r="J159" s="18"/>
      <c r="K159" s="3" t="n">
        <v>4807.6121</v>
      </c>
      <c r="L159" s="24"/>
      <c r="M159" s="19"/>
    </row>
    <row r="160" customFormat="false" ht="15" hidden="false" customHeight="false" outlineLevel="0" collapsed="false">
      <c r="A160" s="17" t="n">
        <v>43434</v>
      </c>
      <c r="B160" s="19" t="n">
        <v>18319.31</v>
      </c>
      <c r="C160" s="24" t="n">
        <v>0.00229299572149211</v>
      </c>
      <c r="D160" s="19" t="n">
        <v>167.251673949206</v>
      </c>
      <c r="F160" s="17" t="n">
        <v>43434</v>
      </c>
      <c r="I160" s="24"/>
      <c r="J160" s="18"/>
      <c r="K160" s="18" t="n">
        <v>4812.5415</v>
      </c>
      <c r="L160" s="24"/>
      <c r="M160" s="19"/>
    </row>
    <row r="161" customFormat="false" ht="15" hidden="false" customHeight="false" outlineLevel="0" collapsed="false">
      <c r="A161" s="17" t="n">
        <v>43465</v>
      </c>
      <c r="B161" s="3" t="n">
        <v>18362.684</v>
      </c>
      <c r="C161" s="24" t="n">
        <v>0.00229128928489532</v>
      </c>
      <c r="D161" s="19"/>
      <c r="F161" s="17" t="n">
        <v>43465</v>
      </c>
      <c r="I161" s="24"/>
      <c r="J161" s="18"/>
      <c r="K161" s="18" t="n">
        <v>4819.2415</v>
      </c>
      <c r="L161" s="24"/>
      <c r="M161" s="19"/>
    </row>
    <row r="162" customFormat="false" ht="15" hidden="false" customHeight="false" outlineLevel="0" collapsed="false">
      <c r="A162" s="17" t="n">
        <v>43496</v>
      </c>
      <c r="B162" s="3" t="n">
        <v>18407.69</v>
      </c>
      <c r="C162" s="24" t="n">
        <v>0.00237188602430805</v>
      </c>
      <c r="D162" s="19"/>
      <c r="F162" s="17" t="n">
        <v>43496</v>
      </c>
      <c r="I162" s="24"/>
      <c r="J162" s="18"/>
      <c r="K162" s="3" t="n">
        <v>4825.82</v>
      </c>
      <c r="L162" s="24"/>
      <c r="M162" s="19"/>
    </row>
    <row r="163" customFormat="false" ht="15" hidden="false" customHeight="false" outlineLevel="0" collapsed="false">
      <c r="A163" s="17" t="n">
        <v>43524</v>
      </c>
      <c r="B163" s="3" t="n">
        <v>18449.16</v>
      </c>
      <c r="C163" s="24" t="n">
        <v>0.00241378156939547</v>
      </c>
      <c r="D163" s="19"/>
      <c r="F163" s="17" t="n">
        <v>43524</v>
      </c>
      <c r="I163" s="24"/>
      <c r="J163" s="18"/>
      <c r="K163" s="3" t="n">
        <v>4832.1058</v>
      </c>
      <c r="L163" s="24"/>
      <c r="M163" s="19"/>
    </row>
    <row r="164" customFormat="false" ht="15" hidden="false" customHeight="false" outlineLevel="0" collapsed="false">
      <c r="A164" s="17" t="n">
        <v>43555</v>
      </c>
      <c r="B164" s="3" t="n">
        <v>18496.82</v>
      </c>
      <c r="C164" s="24" t="n">
        <v>0.00249998269000661</v>
      </c>
      <c r="D164" s="19"/>
      <c r="F164" s="17" t="n">
        <v>43555</v>
      </c>
      <c r="I164" s="24"/>
      <c r="J164" s="18"/>
      <c r="K164" s="18" t="n">
        <v>4839.1073</v>
      </c>
      <c r="L164" s="24"/>
      <c r="M164" s="19"/>
    </row>
    <row r="165" customFormat="false" ht="15" hidden="false" customHeight="false" outlineLevel="0" collapsed="false">
      <c r="A165" s="17" t="n">
        <v>43585</v>
      </c>
      <c r="B165" s="3" t="n">
        <v>18543.07</v>
      </c>
      <c r="C165" s="24" t="n">
        <v>0.00250042980360954</v>
      </c>
      <c r="D165" s="64"/>
      <c r="F165" s="17" t="n">
        <v>43585</v>
      </c>
      <c r="I165" s="24"/>
      <c r="J165" s="18"/>
      <c r="K165" s="18" t="n">
        <v>4845.9628</v>
      </c>
      <c r="L165" s="24"/>
      <c r="M165" s="19"/>
    </row>
    <row r="166" customFormat="false" ht="15" hidden="false" customHeight="false" outlineLevel="0" collapsed="false">
      <c r="A166" s="17" t="n">
        <v>43616</v>
      </c>
      <c r="B166" s="3" t="n">
        <v>18591.02</v>
      </c>
      <c r="C166" s="24" t="n">
        <v>0.00250245648678736</v>
      </c>
      <c r="D166" s="64"/>
      <c r="F166" s="17" t="n">
        <v>43616</v>
      </c>
      <c r="I166" s="24"/>
      <c r="J166" s="18"/>
      <c r="K166" s="18" t="n">
        <v>4852.5891</v>
      </c>
      <c r="L166" s="24"/>
      <c r="M166" s="19"/>
    </row>
    <row r="167" customFormat="false" ht="15" hidden="false" customHeight="false" outlineLevel="0" collapsed="false">
      <c r="A167" s="17" t="n">
        <v>43646</v>
      </c>
      <c r="B167" s="3" t="n">
        <v>18632.31</v>
      </c>
      <c r="C167" s="24" t="n">
        <v>0.00222096474534483</v>
      </c>
      <c r="D167" s="64"/>
      <c r="F167" s="17" t="n">
        <v>43646</v>
      </c>
      <c r="I167" s="24"/>
      <c r="J167" s="18"/>
      <c r="K167" s="3" t="n">
        <v>4858.4077</v>
      </c>
      <c r="L167" s="24"/>
      <c r="M167" s="19"/>
    </row>
    <row r="168" customFormat="false" ht="15" hidden="false" customHeight="false" outlineLevel="0" collapsed="false">
      <c r="A168" s="17" t="n">
        <v>43677</v>
      </c>
      <c r="B168" s="3" t="n">
        <v>18672.31</v>
      </c>
      <c r="C168" s="24" t="n">
        <v>0.00207755653589669</v>
      </c>
      <c r="D168" s="64"/>
      <c r="F168" s="17" t="n">
        <v>43677</v>
      </c>
      <c r="I168" s="24"/>
      <c r="J168" s="18"/>
      <c r="K168" s="3" t="n">
        <v>4863.4466</v>
      </c>
      <c r="L168" s="24"/>
      <c r="M168" s="19"/>
    </row>
    <row r="169" customFormat="false" ht="15" hidden="false" customHeight="false" outlineLevel="0" collapsed="false">
      <c r="A169" s="17" t="n">
        <v>43708</v>
      </c>
      <c r="B169" s="3" t="n">
        <v>18712.55</v>
      </c>
      <c r="C169" s="24" t="n">
        <v>0.00208554461038137</v>
      </c>
      <c r="D169" s="64"/>
      <c r="F169" s="17" t="n">
        <v>43708</v>
      </c>
      <c r="I169" s="24"/>
      <c r="J169" s="18"/>
      <c r="K169" s="3" t="n">
        <v>4868.1253</v>
      </c>
      <c r="L169" s="24"/>
      <c r="M169" s="19"/>
    </row>
    <row r="170" customFormat="false" ht="15" hidden="false" customHeight="false" outlineLevel="0" collapsed="false">
      <c r="A170" s="17" t="n">
        <v>43738</v>
      </c>
      <c r="B170" s="3" t="n">
        <v>18744.77</v>
      </c>
      <c r="C170" s="24" t="n">
        <v>0.00172183908660228</v>
      </c>
      <c r="D170" s="64"/>
      <c r="F170" s="17" t="n">
        <v>43738</v>
      </c>
      <c r="I170" s="24"/>
      <c r="J170" s="18"/>
      <c r="K170" s="3" t="n">
        <v>4873.326</v>
      </c>
      <c r="L170" s="24"/>
      <c r="M170" s="19"/>
    </row>
    <row r="171" customFormat="false" ht="15" hidden="false" customHeight="false" outlineLevel="0" collapsed="false">
      <c r="A171" s="17" t="n">
        <v>43769</v>
      </c>
      <c r="B171" s="3" t="n">
        <v>18776.102</v>
      </c>
      <c r="C171" s="24" t="n">
        <v>0.00161758668271631</v>
      </c>
      <c r="D171" s="64"/>
      <c r="F171" s="17" t="n">
        <v>43769</v>
      </c>
      <c r="I171" s="24"/>
      <c r="J171" s="18"/>
      <c r="K171" s="3" t="n">
        <v>4876.4951</v>
      </c>
      <c r="L171" s="24"/>
      <c r="M171" s="19"/>
    </row>
    <row r="172" customFormat="false" ht="15" hidden="false" customHeight="false" outlineLevel="0" collapsed="false">
      <c r="A172" s="17" t="n">
        <v>43799</v>
      </c>
      <c r="B172" s="3" t="n">
        <v>18802.79</v>
      </c>
      <c r="C172" s="24" t="n">
        <v>0.00142138128563651</v>
      </c>
      <c r="D172" s="64"/>
      <c r="F172" s="17" t="n">
        <v>43799</v>
      </c>
      <c r="I172" s="24"/>
      <c r="J172" s="18"/>
      <c r="K172" s="3" t="n">
        <v>4879.8683</v>
      </c>
      <c r="L172" s="24"/>
      <c r="M172" s="19"/>
    </row>
    <row r="173" customFormat="false" ht="15" hidden="false" customHeight="false" outlineLevel="0" collapsed="false">
      <c r="A173" s="17" t="n">
        <v>43830</v>
      </c>
      <c r="B173" s="3" t="n">
        <v>18830.68</v>
      </c>
      <c r="C173" s="24" t="n">
        <v>0.00143544243065221</v>
      </c>
      <c r="D173" s="64"/>
      <c r="F173" s="17" t="n">
        <v>43830</v>
      </c>
      <c r="I173" s="24"/>
      <c r="J173" s="18"/>
      <c r="K173" s="3" t="n">
        <v>4882.8959</v>
      </c>
      <c r="L173" s="24"/>
      <c r="M173" s="19"/>
    </row>
    <row r="174" customFormat="false" ht="15" hidden="false" customHeight="false" outlineLevel="0" collapsed="false">
      <c r="A174" s="17" t="n">
        <v>43861</v>
      </c>
      <c r="B174" s="3" t="n">
        <v>18861.86</v>
      </c>
      <c r="C174" s="24" t="n">
        <v>0.00160239532233506</v>
      </c>
      <c r="D174" s="64"/>
      <c r="F174" s="17" t="n">
        <v>43861</v>
      </c>
      <c r="I174" s="24"/>
      <c r="J174" s="18"/>
      <c r="K174" s="3" t="n">
        <v>4885.3887</v>
      </c>
      <c r="L174" s="24"/>
      <c r="M174" s="19"/>
    </row>
    <row r="175" customFormat="false" ht="15" hidden="false" customHeight="false" outlineLevel="0" collapsed="false">
      <c r="A175" s="17" t="n">
        <v>43890</v>
      </c>
      <c r="B175" s="3" t="n">
        <v>18887.8867</v>
      </c>
      <c r="C175" s="24" t="n">
        <v>0.00142743994567841</v>
      </c>
      <c r="D175" s="64"/>
      <c r="F175" s="17" t="n">
        <v>43890</v>
      </c>
      <c r="I175" s="24"/>
      <c r="J175" s="18"/>
      <c r="K175" s="3" t="n">
        <v>4887.7164</v>
      </c>
      <c r="L175" s="24"/>
      <c r="M175" s="19"/>
      <c r="Q175" s="17"/>
    </row>
    <row r="176" customFormat="false" ht="15" hidden="false" customHeight="false" outlineLevel="0" collapsed="false">
      <c r="A176" s="17" t="n">
        <v>43921</v>
      </c>
      <c r="B176" s="3" t="n">
        <v>18908.77</v>
      </c>
      <c r="C176" s="24" t="n">
        <v>0.00109713430180073</v>
      </c>
      <c r="D176" s="64"/>
      <c r="F176" s="17" t="n">
        <v>43921</v>
      </c>
      <c r="I176" s="24"/>
      <c r="J176" s="18"/>
      <c r="K176" s="3" t="n">
        <v>4892.3528</v>
      </c>
      <c r="L176" s="24"/>
      <c r="M176" s="19"/>
      <c r="Q176" s="17"/>
      <c r="R176" s="65"/>
    </row>
    <row r="177" customFormat="false" ht="15" hidden="false" customHeight="false" outlineLevel="0" collapsed="false">
      <c r="A177" s="17" t="n">
        <v>43951</v>
      </c>
      <c r="B177" s="3" t="n">
        <v>18917.93</v>
      </c>
      <c r="C177" s="24" t="n">
        <f aca="false">(B177/B176-1)/(A177-A176)*30</f>
        <v>0.00048443129828124</v>
      </c>
      <c r="D177" s="19" t="n">
        <v>100</v>
      </c>
      <c r="F177" s="17" t="n">
        <v>43951</v>
      </c>
      <c r="G177" s="4" t="n">
        <v>1000.016</v>
      </c>
      <c r="H177" s="4" t="n">
        <f aca="false">+G177</f>
        <v>1000.016</v>
      </c>
      <c r="I177" s="24"/>
      <c r="J177" s="18" t="n">
        <v>100</v>
      </c>
      <c r="K177" s="3" t="n">
        <v>4903.1164</v>
      </c>
      <c r="L177" s="24"/>
      <c r="M177" s="19" t="n">
        <v>100</v>
      </c>
      <c r="Q177" s="66"/>
    </row>
    <row r="178" customFormat="false" ht="15" hidden="false" customHeight="false" outlineLevel="0" collapsed="false">
      <c r="A178" s="17" t="n">
        <v>43982</v>
      </c>
      <c r="B178" s="3" t="n">
        <v>18925.24</v>
      </c>
      <c r="C178" s="24" t="n">
        <f aca="false">(B178/B177-1)/(A178-A177)*30</f>
        <v>0.000373941205427323</v>
      </c>
      <c r="D178" s="19" t="n">
        <f aca="false">+D177*(1+C178)</f>
        <v>100.037394120543</v>
      </c>
      <c r="F178" s="17" t="n">
        <v>43982</v>
      </c>
      <c r="G178" s="4" t="n">
        <v>1001.8702</v>
      </c>
      <c r="H178" s="4" t="n">
        <f aca="false">+G178</f>
        <v>1001.8702</v>
      </c>
      <c r="I178" s="24" t="n">
        <f aca="false">+(H178/H177-1)/(F178-F177)*30</f>
        <v>0.00179435838703995</v>
      </c>
      <c r="J178" s="18" t="n">
        <f aca="false">+J177*(1+I178)</f>
        <v>100.179435838704</v>
      </c>
      <c r="K178" s="3" t="n">
        <v>4903.90225</v>
      </c>
      <c r="L178" s="24" t="n">
        <f aca="false">+(K178/K177-1)/(F178-F177)*30</f>
        <v>0.000155105434576301</v>
      </c>
      <c r="M178" s="19" t="n">
        <f aca="false">+M177*(1+L178)</f>
        <v>100.015510543458</v>
      </c>
      <c r="Q178" s="66"/>
    </row>
    <row r="179" customFormat="false" ht="15" hidden="false" customHeight="false" outlineLevel="0" collapsed="false">
      <c r="A179" s="17" t="n">
        <v>44012</v>
      </c>
      <c r="B179" s="3" t="n">
        <v>18932.63</v>
      </c>
      <c r="C179" s="24" t="n">
        <f aca="false">(B179/B178-1)/(A179-A178)*30</f>
        <v>0.000390483819491916</v>
      </c>
      <c r="D179" s="19" t="n">
        <f aca="false">+D178*(1+C179)</f>
        <v>100.076457104291</v>
      </c>
      <c r="F179" s="17" t="n">
        <v>44012</v>
      </c>
      <c r="G179" s="4" t="n">
        <v>1004.7359</v>
      </c>
      <c r="H179" s="4" t="n">
        <f aca="false">+G179</f>
        <v>1004.7359</v>
      </c>
      <c r="I179" s="24" t="n">
        <f aca="false">+(H179/H178-1)/(F179-F178)*30</f>
        <v>0.00286035057235967</v>
      </c>
      <c r="J179" s="18" t="n">
        <f aca="false">+J178*(1+I179)</f>
        <v>100.465984145344</v>
      </c>
      <c r="K179" s="3" t="n">
        <v>4904.6881</v>
      </c>
      <c r="L179" s="24" t="n">
        <f aca="false">+(K179/K178-1)/(F179-F178)*30</f>
        <v>0.000160249931572487</v>
      </c>
      <c r="M179" s="19" t="n">
        <f aca="false">+M178*(1+L179)</f>
        <v>100.031538022178</v>
      </c>
    </row>
    <row r="180" customFormat="false" ht="15" hidden="false" customHeight="false" outlineLevel="0" collapsed="false">
      <c r="A180" s="17" t="n">
        <v>44043</v>
      </c>
      <c r="B180" s="3" t="n">
        <v>18940.74</v>
      </c>
      <c r="C180" s="24" t="n">
        <f aca="false">(B180/B179-1)/(A180-A179)*30</f>
        <v>0.000414542886898211</v>
      </c>
      <c r="D180" s="19" t="n">
        <f aca="false">+D179*(1+C180)</f>
        <v>100.11794308773</v>
      </c>
      <c r="F180" s="17" t="n">
        <v>44043</v>
      </c>
      <c r="G180" s="4" t="n">
        <v>1007.1167</v>
      </c>
      <c r="H180" s="4" t="n">
        <f aca="false">+G180</f>
        <v>1007.1167</v>
      </c>
      <c r="I180" s="24" t="n">
        <f aca="false">+(H180/H179-1)/(F180-F179)*30</f>
        <v>0.00229313991865919</v>
      </c>
      <c r="J180" s="18" t="n">
        <f aca="false">+J179*(1+I180)</f>
        <v>100.696366704055</v>
      </c>
      <c r="K180" s="3" t="n">
        <v>4905.1791</v>
      </c>
      <c r="L180" s="24" t="n">
        <f aca="false">+(K180/K179-1)/(F180-F179)*30</f>
        <v>9.68790024226441E-005</v>
      </c>
      <c r="M180" s="19" t="n">
        <f aca="false">+M179*(1+L180)</f>
        <v>100.041228977793</v>
      </c>
    </row>
    <row r="181" customFormat="false" ht="15" hidden="false" customHeight="false" outlineLevel="0" collapsed="false">
      <c r="A181" s="17" t="n">
        <v>44074</v>
      </c>
      <c r="B181" s="3" t="n">
        <v>18948.69</v>
      </c>
      <c r="C181" s="24" t="n">
        <f aca="false">(B181/B180-1)/(A181-A180)*30</f>
        <v>0.000406190486068316</v>
      </c>
      <c r="D181" s="19" t="n">
        <f aca="false">+D180*(1+C181)</f>
        <v>100.158610043696</v>
      </c>
      <c r="F181" s="17" t="n">
        <v>44074</v>
      </c>
      <c r="G181" s="4" t="n">
        <v>1009.1755</v>
      </c>
      <c r="H181" s="4" t="n">
        <f aca="false">+G181</f>
        <v>1009.1755</v>
      </c>
      <c r="I181" s="24" t="n">
        <f aca="false">+(H181/H180-1)/(F181-F180)*30</f>
        <v>0.00197830807172015</v>
      </c>
      <c r="J181" s="18" t="n">
        <f aca="false">+J180*(1+I181)</f>
        <v>100.895575139099</v>
      </c>
      <c r="K181" s="3" t="n">
        <v>4906.1183</v>
      </c>
      <c r="L181" s="24" t="n">
        <f aca="false">+(K181/K180-1)/(F181-F180)*30</f>
        <v>0.000185294605411322</v>
      </c>
      <c r="M181" s="19" t="n">
        <f aca="false">+M180*(1+L181)</f>
        <v>100.059766077841</v>
      </c>
    </row>
    <row r="182" customFormat="false" ht="15" hidden="false" customHeight="false" outlineLevel="0" collapsed="false">
      <c r="A182" s="17" t="n">
        <v>44104</v>
      </c>
      <c r="B182" s="3" t="n">
        <v>18956.17</v>
      </c>
      <c r="C182" s="24" t="n">
        <f aca="false">(B182/B181-1)/(A182-A181)*30</f>
        <v>0.000394750243948305</v>
      </c>
      <c r="D182" s="19" t="n">
        <f aca="false">+D181*(1+C182)</f>
        <v>100.198147679445</v>
      </c>
      <c r="F182" s="17" t="n">
        <v>44104</v>
      </c>
      <c r="G182" s="4" t="n">
        <v>1011.6004</v>
      </c>
      <c r="H182" s="4" t="n">
        <f aca="false">+G182</f>
        <v>1011.6004</v>
      </c>
      <c r="I182" s="24" t="n">
        <f aca="false">+(H182/H181-1)/(F182-F181)*30</f>
        <v>0.00240285262573248</v>
      </c>
      <c r="J182" s="18" t="n">
        <f aca="false">+J181*(1+I182)</f>
        <v>101.138012336746</v>
      </c>
      <c r="K182" s="3" t="n">
        <v>4906.466</v>
      </c>
      <c r="L182" s="24" t="n">
        <f aca="false">+(K182/K181-1)/(F182-F181)*30</f>
        <v>7.08706922130098E-005</v>
      </c>
      <c r="M182" s="19" t="n">
        <f aca="false">+M181*(1+L182)</f>
        <v>100.066857382726</v>
      </c>
    </row>
    <row r="183" customFormat="false" ht="15" hidden="false" customHeight="false" outlineLevel="0" collapsed="false">
      <c r="A183" s="17" t="n">
        <v>44135</v>
      </c>
      <c r="B183" s="3" t="n">
        <v>18963.23</v>
      </c>
      <c r="C183" s="24" t="n">
        <f aca="false">(B183/B182-1)/(A183-A182)*30</f>
        <v>0.000360423970903369</v>
      </c>
      <c r="D183" s="19" t="n">
        <f aca="false">+D182*(1+C183)</f>
        <v>100.234261493709</v>
      </c>
      <c r="F183" s="17" t="n">
        <v>44135</v>
      </c>
      <c r="G183" s="4" t="n">
        <v>1014.3109</v>
      </c>
      <c r="H183" s="4" t="n">
        <f aca="false">+G183</f>
        <v>1014.3109</v>
      </c>
      <c r="I183" s="24" t="n">
        <f aca="false">+(H183/H182-1)/(F183-F182)*30</f>
        <v>0.00259298485462148</v>
      </c>
      <c r="J183" s="18" t="n">
        <f aca="false">+J182*(1+I183)</f>
        <v>101.400261670962</v>
      </c>
      <c r="K183" s="3" t="n">
        <v>4906.7963</v>
      </c>
      <c r="L183" s="24" t="n">
        <f aca="false">+(K183/K182-1)/(F183-F182)*30</f>
        <v>6.51477379625694E-005</v>
      </c>
      <c r="M183" s="19" t="n">
        <f aca="false">+M182*(1+L183)</f>
        <v>100.073376512129</v>
      </c>
    </row>
    <row r="184" customFormat="false" ht="15" hidden="false" customHeight="false" outlineLevel="0" collapsed="false">
      <c r="A184" s="17" t="n">
        <v>44165</v>
      </c>
      <c r="B184" s="3" t="n">
        <v>18969.48</v>
      </c>
      <c r="C184" s="24" t="n">
        <f aca="false">(B184/B183-1)/(A184-A183)*30</f>
        <v>0.00032958520252091</v>
      </c>
      <c r="D184" s="19" t="n">
        <f aca="false">+D183*(1+C184)</f>
        <v>100.267297223082</v>
      </c>
      <c r="F184" s="17" t="n">
        <v>44165</v>
      </c>
      <c r="G184" s="4" t="n">
        <v>1016.8401</v>
      </c>
      <c r="H184" s="4" t="n">
        <f aca="false">+G184</f>
        <v>1016.8401</v>
      </c>
      <c r="I184" s="24" t="n">
        <f aca="false">+(H184/H183-1)/(F184-F183)*30</f>
        <v>0.00249351554833943</v>
      </c>
      <c r="J184" s="18" t="n">
        <f aca="false">+J183*(1+I184)</f>
        <v>101.653104800044</v>
      </c>
      <c r="K184" s="3" t="n">
        <v>4907.0953</v>
      </c>
      <c r="L184" s="24" t="n">
        <f aca="false">+(K184/K183-1)/(F184-F183)*30</f>
        <v>6.09358900838242E-005</v>
      </c>
      <c r="M184" s="19" t="n">
        <f aca="false">+M183*(1+L184)</f>
        <v>100.079474572401</v>
      </c>
    </row>
    <row r="185" customFormat="false" ht="15" hidden="false" customHeight="false" outlineLevel="0" collapsed="false">
      <c r="A185" s="17" t="n">
        <v>44196</v>
      </c>
      <c r="B185" s="3" t="n">
        <v>18976.88</v>
      </c>
      <c r="C185" s="24" t="n">
        <f aca="false">(B185/B184-1)/(A185-A184)*30</f>
        <v>0.000377516427576409</v>
      </c>
      <c r="D185" s="19" t="n">
        <f aca="false">+D184*(1+C185)</f>
        <v>100.305149774933</v>
      </c>
      <c r="F185" s="17" t="n">
        <v>44196</v>
      </c>
      <c r="G185" s="4" t="n">
        <v>1007.9452</v>
      </c>
      <c r="H185" s="4" t="n">
        <f aca="false">+G185+$S$144</f>
        <v>1018.95221594982</v>
      </c>
      <c r="I185" s="24" t="n">
        <f aca="false">+(H185/H184-1)/(F185-F184)*30</f>
        <v>0.00201013234750295</v>
      </c>
      <c r="J185" s="18" t="n">
        <f aca="false">+J184*(1+I185)</f>
        <v>101.857440994227</v>
      </c>
      <c r="K185" s="3" t="n">
        <v>4907.3928</v>
      </c>
      <c r="L185" s="24" t="n">
        <f aca="false">+(K185/K184-1)/(F185-F184)*30</f>
        <v>5.86708038472924E-005</v>
      </c>
      <c r="M185" s="19" t="n">
        <f aca="false">+M184*(1+L185)</f>
        <v>100.085346315622</v>
      </c>
    </row>
    <row r="186" customFormat="false" ht="15" hidden="false" customHeight="false" outlineLevel="0" collapsed="false">
      <c r="A186" s="17" t="n">
        <v>44227</v>
      </c>
      <c r="B186" s="3" t="n">
        <v>18982.04</v>
      </c>
      <c r="C186" s="24" t="n">
        <f aca="false">(B186/B185-1)/(A186-A185)*30</f>
        <v>0.000263138534210829</v>
      </c>
      <c r="D186" s="19" t="n">
        <f aca="false">+D185*(1+C186)</f>
        <v>100.331543925018</v>
      </c>
      <c r="F186" s="17" t="n">
        <v>44227</v>
      </c>
      <c r="G186" s="4" t="n">
        <v>1009.9216</v>
      </c>
      <c r="H186" s="4" t="n">
        <f aca="false">+G186+$S$144</f>
        <v>1020.92861594982</v>
      </c>
      <c r="I186" s="24" t="n">
        <f aca="false">+(H186/H185-1)/(F186-F185)*30</f>
        <v>0.00187707051552692</v>
      </c>
      <c r="J186" s="18" t="n">
        <f aca="false">+J185*(1+I186)</f>
        <v>102.048634593504</v>
      </c>
      <c r="K186" s="3" t="n">
        <v>4907.6377</v>
      </c>
      <c r="L186" s="24" t="n">
        <f aca="false">+(K186/K185-1)/(F186-F185)*30</f>
        <v>4.82944833762698E-005</v>
      </c>
      <c r="M186" s="19" t="n">
        <f aca="false">+M185*(1+L186)</f>
        <v>100.090179885716</v>
      </c>
    </row>
    <row r="187" customFormat="false" ht="15" hidden="false" customHeight="false" outlineLevel="0" collapsed="false">
      <c r="A187" s="17" t="n">
        <v>44255</v>
      </c>
      <c r="B187" s="3" t="n">
        <v>18986.58</v>
      </c>
      <c r="C187" s="24" t="n">
        <f aca="false">(B187/B186-1)/(A187-A186)*30</f>
        <v>0.000256257268148596</v>
      </c>
      <c r="D187" s="19" t="n">
        <f aca="false">+D186*(1+C187)</f>
        <v>100.357254612374</v>
      </c>
      <c r="F187" s="17" t="n">
        <v>44255</v>
      </c>
      <c r="G187" s="4" t="n">
        <v>1011.5947</v>
      </c>
      <c r="H187" s="4" t="n">
        <f aca="false">+G187+$S$144</f>
        <v>1022.60171594982</v>
      </c>
      <c r="I187" s="24" t="n">
        <f aca="false">+(H187/H186-1)/(F187-F186)*30</f>
        <v>0.00175585943507837</v>
      </c>
      <c r="J187" s="18" t="n">
        <f aca="false">+J186*(1+I187)</f>
        <v>102.227817651392</v>
      </c>
      <c r="K187" s="3" t="n">
        <v>4907.9052</v>
      </c>
      <c r="L187" s="24" t="n">
        <f aca="false">+(K187/K186-1)/(F187-F186)*30</f>
        <v>5.84002243802268E-005</v>
      </c>
      <c r="M187" s="19" t="n">
        <f aca="false">+M186*(1+L187)</f>
        <v>100.09602517468</v>
      </c>
    </row>
    <row r="188" customFormat="false" ht="15" hidden="false" customHeight="false" outlineLevel="0" collapsed="false">
      <c r="A188" s="17" t="n">
        <v>44286</v>
      </c>
      <c r="B188" s="19" t="n">
        <v>18991.5</v>
      </c>
      <c r="C188" s="24" t="n">
        <f aca="false">(B188/B187-1)/(A188-A187)*30</f>
        <v>0.000250771351269013</v>
      </c>
      <c r="D188" s="19" t="n">
        <f aca="false">+D187*(1+C188)</f>
        <v>100.382421336723</v>
      </c>
      <c r="F188" s="17" t="n">
        <v>44286</v>
      </c>
      <c r="G188" s="4" t="n">
        <v>1013.1785</v>
      </c>
      <c r="H188" s="4" t="n">
        <f aca="false">+G188+$S$144</f>
        <v>1024.18551594982</v>
      </c>
      <c r="I188" s="24" t="n">
        <f aca="false">+(H188/H187-1)/(F188-F187)*30</f>
        <v>0.00149883346909474</v>
      </c>
      <c r="J188" s="18" t="n">
        <f aca="false">+J187*(1+I188)</f>
        <v>102.38104012596</v>
      </c>
      <c r="K188" s="3" t="n">
        <v>4908.1704</v>
      </c>
      <c r="L188" s="24" t="n">
        <f aca="false">+(K188/K187-1)/(F188-F187)*30</f>
        <v>5.22922002018035E-005</v>
      </c>
      <c r="M188" s="19" t="n">
        <f aca="false">+M187*(1+L188)</f>
        <v>100.101259416068</v>
      </c>
    </row>
    <row r="189" customFormat="false" ht="15" hidden="false" customHeight="false" outlineLevel="0" collapsed="false">
      <c r="A189" s="17" t="n">
        <v>44316</v>
      </c>
      <c r="B189" s="3" t="n">
        <v>18997.09</v>
      </c>
      <c r="C189" s="24" t="n">
        <f aca="false">(B189/B188-1)/(A189-A188)*30</f>
        <v>0.000294342205723552</v>
      </c>
      <c r="D189" s="19" t="n">
        <f aca="false">+D188*(1+C189)</f>
        <v>100.411968120035</v>
      </c>
      <c r="F189" s="17" t="n">
        <v>44316</v>
      </c>
      <c r="G189" s="4" t="n">
        <v>1014.7514</v>
      </c>
      <c r="H189" s="4" t="n">
        <f aca="false">+G189+$S$144</f>
        <v>1025.75841594982</v>
      </c>
      <c r="I189" s="24" t="n">
        <f aca="false">+(H189/H188-1)/(F189-F188)*30</f>
        <v>0.00153575692636232</v>
      </c>
      <c r="J189" s="18" t="n">
        <f aca="false">+J188*(1+I189)</f>
        <v>102.538272517462</v>
      </c>
      <c r="K189" s="3" t="n">
        <v>4908.4956</v>
      </c>
      <c r="L189" s="24" t="n">
        <f aca="false">+(K189/K188-1)/(F189-F188)*30</f>
        <v>6.6256868343384E-005</v>
      </c>
      <c r="M189" s="19" t="n">
        <f aca="false">+M188*(1+L189)</f>
        <v>100.107891812034</v>
      </c>
    </row>
    <row r="190" customFormat="false" ht="15" hidden="false" customHeight="false" outlineLevel="0" collapsed="false">
      <c r="A190" s="17" t="n">
        <v>44347</v>
      </c>
      <c r="B190" s="3" t="n">
        <v>19001.7</v>
      </c>
      <c r="C190" s="24" t="n">
        <f aca="false">(B190/B189-1)/(A190-A189)*30</f>
        <v>0.000234840721530632</v>
      </c>
      <c r="D190" s="19" t="n">
        <f aca="false">+D189*(1+C190)</f>
        <v>100.435548939078</v>
      </c>
      <c r="F190" s="17" t="n">
        <v>44347</v>
      </c>
      <c r="G190" s="4" t="n">
        <v>1016.5706</v>
      </c>
      <c r="H190" s="4" t="n">
        <f aca="false">+G190+$S$144</f>
        <v>1027.57761594982</v>
      </c>
      <c r="I190" s="24" t="n">
        <f aca="false">+(H190/H189-1)/(F190-F189)*30</f>
        <v>0.00171630678496767</v>
      </c>
      <c r="J190" s="18" t="n">
        <f aca="false">+J189*(1+I190)</f>
        <v>102.714259650303</v>
      </c>
      <c r="K190" s="3" t="n">
        <v>4908.7905</v>
      </c>
      <c r="L190" s="24" t="n">
        <f aca="false">+(K190/K189-1)/(F190-F189)*30</f>
        <v>5.81414592230296E-005</v>
      </c>
      <c r="M190" s="19" t="n">
        <f aca="false">+M189*(1+L190)</f>
        <v>100.113712230944</v>
      </c>
    </row>
    <row r="191" customFormat="false" ht="15" hidden="false" customHeight="false" outlineLevel="0" collapsed="false">
      <c r="A191" s="17" t="n">
        <v>44377</v>
      </c>
      <c r="B191" s="3" t="n">
        <v>19006.88</v>
      </c>
      <c r="C191" s="24" t="n">
        <f aca="false">(B191/B190-1)/(A191-A190)*30</f>
        <v>0.000272607187777885</v>
      </c>
      <c r="D191" s="19" t="n">
        <f aca="false">+D190*(1+C191)</f>
        <v>100.462928391628</v>
      </c>
      <c r="F191" s="17" t="n">
        <v>44377</v>
      </c>
      <c r="G191" s="4" t="n">
        <v>1018.052</v>
      </c>
      <c r="H191" s="4" t="n">
        <f aca="false">+G191+$S$144</f>
        <v>1029.05901594982</v>
      </c>
      <c r="I191" s="24" t="n">
        <f aca="false">+(H191/H190-1)/(F191-F190)*30</f>
        <v>0.00144164292507543</v>
      </c>
      <c r="J191" s="18" t="n">
        <f aca="false">+J190*(1+I191)</f>
        <v>102.862336936032</v>
      </c>
      <c r="K191" s="3" t="n">
        <v>4909.0847</v>
      </c>
      <c r="L191" s="24" t="n">
        <f aca="false">+(K191/K190-1)/(F191-F190)*30</f>
        <v>5.99332972144318E-005</v>
      </c>
      <c r="M191" s="19" t="n">
        <f aca="false">+M190*(1+L191)</f>
        <v>100.119712375814</v>
      </c>
    </row>
    <row r="192" customFormat="false" ht="15" hidden="false" customHeight="false" outlineLevel="0" collapsed="false">
      <c r="A192" s="17" t="n">
        <v>44408</v>
      </c>
      <c r="B192" s="3" t="n">
        <v>19016.42</v>
      </c>
      <c r="C192" s="24" t="n">
        <f aca="false">(B192/B191-1)/(A192-A191)*30</f>
        <v>0.000485732432914423</v>
      </c>
      <c r="D192" s="19" t="n">
        <f aca="false">+D191*(1+C192)</f>
        <v>100.511726494253</v>
      </c>
      <c r="F192" s="17" t="n">
        <v>44408</v>
      </c>
      <c r="G192" s="4" t="n">
        <v>1019.8124</v>
      </c>
      <c r="H192" s="4" t="n">
        <f aca="false">+G192+$S$144</f>
        <v>1030.81941594982</v>
      </c>
      <c r="I192" s="24" t="n">
        <f aca="false">+(H192/H191-1)/(F192-F191)*30</f>
        <v>0.00165550554129647</v>
      </c>
      <c r="J192" s="18" t="n">
        <f aca="false">+J191*(1+I192)</f>
        <v>103.03262610482</v>
      </c>
      <c r="K192" s="3" t="n">
        <v>4909.3885</v>
      </c>
      <c r="L192" s="24" t="n">
        <f aca="false">+(K192/K191-1)/(F192-F191)*30</f>
        <v>5.98889646373815E-005</v>
      </c>
      <c r="M192" s="19" t="n">
        <f aca="false">+M191*(1+L192)</f>
        <v>100.125708441728</v>
      </c>
    </row>
    <row r="193" customFormat="false" ht="15" hidden="false" customHeight="false" outlineLevel="0" collapsed="false">
      <c r="A193" s="17" t="n">
        <v>44439</v>
      </c>
      <c r="B193" s="3" t="n">
        <v>19028.38</v>
      </c>
      <c r="C193" s="24" t="n">
        <f aca="false">(B193/B192-1)/(A193-A192)*30</f>
        <v>0.0006086420865963</v>
      </c>
      <c r="D193" s="19" t="n">
        <f aca="false">+D192*(1+C193)</f>
        <v>100.572902161194</v>
      </c>
      <c r="F193" s="17" t="n">
        <v>44439</v>
      </c>
      <c r="G193" s="4" t="n">
        <v>1021.0467</v>
      </c>
      <c r="H193" s="4" t="n">
        <f aca="false">+G193+$S$144</f>
        <v>1032.05371594982</v>
      </c>
      <c r="I193" s="24" t="n">
        <f aca="false">+(H193/H192-1)/(F193-F192)*30</f>
        <v>0.00115877121878528</v>
      </c>
      <c r="J193" s="18" t="n">
        <f aca="false">+J192*(1+I193)</f>
        <v>103.152017346546</v>
      </c>
      <c r="K193" s="3" t="n">
        <v>4909.6931</v>
      </c>
      <c r="L193" s="24" t="n">
        <f aca="false">+(K193/K192-1)/(F193-F192)*30</f>
        <v>6.00429551559976E-005</v>
      </c>
      <c r="M193" s="19" t="n">
        <f aca="false">+M192*(1+L193)</f>
        <v>100.13172028515</v>
      </c>
    </row>
    <row r="194" customFormat="false" ht="15" hidden="false" customHeight="false" outlineLevel="0" collapsed="false">
      <c r="A194" s="17" t="n">
        <v>44469</v>
      </c>
      <c r="B194" s="3" t="n">
        <v>19052.12</v>
      </c>
      <c r="C194" s="24" t="n">
        <f aca="false">(B194/B193-1)/(A194-A193)*30</f>
        <v>0.00124761014863051</v>
      </c>
      <c r="D194" s="19" t="n">
        <f aca="false">+D193*(1+C194)</f>
        <v>100.698377934607</v>
      </c>
      <c r="F194" s="17" t="n">
        <v>44469</v>
      </c>
      <c r="G194" s="4" t="n">
        <v>1022.6123</v>
      </c>
      <c r="H194" s="4" t="n">
        <f aca="false">+G194+$S$144</f>
        <v>1033.61931594982</v>
      </c>
      <c r="I194" s="24" t="n">
        <f aca="false">+(H194/H193-1)/(F194-F193)*30</f>
        <v>0.00151697530448724</v>
      </c>
      <c r="J194" s="18" t="n">
        <f aca="false">+J193*(1+I194)</f>
        <v>103.308496409469</v>
      </c>
      <c r="K194" s="18" t="n">
        <v>4909.1149</v>
      </c>
      <c r="L194" s="24" t="n">
        <f aca="false">+(K194/K193-1)/(F194-F193)*30</f>
        <v>-0.000117767035173966</v>
      </c>
      <c r="M194" s="19" t="n">
        <f aca="false">+M193*(1+L194)</f>
        <v>100.119928069325</v>
      </c>
    </row>
    <row r="195" customFormat="false" ht="15" hidden="false" customHeight="false" outlineLevel="0" collapsed="false">
      <c r="A195" s="17" t="n">
        <v>44500</v>
      </c>
      <c r="B195" s="3" t="n">
        <v>19091.59</v>
      </c>
      <c r="C195" s="24" t="n">
        <f aca="false">(B195/B194-1)/(A195-A194)*30</f>
        <v>0.00200485689747645</v>
      </c>
      <c r="D195" s="19" t="n">
        <f aca="false">+D194*(1+C195)</f>
        <v>100.900263772174</v>
      </c>
      <c r="F195" s="17" t="n">
        <v>44500</v>
      </c>
      <c r="G195" s="4" t="n">
        <v>1024.1445</v>
      </c>
      <c r="H195" s="4" t="n">
        <f aca="false">+G195+$S$144</f>
        <v>1035.15151594982</v>
      </c>
      <c r="I195" s="24" t="n">
        <f aca="false">+(H195/H194-1)/(F195-F194)*30</f>
        <v>0.00143454574684092</v>
      </c>
      <c r="J195" s="18" t="n">
        <f aca="false">+J194*(1+I195)</f>
        <v>103.456697173606</v>
      </c>
      <c r="K195" s="18" t="n">
        <v>4914.1336</v>
      </c>
      <c r="L195" s="24" t="n">
        <f aca="false">+(K195/K194-1)/(F195-F194)*30</f>
        <v>0.00098934462740187</v>
      </c>
      <c r="M195" s="19" t="n">
        <f aca="false">+M194*(1+L195)</f>
        <v>100.218981182256</v>
      </c>
    </row>
    <row r="196" customFormat="false" ht="15" hidden="false" customHeight="false" outlineLevel="0" collapsed="false">
      <c r="A196" s="17" t="n">
        <v>44530</v>
      </c>
      <c r="B196" s="3" t="n">
        <v>19132.47</v>
      </c>
      <c r="C196" s="24" t="n">
        <f aca="false">(B196/B195-1)/(A196-A195)*30</f>
        <v>0.00214125696183509</v>
      </c>
      <c r="D196" s="19" t="n">
        <f aca="false">+D195*(1+C196)</f>
        <v>101.116317164427</v>
      </c>
      <c r="F196" s="17" t="n">
        <v>44530</v>
      </c>
      <c r="G196" s="4" t="n">
        <v>1025.8292</v>
      </c>
      <c r="H196" s="4" t="n">
        <f aca="false">+G196+$S$144</f>
        <v>1036.83621594982</v>
      </c>
      <c r="I196" s="24" t="n">
        <f aca="false">+(H196/H195-1)/(F196-F195)*30</f>
        <v>0.00162749121654326</v>
      </c>
      <c r="J196" s="18" t="n">
        <f aca="false">+J195*(1+I196)</f>
        <v>103.625072039548</v>
      </c>
      <c r="K196" s="18" t="n">
        <v>4920.3216</v>
      </c>
      <c r="L196" s="24" t="n">
        <f aca="false">+(K196/K195-1)/(F196-F195)*30</f>
        <v>0.00125922502391873</v>
      </c>
      <c r="M196" s="19" t="n">
        <f aca="false">+M195*(1+L196)</f>
        <v>100.345179431233</v>
      </c>
    </row>
    <row r="197" customFormat="false" ht="15" hidden="false" customHeight="false" outlineLevel="0" collapsed="false">
      <c r="A197" s="17" t="n">
        <v>44561</v>
      </c>
      <c r="B197" s="3" t="n">
        <v>19193.41</v>
      </c>
      <c r="C197" s="24" t="n">
        <f aca="false">(B197/B196-1)/(A197-A196)*30</f>
        <v>0.00308241400866619</v>
      </c>
      <c r="D197" s="19" t="n">
        <f aca="false">+D196*(1+C197)</f>
        <v>101.42799951696</v>
      </c>
      <c r="F197" s="17" t="n">
        <v>44561</v>
      </c>
      <c r="G197" s="4" t="n">
        <f aca="false">1017.437</f>
        <v>1017.437</v>
      </c>
      <c r="H197" s="4" t="n">
        <f aca="false">+G197+$S$144+$S$146</f>
        <v>1039.33963713276</v>
      </c>
      <c r="I197" s="24" t="n">
        <f aca="false">+(H197/H196-1)/(F197-F196)*30</f>
        <v>0.00233659436624717</v>
      </c>
      <c r="J197" s="18" t="n">
        <f aca="false">+J196*(1+I197)</f>
        <v>103.867201799078</v>
      </c>
      <c r="K197" s="18" t="n">
        <v>4929.2918</v>
      </c>
      <c r="L197" s="24" t="n">
        <f aca="false">+(K197/K196-1)/(F197-F196)*30</f>
        <v>0.00176428278787249</v>
      </c>
      <c r="M197" s="19" t="n">
        <f aca="false">+M196*(1+L197)</f>
        <v>100.522216704149</v>
      </c>
    </row>
    <row r="198" customFormat="false" ht="15" hidden="false" customHeight="false" outlineLevel="0" collapsed="false">
      <c r="A198" s="17" t="n">
        <v>44592</v>
      </c>
      <c r="B198" s="3" t="n">
        <v>19259.35</v>
      </c>
      <c r="C198" s="24" t="n">
        <f aca="false">(B198/B197-1)/(A198-A197)*30</f>
        <v>0.00332472985393446</v>
      </c>
      <c r="D198" s="19" t="n">
        <f aca="false">+D197*(1+C198)</f>
        <v>101.765220214979</v>
      </c>
      <c r="F198" s="17" t="n">
        <v>44592</v>
      </c>
      <c r="G198" s="4" t="n">
        <v>1020.9926</v>
      </c>
      <c r="H198" s="4" t="n">
        <f aca="false">+G198+$S$144+$S$146</f>
        <v>1042.89523713276</v>
      </c>
      <c r="I198" s="24" t="n">
        <f aca="false">+(H198/H197-1)/(F198-F197)*30</f>
        <v>0.00331066294681016</v>
      </c>
      <c r="J198" s="18" t="n">
        <f aca="false">+J197*(1+I198)</f>
        <v>104.211071095463</v>
      </c>
      <c r="K198" s="3" t="n">
        <v>4941.9683</v>
      </c>
      <c r="L198" s="24" t="n">
        <f aca="false">+(K198/K197-1)/(F198-F197)*30</f>
        <v>0.00248871057809198</v>
      </c>
      <c r="M198" s="19" t="n">
        <f aca="false">+M197*(1+L198)</f>
        <v>100.772387408194</v>
      </c>
    </row>
    <row r="199" customFormat="false" ht="15" hidden="false" customHeight="false" outlineLevel="0" collapsed="false">
      <c r="A199" s="17" t="n">
        <v>44620</v>
      </c>
      <c r="B199" s="19" t="n">
        <v>19341.9</v>
      </c>
      <c r="C199" s="24" t="n">
        <f aca="false">(B199/B198-1)/(A199-A198)*30</f>
        <v>0.00459238907706803</v>
      </c>
      <c r="D199" s="19" t="n">
        <f aca="false">+D198*(1+C199)</f>
        <v>102.232565700719</v>
      </c>
      <c r="F199" s="17" t="n">
        <v>44620</v>
      </c>
      <c r="G199" s="4" t="n">
        <v>1025.2676</v>
      </c>
      <c r="H199" s="4" t="n">
        <f aca="false">+G199+$S$144+$S$146</f>
        <v>1047.17023713276</v>
      </c>
      <c r="I199" s="24" t="n">
        <f aca="false">+(H199/H198-1)/(F199-F198)*30</f>
        <v>0.00439196285472525</v>
      </c>
      <c r="J199" s="18" t="n">
        <f aca="false">+J198*(1+I199)</f>
        <v>104.668762248766</v>
      </c>
      <c r="K199" s="18" t="n">
        <v>4958.2785</v>
      </c>
      <c r="L199" s="24" t="n">
        <f aca="false">+(K199/K198-1)/(F199-F198)*30</f>
        <v>0.00353608384855779</v>
      </c>
      <c r="M199" s="19" t="n">
        <f aca="false">+M198*(1+L199)</f>
        <v>101.128727019689</v>
      </c>
    </row>
    <row r="200" customFormat="false" ht="15" hidden="false" customHeight="false" outlineLevel="0" collapsed="false">
      <c r="A200" s="17" t="n">
        <v>44651</v>
      </c>
      <c r="B200" s="3" t="n">
        <v>19435.35</v>
      </c>
      <c r="C200" s="24" t="n">
        <f aca="false">(B200/B199-1)/(A200-A199)*30</f>
        <v>0.00467562565575065</v>
      </c>
      <c r="D200" s="19" t="n">
        <f aca="false">+D199*(1+C200)</f>
        <v>102.710566907763</v>
      </c>
      <c r="F200" s="17" t="n">
        <v>44651</v>
      </c>
      <c r="G200" s="4" t="n">
        <v>1030.1517</v>
      </c>
      <c r="H200" s="4" t="n">
        <f aca="false">+G200+$S$144+$S$146</f>
        <v>1052.05433713276</v>
      </c>
      <c r="I200" s="24" t="n">
        <f aca="false">+(H200/H199-1)/(F200-F199)*30</f>
        <v>0.00451363896670554</v>
      </c>
      <c r="J200" s="18" t="n">
        <f aca="false">+J199*(1+I200)</f>
        <v>105.141199252648</v>
      </c>
      <c r="K200" s="3" t="n">
        <v>4977.0833</v>
      </c>
      <c r="L200" s="24" t="n">
        <f aca="false">+(K200/K199-1)/(F200-F199)*30</f>
        <v>0.00367026449772572</v>
      </c>
      <c r="M200" s="19" t="n">
        <f aca="false">+M199*(1+L200)</f>
        <v>101.499896196169</v>
      </c>
    </row>
    <row r="201" customFormat="false" ht="15" hidden="false" customHeight="false" outlineLevel="0" collapsed="false">
      <c r="A201" s="17" t="n">
        <v>44681</v>
      </c>
      <c r="B201" s="3" t="n">
        <v>19541.32</v>
      </c>
      <c r="C201" s="24" t="n">
        <f aca="false">(B201/B200-1)/(A201-A200)*30</f>
        <v>0.00545243589644651</v>
      </c>
      <c r="D201" s="19" t="n">
        <f aca="false">+D200*(1+C201)</f>
        <v>103.270589689715</v>
      </c>
      <c r="F201" s="17" t="n">
        <v>44681</v>
      </c>
      <c r="G201" s="4" t="n">
        <v>1036.8144</v>
      </c>
      <c r="H201" s="4" t="n">
        <f aca="false">+G201+$S$144+$S$146</f>
        <v>1058.71703713276</v>
      </c>
      <c r="I201" s="24" t="n">
        <f aca="false">+(H201/H200-1)/(F201-F200)*30</f>
        <v>0.00633303790958029</v>
      </c>
      <c r="J201" s="18" t="n">
        <f aca="false">+J200*(1+I201)</f>
        <v>105.807062453374</v>
      </c>
      <c r="K201" s="3" t="n">
        <v>4999.8366</v>
      </c>
      <c r="L201" s="24" t="n">
        <f aca="false">+(K201/K200-1)/(F201-F200)*30</f>
        <v>0.00457161325790945</v>
      </c>
      <c r="M201" s="19" t="n">
        <f aca="false">+M200*(1+L201)</f>
        <v>101.963914467296</v>
      </c>
    </row>
    <row r="202" customFormat="false" ht="15" hidden="false" customHeight="false" outlineLevel="0" collapsed="false">
      <c r="A202" s="17" t="n">
        <v>44712</v>
      </c>
      <c r="B202" s="3" t="n">
        <v>19680.32</v>
      </c>
      <c r="C202" s="24" t="n">
        <f aca="false">(B202/B201-1)/(A202-A201)*30</f>
        <v>0.00688367669288764</v>
      </c>
      <c r="D202" s="19" t="n">
        <f aca="false">+D201*(1+C202)</f>
        <v>103.981471041023</v>
      </c>
      <c r="F202" s="17" t="n">
        <v>44712</v>
      </c>
      <c r="G202" s="4" t="n">
        <v>1045.4495</v>
      </c>
      <c r="H202" s="4" t="n">
        <f aca="false">+G202+$S$144+$S$146</f>
        <v>1067.35213713276</v>
      </c>
      <c r="I202" s="24" t="n">
        <f aca="false">+(H202/H201-1)/(F202-F201)*30</f>
        <v>0.00789308955462554</v>
      </c>
      <c r="J202" s="18" t="n">
        <f aca="false">+J201*(1+I202)</f>
        <v>106.64220707283</v>
      </c>
      <c r="K202" s="3" t="n">
        <v>5027.3885</v>
      </c>
      <c r="L202" s="24" t="n">
        <f aca="false">+(K202/K201-1)/(F202-F201)*30</f>
        <v>0.00533280008235847</v>
      </c>
      <c r="M202" s="19" t="n">
        <f aca="false">+M201*(1+L202)</f>
        <v>102.507667638765</v>
      </c>
    </row>
    <row r="203" customFormat="false" ht="15" hidden="false" customHeight="false" outlineLevel="0" collapsed="false">
      <c r="A203" s="17" t="n">
        <v>44742</v>
      </c>
      <c r="B203" s="3" t="n">
        <v>19825.16</v>
      </c>
      <c r="C203" s="24" t="n">
        <f aca="false">(B203/B202-1)/(A203-A202)*30</f>
        <v>0.00735963642867587</v>
      </c>
      <c r="D203" s="19" t="n">
        <f aca="false">+D202*(1+C203)</f>
        <v>104.746736863204</v>
      </c>
      <c r="F203" s="17" t="n">
        <v>44742</v>
      </c>
      <c r="G203" s="4" t="n">
        <v>1053.7766</v>
      </c>
      <c r="H203" s="4" t="n">
        <f aca="false">+G203+$S$144+$S$146</f>
        <v>1075.67923713276</v>
      </c>
      <c r="I203" s="24" t="n">
        <f aca="false">+(H203/H202-1)/(F203-F202)*30</f>
        <v>0.00780164269157613</v>
      </c>
      <c r="J203" s="18" t="n">
        <f aca="false">+J202*(1+I203)</f>
        <v>107.474191468254</v>
      </c>
      <c r="K203" s="18" t="n">
        <v>5056.9676</v>
      </c>
      <c r="L203" s="24" t="n">
        <f aca="false">+(K203/K202-1)/(F203-F202)*30</f>
        <v>0.00588359145110817</v>
      </c>
      <c r="M203" s="19" t="n">
        <f aca="false">+M202*(1+L203)</f>
        <v>103.110780875757</v>
      </c>
    </row>
    <row r="204" customFormat="false" ht="15" hidden="false" customHeight="false" outlineLevel="0" collapsed="false">
      <c r="A204" s="17" t="n">
        <v>44773</v>
      </c>
      <c r="B204" s="3" t="n">
        <v>19975.62</v>
      </c>
      <c r="C204" s="24" t="n">
        <f aca="false">(B204/B203-1)/(A204-A203)*30</f>
        <v>0.00734452844834052</v>
      </c>
      <c r="D204" s="19" t="n">
        <f aca="false">+D203*(1+C204)</f>
        <v>105.516052251966</v>
      </c>
      <c r="F204" s="17" t="n">
        <v>44773</v>
      </c>
      <c r="G204" s="4" t="n">
        <v>1062.6043</v>
      </c>
      <c r="H204" s="4" t="n">
        <f aca="false">+G204+$S$144+$S$146</f>
        <v>1084.50693713276</v>
      </c>
      <c r="I204" s="24" t="n">
        <f aca="false">+(H204/H203-1)/(F204-F203)*30</f>
        <v>0.00794189865246662</v>
      </c>
      <c r="J204" s="18" t="n">
        <f aca="false">+J203*(1+I204)</f>
        <v>108.32774060465</v>
      </c>
      <c r="K204" s="3" t="n">
        <v>5089.8979</v>
      </c>
      <c r="L204" s="24" t="n">
        <f aca="false">+(K204/K203-1)/(F204-F203)*30</f>
        <v>0.00630180669104238</v>
      </c>
      <c r="M204" s="19" t="n">
        <f aca="false">+M203*(1+L204)</f>
        <v>103.760565084599</v>
      </c>
    </row>
    <row r="205" customFormat="false" ht="15" hidden="false" customHeight="false" outlineLevel="0" collapsed="false">
      <c r="A205" s="17" t="n">
        <v>44804</v>
      </c>
      <c r="B205" s="3" t="n">
        <v>20154.92</v>
      </c>
      <c r="C205" s="24" t="n">
        <f aca="false">(B205/B204-1)/(A205-A204)*30</f>
        <v>0.00868639516732178</v>
      </c>
      <c r="D205" s="19" t="n">
        <f aca="false">+D204*(1+C205)</f>
        <v>106.432606378323</v>
      </c>
      <c r="F205" s="17" t="n">
        <v>44804</v>
      </c>
      <c r="G205" s="4" t="n">
        <v>1072.1203</v>
      </c>
      <c r="H205" s="4" t="n">
        <f aca="false">+G205+$S$144+$S$146</f>
        <v>1094.02293713276</v>
      </c>
      <c r="I205" s="24" t="n">
        <f aca="false">+(H205/H204-1)/(F205-F204)*30</f>
        <v>0.00849144615193662</v>
      </c>
      <c r="J205" s="18" t="n">
        <f aca="false">+J204*(1+I205)</f>
        <v>109.247599780756</v>
      </c>
      <c r="K205" s="18" t="n">
        <v>5125.6822</v>
      </c>
      <c r="L205" s="24" t="n">
        <f aca="false">+(K205/K204-1)/(F205-F204)*30</f>
        <v>0.00680366648257052</v>
      </c>
      <c r="M205" s="19" t="n">
        <f aca="false">+M204*(1+L205)</f>
        <v>104.466517363477</v>
      </c>
    </row>
    <row r="206" customFormat="false" ht="15" hidden="false" customHeight="false" outlineLevel="0" collapsed="false">
      <c r="A206" s="17" t="n">
        <v>44834</v>
      </c>
      <c r="B206" s="3" t="n">
        <v>20332.28</v>
      </c>
      <c r="C206" s="24" t="n">
        <f aca="false">(B206/B205-1)/(A206-A205)*30</f>
        <v>0.00879983646672877</v>
      </c>
      <c r="D206" s="19" t="n">
        <f aca="false">+D205*(1+C206)</f>
        <v>107.36919590918</v>
      </c>
      <c r="F206" s="17" t="n">
        <v>44834</v>
      </c>
      <c r="G206" s="4" t="n">
        <v>1081.6292</v>
      </c>
      <c r="H206" s="4" t="n">
        <f aca="false">+G206+$S$144+$S$146</f>
        <v>1103.53183713276</v>
      </c>
      <c r="I206" s="24" t="n">
        <f aca="false">+(H206/H205-1)/(F206-F205)*30</f>
        <v>0.00869168248420937</v>
      </c>
      <c r="J206" s="18" t="n">
        <f aca="false">+J205*(1+I206)</f>
        <v>110.197145230212</v>
      </c>
      <c r="K206" s="18" t="n">
        <v>5163.2829</v>
      </c>
      <c r="L206" s="24" t="n">
        <f aca="false">+(K206/K205-1)/(F206-F205)*30</f>
        <v>0.00733574547403659</v>
      </c>
      <c r="M206" s="19" t="n">
        <f aca="false">+M205*(1+L206)</f>
        <v>105.232857145415</v>
      </c>
    </row>
    <row r="207" customFormat="false" ht="15" hidden="false" customHeight="false" outlineLevel="0" collapsed="false">
      <c r="A207" s="17" t="n">
        <v>44862</v>
      </c>
      <c r="B207" s="3" t="n">
        <v>20507.2</v>
      </c>
      <c r="C207" s="24" t="n">
        <f aca="false">(B207/B206-1)/(A207-A206)*30</f>
        <v>0.00921757351926535</v>
      </c>
      <c r="D207" s="19" t="n">
        <f aca="false">+D206*(1+C207)</f>
        <v>108.358879366177</v>
      </c>
      <c r="F207" s="17" t="n">
        <v>44862</v>
      </c>
      <c r="G207" s="4" t="n">
        <v>1091.8318</v>
      </c>
      <c r="H207" s="4" t="n">
        <f aca="false">+G207+$S$144+$S$146</f>
        <v>1113.73443713276</v>
      </c>
      <c r="I207" s="24" t="n">
        <f aca="false">+(H207/H206-1)/(F207-F206)*30</f>
        <v>0.00990579227080505</v>
      </c>
      <c r="J207" s="18" t="n">
        <f aca="false">+J206*(1+I207)</f>
        <v>111.288735259698</v>
      </c>
      <c r="K207" s="18" t="n">
        <v>5200.6767</v>
      </c>
      <c r="L207" s="24" t="n">
        <f aca="false">+(K207/K206-1)/(F207-F206)*30</f>
        <v>0.00775955656318685</v>
      </c>
      <c r="M207" s="19" t="n">
        <f aca="false">+M206*(1+L207)</f>
        <v>106.049417452741</v>
      </c>
    </row>
    <row r="208" customFormat="false" ht="15" hidden="false" customHeight="false" outlineLevel="0" collapsed="false">
      <c r="A208" s="17" t="n">
        <v>44895</v>
      </c>
      <c r="B208" s="3" t="n">
        <v>20719.68</v>
      </c>
      <c r="C208" s="24" t="n">
        <f aca="false">(B208/B207-1)/(A208-A207)*30</f>
        <v>0.00941930816316388</v>
      </c>
      <c r="D208" s="19" t="n">
        <f aca="false">+D207*(1+C208)</f>
        <v>109.379545043142</v>
      </c>
      <c r="F208" s="17" t="n">
        <v>44895</v>
      </c>
      <c r="G208" s="4" t="n">
        <v>1104.1543</v>
      </c>
      <c r="H208" s="4" t="n">
        <f aca="false">+G208+$S$144+$S$146</f>
        <v>1126.05693713276</v>
      </c>
      <c r="I208" s="24" t="n">
        <f aca="false">+(H208/H207-1)/(F208-F207)*30</f>
        <v>0.0100582978794408</v>
      </c>
      <c r="J208" s="18" t="n">
        <f aca="false">+J207*(1+I208)</f>
        <v>112.408110509567</v>
      </c>
      <c r="K208" s="3" t="n">
        <v>5246.14</v>
      </c>
      <c r="L208" s="24" t="n">
        <f aca="false">+(K208/K207-1)/(F208-F207)*30</f>
        <v>0.00794709517845488</v>
      </c>
      <c r="M208" s="19" t="n">
        <f aca="false">+M207*(1+L208)</f>
        <v>106.892202266857</v>
      </c>
    </row>
    <row r="209" customFormat="false" ht="15" hidden="false" customHeight="false" outlineLevel="0" collapsed="false">
      <c r="A209" s="17" t="n">
        <v>44925</v>
      </c>
      <c r="B209" s="3" t="n">
        <v>20914.79</v>
      </c>
      <c r="C209" s="24" t="n">
        <f aca="false">(B209/B208-1)/(A209-A208)*30</f>
        <v>0.00941665122241275</v>
      </c>
      <c r="D209" s="19" t="n">
        <f aca="false">+D208*(1+C209)</f>
        <v>110.40953406968</v>
      </c>
      <c r="F209" s="17" t="n">
        <v>44925</v>
      </c>
      <c r="G209" s="4" t="n">
        <v>1115.4246</v>
      </c>
      <c r="H209" s="4" t="n">
        <f aca="false">+G209+$S$144+$S$146</f>
        <v>1137.32723713276</v>
      </c>
      <c r="I209" s="24" t="n">
        <f aca="false">+(H209/H208-1)/(F209-F208)*30</f>
        <v>0.0100086413291829</v>
      </c>
      <c r="J209" s="18" t="n">
        <f aca="false">+J208*(1+I209)</f>
        <v>113.533162970148</v>
      </c>
      <c r="K209" s="3" t="n">
        <v>5287.7323</v>
      </c>
      <c r="L209" s="24" t="n">
        <f aca="false">+(K209/K208-1)/(F209-F208)*30</f>
        <v>0.00792817195118678</v>
      </c>
      <c r="M209" s="19" t="n">
        <f aca="false">+M208*(1+L209)</f>
        <v>107.73966202667</v>
      </c>
    </row>
    <row r="210" customFormat="false" ht="15" hidden="false" customHeight="false" outlineLevel="0" collapsed="false">
      <c r="A210" s="17" t="n">
        <v>44957</v>
      </c>
      <c r="B210" s="3" t="n">
        <v>21124.92</v>
      </c>
      <c r="C210" s="24" t="n">
        <f aca="false">(B210/B209-1)/(A210-A209)*30</f>
        <v>0.0094190223760314</v>
      </c>
      <c r="D210" s="19" t="n">
        <f aca="false">+D209*(1+C210)</f>
        <v>111.449483941609</v>
      </c>
      <c r="F210" s="17" t="n">
        <v>44957</v>
      </c>
      <c r="G210" s="4" t="n">
        <v>1095.3566</v>
      </c>
      <c r="H210" s="4" t="n">
        <f aca="false">+G210+$S$144+$S$146+$S$148</f>
        <v>1150.11777451667</v>
      </c>
      <c r="I210" s="24" t="n">
        <f aca="false">+(H210/H209-1)/(F210-F209)*30</f>
        <v>0.0105432529934303</v>
      </c>
      <c r="J210" s="18" t="n">
        <f aca="false">+J209*(1+I210)</f>
        <v>114.730171830487</v>
      </c>
      <c r="K210" s="3" t="n">
        <v>5332.3677</v>
      </c>
      <c r="L210" s="24" t="n">
        <f aca="false">+(K210/K209-1)/(F210-F209)*30</f>
        <v>0.00791373033388998</v>
      </c>
      <c r="M210" s="19" t="n">
        <f aca="false">+M209*(1+L210)</f>
        <v>108.592284658213</v>
      </c>
    </row>
    <row r="211" customFormat="false" ht="15" hidden="false" customHeight="false" outlineLevel="0" collapsed="false">
      <c r="A211" s="17" t="n">
        <v>44985</v>
      </c>
      <c r="B211" s="3" t="n">
        <v>21310.51</v>
      </c>
      <c r="C211" s="24" t="n">
        <f aca="false">(B211/B210-1)/(A211-A210)*30</f>
        <v>0.00941288433619768</v>
      </c>
      <c r="D211" s="19" t="n">
        <f aca="false">+D210*(1+C211)</f>
        <v>112.49854504328</v>
      </c>
      <c r="F211" s="17" t="n">
        <v>44985</v>
      </c>
      <c r="G211" s="4" t="n">
        <v>1107.1148</v>
      </c>
      <c r="H211" s="4" t="n">
        <f aca="false">+G211+$S$144+$S$146+$S$148</f>
        <v>1161.87597451667</v>
      </c>
      <c r="I211" s="24" t="n">
        <f aca="false">+(H211/H210-1)/(F211-F210)*30</f>
        <v>0.0109537229209988</v>
      </c>
      <c r="J211" s="18" t="n">
        <f aca="false">+J210*(1+I211)</f>
        <v>115.986894343396</v>
      </c>
      <c r="K211" s="3" t="n">
        <v>5371.762</v>
      </c>
      <c r="L211" s="24" t="n">
        <f aca="false">+(K211/K210-1)/(F211-F210)*30</f>
        <v>0.00791546662684725</v>
      </c>
      <c r="M211" s="19" t="n">
        <f aca="false">+M210*(1+L211)</f>
        <v>109.451843263359</v>
      </c>
    </row>
    <row r="212" customFormat="false" ht="15" hidden="false" customHeight="false" outlineLevel="0" collapsed="false">
      <c r="A212" s="17" t="n">
        <v>45016</v>
      </c>
      <c r="B212" s="3" t="n">
        <v>21517.9</v>
      </c>
      <c r="C212" s="24" t="n">
        <f aca="false">(B212/B211-1)/(A212-A211)*30</f>
        <v>0.00941788816879581</v>
      </c>
      <c r="D212" s="19" t="n">
        <f aca="false">+D211*(1+C212)</f>
        <v>113.55804375965</v>
      </c>
      <c r="F212" s="17" t="n">
        <v>45016</v>
      </c>
      <c r="G212" s="4" t="n">
        <v>1119.549</v>
      </c>
      <c r="H212" s="4" t="n">
        <f aca="false">+G212+$S$144+$S$146+$S$148</f>
        <v>1174.31017451667</v>
      </c>
      <c r="I212" s="24" t="n">
        <f aca="false">+(H212/H211-1)/(F212-F211)*30</f>
        <v>0.0103566103767652</v>
      </c>
      <c r="J212" s="18" t="n">
        <f aca="false">+J211*(1+I212)</f>
        <v>117.188125416922</v>
      </c>
      <c r="K212" s="3" t="n">
        <v>5415.8662</v>
      </c>
      <c r="L212" s="24" t="n">
        <f aca="false">+(K212/K211-1)/(F212-F211)*30</f>
        <v>0.00794552771901819</v>
      </c>
      <c r="M212" s="19" t="n">
        <f aca="false">+M211*(1+L212)</f>
        <v>110.321495917905</v>
      </c>
    </row>
    <row r="213" customFormat="false" ht="15" hidden="false" customHeight="false" outlineLevel="0" collapsed="false">
      <c r="A213" s="17" t="n">
        <v>45044</v>
      </c>
      <c r="B213" s="3" t="n">
        <v>21706.94</v>
      </c>
      <c r="C213" s="24" t="n">
        <f aca="false">(B213/B212-1)/(A213-A212)*30</f>
        <v>0.00941276133557894</v>
      </c>
      <c r="D213" s="19" t="n">
        <f aca="false">+D212*(1+C213)</f>
        <v>114.626938523295</v>
      </c>
      <c r="F213" s="17" t="n">
        <v>45044</v>
      </c>
      <c r="G213" s="4" t="n">
        <v>1131.1157</v>
      </c>
      <c r="H213" s="4" t="n">
        <f aca="false">+G213+$S$144+$S$146+$S$148</f>
        <v>1185.87687451667</v>
      </c>
      <c r="I213" s="24" t="n">
        <f aca="false">+(H213/H212-1)/(F213-F212)*30</f>
        <v>0.0105533385693808</v>
      </c>
      <c r="J213" s="18" t="n">
        <f aca="false">+J212*(1+I213)</f>
        <v>118.424851380758</v>
      </c>
      <c r="K213" s="3" t="n">
        <v>5456.2587</v>
      </c>
      <c r="L213" s="24" t="n">
        <f aca="false">+(K213/K212-1)/(F213-F212)*30</f>
        <v>0.00799090615854378</v>
      </c>
      <c r="M213" s="19" t="n">
        <f aca="false">+M212*(1+L213)</f>
        <v>111.203064639055</v>
      </c>
    </row>
    <row r="214" customFormat="false" ht="15" hidden="false" customHeight="false" outlineLevel="0" collapsed="false">
      <c r="A214" s="17" t="n">
        <v>45077</v>
      </c>
      <c r="B214" s="3" t="n">
        <v>21931.86</v>
      </c>
      <c r="C214" s="24" t="n">
        <f aca="false">(B214/B213-1)/(A214-A213)*30</f>
        <v>0.00941969376027792</v>
      </c>
      <c r="D214" s="19" t="n">
        <f aca="false">+D213*(1+C214)</f>
        <v>115.706689180863</v>
      </c>
      <c r="F214" s="17" t="n">
        <v>45077</v>
      </c>
      <c r="G214" s="4" t="n">
        <v>1144.5479</v>
      </c>
      <c r="H214" s="4" t="n">
        <f aca="false">+G214+$S$144+$S$146+$S$148</f>
        <v>1199.30907451667</v>
      </c>
      <c r="I214" s="24" t="n">
        <f aca="false">+(H214/H213-1)/(F214-F213)*30</f>
        <v>0.0102970984353396</v>
      </c>
      <c r="J214" s="18" t="n">
        <f aca="false">+J213*(1+I214)</f>
        <v>119.644283732616</v>
      </c>
      <c r="K214" s="18" t="n">
        <v>5504.4106</v>
      </c>
      <c r="L214" s="24" t="n">
        <f aca="false">+(K214/K213-1)/(F214-F213)*30</f>
        <v>0.00802279674632251</v>
      </c>
      <c r="M214" s="19" t="n">
        <f aca="false">+M213*(1+L214)</f>
        <v>112.095224224223</v>
      </c>
    </row>
    <row r="215" customFormat="false" ht="15" hidden="false" customHeight="false" outlineLevel="0" collapsed="false">
      <c r="A215" s="17" t="n">
        <v>45107</v>
      </c>
      <c r="B215" s="3" t="n">
        <v>22138.35</v>
      </c>
      <c r="C215" s="24" t="n">
        <f aca="false">(B215/B214-1)/(A215-A214)*30</f>
        <v>0.00941507013085063</v>
      </c>
      <c r="D215" s="19" t="n">
        <f aca="false">+D214*(1+C215)</f>
        <v>116.796075774109</v>
      </c>
      <c r="F215" s="17" t="n">
        <v>45107</v>
      </c>
      <c r="G215" s="4" t="n">
        <v>1156.8927</v>
      </c>
      <c r="H215" s="4" t="n">
        <f aca="false">+G215+$S$144+$S$146+$S$148</f>
        <v>1211.65387451667</v>
      </c>
      <c r="I215" s="24" t="n">
        <f aca="false">+(H215/H214-1)/(F215-F214)*30</f>
        <v>0.0102932598963075</v>
      </c>
      <c r="J215" s="18" t="n">
        <f aca="false">+J214*(1+I215)</f>
        <v>120.875813440183</v>
      </c>
      <c r="K215" s="3" t="n">
        <v>5548.4618</v>
      </c>
      <c r="L215" s="24" t="n">
        <f aca="false">+(K215/K214-1)/(F215-F214)*30</f>
        <v>0.00800289135407151</v>
      </c>
      <c r="M215" s="19" t="n">
        <f aca="false">+M214*(1+L215)</f>
        <v>112.992310124999</v>
      </c>
    </row>
    <row r="216" customFormat="false" ht="15" hidden="false" customHeight="false" outlineLevel="0" collapsed="false">
      <c r="A216" s="17" t="n">
        <v>45138</v>
      </c>
      <c r="B216" s="3" t="n">
        <v>22353.79</v>
      </c>
      <c r="C216" s="24" t="n">
        <f aca="false">(B216/B215-1)/(A216-A215)*30</f>
        <v>0.00941760892662041</v>
      </c>
      <c r="D216" s="19" t="n">
        <f aca="false">+D215*(1+C216)</f>
        <v>117.896015539914</v>
      </c>
      <c r="F216" s="17" t="n">
        <v>45138</v>
      </c>
      <c r="G216" s="4" t="n">
        <v>1169.9022</v>
      </c>
      <c r="H216" s="4" t="n">
        <f aca="false">+G216+$S$144+$S$146+$S$148</f>
        <v>1224.66337451667</v>
      </c>
      <c r="I216" s="24" t="n">
        <f aca="false">+(H216/H215-1)/(F216-F215)*30</f>
        <v>0.0103906230768251</v>
      </c>
      <c r="J216" s="18" t="n">
        <f aca="false">+J215*(1+I216)</f>
        <v>122.131788456745</v>
      </c>
      <c r="K216" s="3" t="n">
        <v>5593.984</v>
      </c>
      <c r="L216" s="24" t="n">
        <f aca="false">+(K216/K215-1)/(F216-F215)*30</f>
        <v>0.00793981170339564</v>
      </c>
      <c r="M216" s="19" t="n">
        <f aca="false">+M215*(1+L216)</f>
        <v>113.889447791324</v>
      </c>
    </row>
    <row r="217" customFormat="false" ht="15" hidden="false" customHeight="false" outlineLevel="0" collapsed="false">
      <c r="A217" s="17" t="n">
        <v>45169</v>
      </c>
      <c r="B217" s="3" t="n">
        <v>22551.92</v>
      </c>
      <c r="C217" s="24" t="n">
        <f aca="false">(B217/B216-1)/(A217-A216)*30</f>
        <v>0.00857745866259888</v>
      </c>
      <c r="D217" s="19" t="n">
        <f aca="false">+D216*(1+C217)</f>
        <v>118.907263739692</v>
      </c>
      <c r="F217" s="17" t="n">
        <v>45169</v>
      </c>
      <c r="G217" s="4" t="n">
        <v>1181.7359</v>
      </c>
      <c r="H217" s="4" t="n">
        <f aca="false">+G217+$S$144+$S$146+$S$148</f>
        <v>1236.49707451667</v>
      </c>
      <c r="I217" s="24" t="n">
        <f aca="false">+(H217/H216-1)/(F217-F216)*30</f>
        <v>0.00935111474731168</v>
      </c>
      <c r="J217" s="18" t="n">
        <f aca="false">+J216*(1+I217)</f>
        <v>123.273856824898</v>
      </c>
      <c r="K217" s="18" t="n">
        <v>5636.4775</v>
      </c>
      <c r="L217" s="24" t="n">
        <f aca="false">+(K217/K216-1)/(F217-F216)*30</f>
        <v>0.00735124411072392</v>
      </c>
      <c r="M217" s="19" t="n">
        <f aca="false">+M216*(1+L217)</f>
        <v>114.726676923673</v>
      </c>
    </row>
    <row r="218" customFormat="false" ht="15" hidden="false" customHeight="false" outlineLevel="0" collapsed="false">
      <c r="A218" s="17" t="n">
        <v>45199</v>
      </c>
      <c r="B218" s="3" t="n">
        <v>22727.72</v>
      </c>
      <c r="C218" s="24" t="n">
        <f aca="false">(B218/B217-1)/(A218-A217)*30</f>
        <v>0.00779534514134506</v>
      </c>
      <c r="D218" s="19" t="n">
        <f aca="false">+D217*(1+C218)</f>
        <v>119.834186900356</v>
      </c>
      <c r="F218" s="17" t="n">
        <v>45199</v>
      </c>
      <c r="G218" s="4" t="n">
        <v>1193.1985</v>
      </c>
      <c r="H218" s="4" t="n">
        <f aca="false">+G218+$S$144+$S$146+$S$148</f>
        <v>1247.95967451667</v>
      </c>
      <c r="I218" s="24" t="n">
        <f aca="false">+(H218/H217-1)/(F218-F217)*30</f>
        <v>0.00927022007268441</v>
      </c>
      <c r="J218" s="18" t="n">
        <f aca="false">+J217*(1+I218)</f>
        <v>124.416632606874</v>
      </c>
      <c r="K218" s="3" t="n">
        <v>5674.72</v>
      </c>
      <c r="L218" s="24" t="n">
        <f aca="false">+(K218/K217-1)/(F218-F217)*30</f>
        <v>0.00678482261305935</v>
      </c>
      <c r="M218" s="19" t="n">
        <f aca="false">+M217*(1+L218)</f>
        <v>115.505077075586</v>
      </c>
    </row>
    <row r="219" customFormat="false" ht="15" hidden="false" customHeight="false" outlineLevel="0" collapsed="false">
      <c r="A219" s="17" t="n">
        <v>45230</v>
      </c>
      <c r="B219" s="19" t="n">
        <v>22920</v>
      </c>
      <c r="C219" s="24" t="n">
        <f aca="false">(B219/B218-1)/(A219-A218)*30</f>
        <v>0.0081872453266249</v>
      </c>
      <c r="D219" s="19" t="n">
        <f aca="false">+D218*(1+C219)</f>
        <v>120.815298787026</v>
      </c>
      <c r="F219" s="17" t="n">
        <v>45230</v>
      </c>
      <c r="G219" s="4" t="n">
        <v>1204.6477</v>
      </c>
      <c r="H219" s="4" t="n">
        <f aca="false">+G219+$S$144+$S$146+$S$148</f>
        <v>1259.40887451667</v>
      </c>
      <c r="I219" s="24" t="n">
        <f aca="false">+(H219/H218-1)/(F219-F218)*30</f>
        <v>0.00887838861622935</v>
      </c>
      <c r="J219" s="18" t="n">
        <f aca="false">+J218*(1+I219)</f>
        <v>125.52125182148</v>
      </c>
      <c r="K219" s="3" t="n">
        <v>5712.6049</v>
      </c>
      <c r="L219" s="24" t="n">
        <f aca="false">+(K219/K218-1)/(F219-F218)*30</f>
        <v>0.0064607251902496</v>
      </c>
      <c r="M219" s="19" t="n">
        <f aca="false">+M218*(1+L219)</f>
        <v>116.25132363665</v>
      </c>
    </row>
    <row r="220" customFormat="false" ht="15" hidden="false" customHeight="false" outlineLevel="0" collapsed="false">
      <c r="A220" s="17" t="n">
        <v>45260</v>
      </c>
      <c r="B220" s="3" t="n">
        <v>23092.51</v>
      </c>
      <c r="C220" s="24" t="n">
        <f aca="false">(B220/B219-1)/(A220-A219)*30</f>
        <v>0.00752661431064561</v>
      </c>
      <c r="D220" s="19" t="n">
        <f aca="false">+D219*(1+C220)</f>
        <v>121.724628943821</v>
      </c>
      <c r="F220" s="17" t="n">
        <v>45260</v>
      </c>
      <c r="G220" s="4" t="n">
        <v>1215.554</v>
      </c>
      <c r="H220" s="4" t="n">
        <f aca="false">+G220+$S$144+$S$146+$S$148</f>
        <v>1270.31517451667</v>
      </c>
      <c r="I220" s="24" t="n">
        <f aca="false">+(H220/H219-1)/(F220-F219)*30</f>
        <v>0.00865985639825317</v>
      </c>
      <c r="J220" s="18" t="n">
        <f aca="false">+J219*(1+I220)</f>
        <v>126.608247837183</v>
      </c>
      <c r="K220" s="3" t="n">
        <v>5747.8492</v>
      </c>
      <c r="L220" s="24" t="n">
        <f aca="false">+(K220/K219-1)/(F220-F219)*30</f>
        <v>0.00616956723192952</v>
      </c>
      <c r="M220" s="19" t="n">
        <f aca="false">+M219*(1+L220)</f>
        <v>116.968543993627</v>
      </c>
    </row>
    <row r="221" customFormat="false" ht="15" hidden="false" customHeight="false" outlineLevel="0" collapsed="false">
      <c r="A221" s="17" t="n">
        <v>45291</v>
      </c>
      <c r="B221" s="3" t="n">
        <v>23256.05</v>
      </c>
      <c r="C221" s="24" t="n">
        <f aca="false">(B221/B220-1)/(A221-A220)*30</f>
        <v>0.00685349994994187</v>
      </c>
      <c r="D221" s="19" t="n">
        <f aca="false">+D220*(1+C221)</f>
        <v>122.558868682194</v>
      </c>
      <c r="F221" s="17" t="n">
        <v>45291</v>
      </c>
      <c r="G221" s="4" t="n">
        <v>1226.0614</v>
      </c>
      <c r="H221" s="4" t="n">
        <f aca="false">+G221+$S$144+$S$146+$S$148</f>
        <v>1280.82257451667</v>
      </c>
      <c r="I221" s="24" t="n">
        <f aca="false">+(H221/H220-1)/(F221-F220)*30</f>
        <v>0.00800466830349579</v>
      </c>
      <c r="J221" s="18" t="n">
        <f aca="false">+J220*(1+I221)</f>
        <v>127.621704865607</v>
      </c>
      <c r="K221" s="3" t="n">
        <v>5782.92</v>
      </c>
      <c r="L221" s="24" t="n">
        <f aca="false">+(K221/K220-1)/(F221-F220)*30</f>
        <v>0.00590472761028043</v>
      </c>
      <c r="M221" s="19" t="n">
        <f aca="false">+M220*(1+L221)</f>
        <v>117.659211384881</v>
      </c>
    </row>
    <row r="222" customFormat="false" ht="15" hidden="false" customHeight="false" outlineLevel="0" collapsed="false">
      <c r="A222" s="17" t="n">
        <v>45322</v>
      </c>
      <c r="B222" s="3" t="n">
        <v>23427.15</v>
      </c>
      <c r="C222" s="24" t="n">
        <f aca="false">(B222/B221-1)/(A222-A221)*30</f>
        <v>0.00711989547499661</v>
      </c>
      <c r="D222" s="19" t="n">
        <f aca="false">+D221*(1+C222)</f>
        <v>123.431475016746</v>
      </c>
      <c r="F222" s="17" t="n">
        <v>45322</v>
      </c>
      <c r="G222" s="4" t="n">
        <v>1236.797</v>
      </c>
      <c r="H222" s="4" t="n">
        <f aca="false">+G222+$S$144+$S$146+$S$148</f>
        <v>1291.55817451667</v>
      </c>
      <c r="I222" s="24" t="n">
        <f aca="false">+(H222/H221-1)/(F222-F221)*30</f>
        <v>0.00811142037100736</v>
      </c>
      <c r="J222" s="18" t="n">
        <f aca="false">+J221*(1+I222)</f>
        <v>128.656898162236</v>
      </c>
      <c r="K222" s="3" t="n">
        <v>5816.8769</v>
      </c>
      <c r="L222" s="24" t="n">
        <f aca="false">+(K222/K221-1)/(F222-F221)*30</f>
        <v>0.00568251266298558</v>
      </c>
      <c r="M222" s="19" t="n">
        <f aca="false">+M221*(1+L222)</f>
        <v>118.327811343492</v>
      </c>
    </row>
    <row r="223" customFormat="false" ht="15" hidden="false" customHeight="false" outlineLevel="0" collapsed="false">
      <c r="A223" s="17" t="n">
        <v>45351</v>
      </c>
      <c r="B223" s="3" t="n">
        <v>23570.34</v>
      </c>
      <c r="C223" s="24" t="n">
        <f aca="false">(B223/B222-1)/(A223-A222)*30</f>
        <v>0.00632290253858852</v>
      </c>
      <c r="D223" s="19" t="n">
        <f aca="false">+D222*(1+C223)</f>
        <v>124.211920203471</v>
      </c>
      <c r="F223" s="17" t="n">
        <v>45351</v>
      </c>
      <c r="G223" s="4" t="n">
        <v>1245.4612</v>
      </c>
      <c r="H223" s="4" t="n">
        <f aca="false">+G223+$S$144+$S$146+$S$148</f>
        <v>1300.22237451667</v>
      </c>
      <c r="I223" s="24" t="n">
        <f aca="false">+(H223/H222-1)/(F223-F222)*30</f>
        <v>0.00693965296653829</v>
      </c>
      <c r="J223" s="18" t="n">
        <f aca="false">+J222*(1+I223)</f>
        <v>129.549732387233</v>
      </c>
      <c r="K223" s="3" t="n">
        <v>5846.4552</v>
      </c>
      <c r="L223" s="24" t="n">
        <f aca="false">+(K223/K222-1)/(F223-F222)*30</f>
        <v>0.005260252521299</v>
      </c>
      <c r="M223" s="19" t="n">
        <f aca="false">+M222*(1+L223)</f>
        <v>118.950245511451</v>
      </c>
    </row>
    <row r="224" customFormat="false" ht="15" hidden="false" customHeight="false" outlineLevel="0" collapsed="false">
      <c r="A224" s="17" t="n">
        <v>45379</v>
      </c>
      <c r="B224" s="3" t="n">
        <v>23703.45</v>
      </c>
      <c r="C224" s="24" t="n">
        <f aca="false">(B224/B223-1)/(A224-A223)*30</f>
        <v>0.00605073397935101</v>
      </c>
      <c r="D224" s="19" t="n">
        <f aca="false">+D223*(1+C224)</f>
        <v>124.963493489686</v>
      </c>
      <c r="F224" s="17" t="n">
        <v>45379</v>
      </c>
      <c r="G224" s="4" t="n">
        <v>1253.3446</v>
      </c>
      <c r="H224" s="4" t="n">
        <f aca="false">+G224+$S$144+$S$146+$S$148</f>
        <v>1308.10577451667</v>
      </c>
      <c r="I224" s="24" t="n">
        <f aca="false">+(H224/H223-1)/(F224-F223)*30</f>
        <v>0.00649619647034591</v>
      </c>
      <c r="J224" s="18" t="n">
        <f aca="false">+J223*(1+I224)</f>
        <v>130.391312901501</v>
      </c>
      <c r="K224" s="3" t="n">
        <v>5872.4728</v>
      </c>
      <c r="L224" s="24" t="n">
        <f aca="false">+(K224/K223-1)/(F224-F223)*30</f>
        <v>0.00476801737914621</v>
      </c>
      <c r="M224" s="19" t="n">
        <f aca="false">+M223*(1+L224)</f>
        <v>119.517402349304</v>
      </c>
    </row>
    <row r="225" customFormat="false" ht="15" hidden="false" customHeight="false" outlineLevel="0" collapsed="false">
      <c r="A225" s="17" t="n">
        <v>45412</v>
      </c>
      <c r="B225" s="3" t="n">
        <v>23847.87</v>
      </c>
      <c r="C225" s="24" t="n">
        <f aca="false">(B225/B224-1)/(A225-A224)*30</f>
        <v>0.00553889451075303</v>
      </c>
      <c r="D225" s="19" t="n">
        <f aca="false">+D224*(1+C225)</f>
        <v>125.655653097821</v>
      </c>
      <c r="F225" s="17" t="n">
        <v>45412</v>
      </c>
      <c r="G225" s="4" t="n">
        <v>1262.5028</v>
      </c>
      <c r="H225" s="4" t="n">
        <f aca="false">+G225+$S$144+$S$146+$S$148</f>
        <v>1317.26397451667</v>
      </c>
      <c r="I225" s="24" t="n">
        <f aca="false">+(H225/H224-1)/(F225-F224)*30</f>
        <v>0.00636465072307534</v>
      </c>
      <c r="J225" s="18" t="n">
        <f aca="false">+J224*(1+I225)</f>
        <v>131.221208065443</v>
      </c>
      <c r="K225" s="3" t="n">
        <v>5900.1916</v>
      </c>
      <c r="L225" s="24" t="n">
        <f aca="false">+(K225/K224-1)/(F225-F224)*30</f>
        <v>0.00429102184873626</v>
      </c>
      <c r="M225" s="19" t="n">
        <f aca="false">+M224*(1+L225)</f>
        <v>120.030254134089</v>
      </c>
    </row>
    <row r="226" customFormat="false" ht="15" hidden="false" customHeight="false" outlineLevel="0" collapsed="false">
      <c r="A226" s="17" t="n">
        <v>45443</v>
      </c>
      <c r="B226" s="3" t="n">
        <v>23979.37</v>
      </c>
      <c r="C226" s="24" t="n">
        <f aca="false">(B226/B225-1)/(A226-A225)*30</f>
        <v>0.00533624447450137</v>
      </c>
      <c r="D226" s="19" t="n">
        <f aca="false">+D225*(1+C226)</f>
        <v>126.326182382354</v>
      </c>
      <c r="F226" s="17" t="n">
        <v>45443</v>
      </c>
      <c r="G226" s="4" t="n">
        <v>1270.4178</v>
      </c>
      <c r="H226" s="4" t="n">
        <f aca="false">+G226+$S$144+$S$146+$S$148</f>
        <v>1325.17897451667</v>
      </c>
      <c r="I226" s="24" t="n">
        <f aca="false">+(H226/H225-1)/(F226-F225)*30</f>
        <v>0.00581483861058689</v>
      </c>
      <c r="J226" s="18" t="n">
        <f aca="false">+J225*(1+I226)</f>
        <v>131.98423821263</v>
      </c>
      <c r="K226" s="3" t="n">
        <v>5924.7824</v>
      </c>
      <c r="L226" s="24" t="n">
        <f aca="false">+(K226/K225-1)/(F226-F225)*30</f>
        <v>0.00403335179608358</v>
      </c>
      <c r="M226" s="19" t="n">
        <f aca="false">+M225*(1+L226)</f>
        <v>120.514378375185</v>
      </c>
    </row>
    <row r="227" customFormat="false" ht="15" hidden="false" customHeight="false" outlineLevel="0" collapsed="false">
      <c r="A227" s="17" t="n">
        <v>45473</v>
      </c>
      <c r="B227" s="19" t="n">
        <v>24090</v>
      </c>
      <c r="C227" s="24" t="n">
        <f aca="false">(B227/B226-1)/(A227-A226)*30</f>
        <v>0.00461354906321554</v>
      </c>
      <c r="D227" s="19" t="n">
        <f aca="false">+D226*(1+C227)</f>
        <v>126.908994422744</v>
      </c>
      <c r="F227" s="17" t="n">
        <v>45473</v>
      </c>
      <c r="G227" s="4" t="n">
        <v>1277.6226</v>
      </c>
      <c r="H227" s="4" t="n">
        <f aca="false">+G227+$S$144+$S$146+$S$148</f>
        <v>1332.38377451667</v>
      </c>
      <c r="I227" s="24" t="n">
        <f aca="false">+(H227/H226-1)/(F227-F226)*30</f>
        <v>0.00543685052249465</v>
      </c>
      <c r="J227" s="18" t="n">
        <f aca="false">+J226*(1+I227)</f>
        <v>132.701816787117</v>
      </c>
      <c r="K227" s="3" t="n">
        <v>5946.409</v>
      </c>
      <c r="L227" s="24" t="n">
        <f aca="false">+(K227/K226-1)/(F227-F226)*30</f>
        <v>0.00365019312776771</v>
      </c>
      <c r="M227" s="19" t="n">
        <f aca="false">+M226*(1+L227)</f>
        <v>120.954279130927</v>
      </c>
    </row>
    <row r="228" customFormat="false" ht="15" hidden="false" customHeight="false" outlineLevel="0" collapsed="false">
      <c r="A228" s="17" t="n">
        <v>45504</v>
      </c>
      <c r="B228" s="3" t="n">
        <v>24217.3</v>
      </c>
      <c r="C228" s="24" t="n">
        <f aca="false">(B228/B227-1)/(A228-A227)*30</f>
        <v>0.00511388743823562</v>
      </c>
      <c r="D228" s="19" t="n">
        <f aca="false">+D227*(1+C228)</f>
        <v>127.557992735121</v>
      </c>
      <c r="F228" s="17" t="n">
        <v>45504</v>
      </c>
      <c r="G228" s="4" t="n">
        <v>1284.3892</v>
      </c>
      <c r="H228" s="4" t="n">
        <f aca="false">+G228+$S$144+$S$146+$S$148</f>
        <v>1339.15037451667</v>
      </c>
      <c r="I228" s="24" t="n">
        <f aca="false">+(H228/H227-1)/(F228-F227)*30</f>
        <v>0.00491474206297711</v>
      </c>
      <c r="J228" s="18" t="n">
        <f aca="false">+J227*(1+I228)</f>
        <v>133.354011987914</v>
      </c>
      <c r="K228" s="3" t="n">
        <v>5968.019</v>
      </c>
      <c r="L228" s="24" t="n">
        <f aca="false">+(K228/K227-1)/(F228-F227)*30</f>
        <v>0.00351689620169189</v>
      </c>
      <c r="M228" s="19" t="n">
        <f aca="false">+M227*(1+L228)</f>
        <v>121.379662775781</v>
      </c>
    </row>
    <row r="229" customFormat="false" ht="15" hidden="false" customHeight="false" outlineLevel="0" collapsed="false">
      <c r="A229" s="17" t="n">
        <v>45535</v>
      </c>
      <c r="B229" s="3" t="n">
        <v>24333.6</v>
      </c>
      <c r="C229" s="24" t="n">
        <f aca="false">(B229/B228-1)/(A229-A228)*30</f>
        <v>0.004647437455735</v>
      </c>
      <c r="D229" s="19" t="n">
        <f aca="false">+D228*(1+C229)</f>
        <v>128.150810528337</v>
      </c>
      <c r="F229" s="17" t="n">
        <v>45535</v>
      </c>
      <c r="G229" s="4" t="n">
        <v>1291.7416</v>
      </c>
      <c r="H229" s="4" t="n">
        <f aca="false">+G229+$S$144+$S$146+$S$148</f>
        <v>1346.50277451667</v>
      </c>
      <c r="I229" s="24" t="n">
        <f aca="false">+(H229/H228-1)/(F229-F228)*30</f>
        <v>0.00531323885789867</v>
      </c>
      <c r="J229" s="18" t="n">
        <f aca="false">+J228*(1+I229)</f>
        <v>134.062553706265</v>
      </c>
      <c r="K229" s="3" t="n">
        <v>5989.669</v>
      </c>
      <c r="L229" s="24" t="n">
        <f aca="false">+(K229/K228-1)/(F229-F228)*30</f>
        <v>0.00351064782186953</v>
      </c>
      <c r="M229" s="19" t="n">
        <f aca="false">+M228*(1+L229)</f>
        <v>121.805784024524</v>
      </c>
    </row>
    <row r="230" customFormat="false" ht="15" hidden="false" customHeight="false" outlineLevel="0" collapsed="false">
      <c r="A230" s="17" t="n">
        <v>45565</v>
      </c>
      <c r="B230" s="3" t="n">
        <v>24449.94</v>
      </c>
      <c r="C230" s="24" t="n">
        <f aca="false">(B230/B229-1)/(A230-A229)*30</f>
        <v>0.00478104349541386</v>
      </c>
      <c r="D230" s="19" t="n">
        <f aca="false">+D229*(1+C230)</f>
        <v>128.763505127445</v>
      </c>
      <c r="F230" s="17" t="n">
        <v>45565</v>
      </c>
      <c r="G230" s="4" t="n">
        <v>1298.8529</v>
      </c>
      <c r="H230" s="4" t="n">
        <f aca="false">+G230+$S$144+$S$146+$S$148</f>
        <v>1353.61407451667</v>
      </c>
      <c r="I230" s="24" t="n">
        <f aca="false">+(H230/H229-1)/(F230-F229)*30</f>
        <v>0.00528131106343444</v>
      </c>
      <c r="J230" s="18" t="n">
        <f aca="false">+J229*(1+I230)</f>
        <v>134.770579754346</v>
      </c>
      <c r="K230" s="3" t="n">
        <v>6009.8868</v>
      </c>
      <c r="L230" s="24" t="n">
        <f aca="false">+(K230/K229-1)/(F230-F229)*30</f>
        <v>0.0033754452875443</v>
      </c>
      <c r="M230" s="19" t="n">
        <f aca="false">+M229*(1+L230)</f>
        <v>122.216932784205</v>
      </c>
    </row>
    <row r="231" customFormat="false" ht="15" hidden="false" customHeight="false" outlineLevel="0" collapsed="false">
      <c r="A231" s="17" t="n">
        <v>45596</v>
      </c>
      <c r="B231" s="3" t="n">
        <v>24560.22</v>
      </c>
      <c r="C231" s="24" t="n">
        <f aca="false">(B231/B230-1)/(A231-A230)*30</f>
        <v>0.00436494243524368</v>
      </c>
      <c r="D231" s="19" t="n">
        <f aca="false">+D230*(1+C231)</f>
        <v>129.325550415087</v>
      </c>
      <c r="F231" s="17" t="n">
        <v>45596</v>
      </c>
      <c r="G231" s="4" t="n">
        <v>1305.6027</v>
      </c>
      <c r="H231" s="4" t="n">
        <f aca="false">+G231+$S$144+$S$146+$S$148</f>
        <v>1360.36387451667</v>
      </c>
      <c r="I231" s="24" t="n">
        <f aca="false">+(H231/H230-1)/(F231-F230)*30</f>
        <v>0.00482564760451487</v>
      </c>
      <c r="J231" s="18" t="n">
        <f aca="false">+J230*(1+I231)</f>
        <v>135.420935079697</v>
      </c>
      <c r="K231" s="3" t="n">
        <v>6030.3854</v>
      </c>
      <c r="L231" s="24" t="n">
        <f aca="false">+(K231/K230-1)/(F231-F230)*30</f>
        <v>0.00330078677001207</v>
      </c>
      <c r="M231" s="19" t="n">
        <f aca="false">+M230*(1+L231)</f>
        <v>122.620344819011</v>
      </c>
    </row>
    <row r="232" customFormat="false" ht="15" hidden="false" customHeight="false" outlineLevel="0" collapsed="false">
      <c r="A232" s="17" t="n">
        <v>45626</v>
      </c>
      <c r="B232" s="3" t="n">
        <v>24667.9</v>
      </c>
      <c r="C232" s="24" t="n">
        <f aca="false">(B232/B231-1)/(A232-A231)*30</f>
        <v>0.0043843255475724</v>
      </c>
      <c r="D232" s="19" t="n">
        <f aca="false">+D231*(1+C232)</f>
        <v>129.892555729725</v>
      </c>
      <c r="F232" s="17" t="n">
        <v>45626</v>
      </c>
      <c r="G232" s="4" t="n">
        <v>1312.4161</v>
      </c>
      <c r="H232" s="4" t="n">
        <f aca="false">+G232+$S$144+$S$146+$S$148</f>
        <v>1367.17727451667</v>
      </c>
      <c r="I232" s="24" t="n">
        <f aca="false">+(H232/H231-1)/(F232-F231)*30</f>
        <v>0.00500851288955384</v>
      </c>
      <c r="J232" s="18" t="n">
        <f aca="false">+J231*(1+I232)</f>
        <v>136.099192578559</v>
      </c>
      <c r="K232" s="3" t="n">
        <v>6049.8055</v>
      </c>
      <c r="L232" s="24" t="n">
        <f aca="false">+(K232/K231-1)/(F232-F231)*30</f>
        <v>0.00322037460491331</v>
      </c>
      <c r="M232" s="19" t="n">
        <f aca="false">+M231*(1+L232)</f>
        <v>123.015228263512</v>
      </c>
    </row>
    <row r="233" customFormat="false" ht="15" hidden="false" customHeight="false" outlineLevel="0" collapsed="false">
      <c r="A233" s="17" t="n">
        <v>45657</v>
      </c>
      <c r="B233" s="3" t="n">
        <v>24777.58</v>
      </c>
      <c r="C233" s="24" t="n">
        <f aca="false">(B233/B232-1)/(A233-A232)*30</f>
        <v>0.00430283629672052</v>
      </c>
      <c r="D233" s="19" t="n">
        <f aca="false">+D232*(1+C233)</f>
        <v>130.451462133193</v>
      </c>
      <c r="F233" s="17" t="n">
        <v>45657</v>
      </c>
      <c r="G233" s="4" t="n">
        <v>1294.3776</v>
      </c>
      <c r="H233" s="4" t="n">
        <f aca="false">+G233+$S$144+$S$146+$S$148+$S$150</f>
        <v>1373.76421661608</v>
      </c>
      <c r="I233" s="24" t="n">
        <f aca="false">+(H233/H232-1)/(F233-F232)*30</f>
        <v>0.00466249711359188</v>
      </c>
      <c r="J233" s="18" t="n">
        <f aca="false">+J232*(1+I233)</f>
        <v>136.733754671119</v>
      </c>
      <c r="K233" s="3" t="n">
        <v>6069.3455</v>
      </c>
      <c r="L233" s="24" t="n">
        <f aca="false">+(K233/K232-1)/(F233-F232)*30</f>
        <v>0.00312566700191516</v>
      </c>
      <c r="M233" s="19" t="n">
        <f aca="false">+M232*(1+L233)</f>
        <v>123.399732903228</v>
      </c>
    </row>
    <row r="234" customFormat="false" ht="15" hidden="false" customHeight="false" outlineLevel="0" collapsed="false">
      <c r="A234" s="17" t="n">
        <v>45688</v>
      </c>
      <c r="B234" s="3" t="n">
        <v>24887.95</v>
      </c>
      <c r="C234" s="24" t="n">
        <f aca="false">(B234/B233-1)/(A234-A233)*30</f>
        <v>0.00431073887842782</v>
      </c>
      <c r="D234" s="19" t="n">
        <f aca="false">+D233*(1+C234)</f>
        <v>131.013804322758</v>
      </c>
      <c r="F234" s="17" t="n">
        <v>45688</v>
      </c>
      <c r="G234" s="4" t="n">
        <v>1300.7619</v>
      </c>
      <c r="H234" s="4" t="n">
        <f aca="false">+G234+$S$144+$S$146+$S$148+$S$150</f>
        <v>1380.14851661608</v>
      </c>
      <c r="I234" s="24" t="n">
        <f aca="false">+(H234/H233-1)/(F234-F233)*30</f>
        <v>0.00449739101075755</v>
      </c>
      <c r="J234" s="18" t="n">
        <f aca="false">+J233*(1+I234)</f>
        <v>137.348699830244</v>
      </c>
      <c r="K234" s="3" t="n">
        <v>6087.6762</v>
      </c>
      <c r="L234" s="24" t="n">
        <f aca="false">+(K234/K233-1)/(F234-F233)*30</f>
        <v>0.00292278419423869</v>
      </c>
      <c r="M234" s="19" t="n">
        <f aca="false">+M233*(1+L234)</f>
        <v>123.760403692131</v>
      </c>
    </row>
    <row r="235" customFormat="false" ht="15" hidden="false" customHeight="false" outlineLevel="0" collapsed="false">
      <c r="A235" s="17" t="n">
        <v>45716</v>
      </c>
      <c r="B235" s="3" t="n">
        <v>24984.92</v>
      </c>
      <c r="C235" s="24" t="n">
        <f aca="false">(B235/B234-1)/(A235-A234)*30</f>
        <v>0.0041745675546369</v>
      </c>
      <c r="D235" s="19" t="n">
        <f aca="false">+D234*(1+C235)</f>
        <v>131.560730299494</v>
      </c>
      <c r="F235" s="17" t="n">
        <v>45716</v>
      </c>
      <c r="G235" s="4" t="n">
        <v>1307.2424</v>
      </c>
      <c r="H235" s="4" t="n">
        <f aca="false">+G235+$S$144+$S$146+$S$148+$S$150</f>
        <v>1386.62901661608</v>
      </c>
      <c r="I235" s="24" t="n">
        <f aca="false">+(H235/H234-1)/(F235-F234)*30</f>
        <v>0.00503090266992935</v>
      </c>
      <c r="J235" s="18" t="n">
        <f aca="false">+J234*(1+I235)</f>
        <v>138.039687770931</v>
      </c>
      <c r="K235" s="3" t="n">
        <v>6104.4912</v>
      </c>
      <c r="L235" s="24" t="n">
        <f aca="false">+(K235/K234-1)/(F235-F234)*30</f>
        <v>0.00295943326101547</v>
      </c>
      <c r="M235" s="19" t="n">
        <f aca="false">+M234*(1+L235)</f>
        <v>124.126664347214</v>
      </c>
    </row>
    <row r="236" customFormat="false" ht="15" hidden="false" customHeight="false" outlineLevel="0" collapsed="false">
      <c r="A236" s="17" t="n">
        <v>45747</v>
      </c>
      <c r="B236" s="3" t="n">
        <v>25092.7</v>
      </c>
      <c r="C236" s="24" t="n">
        <f aca="false">(B236/B235-1)/(A236-A235)*30</f>
        <v>0.00417464717943687</v>
      </c>
      <c r="D236" s="19" t="n">
        <f aca="false">+D235*(1+C236)</f>
        <v>132.109949931163</v>
      </c>
      <c r="F236" s="17" t="n">
        <v>45747</v>
      </c>
      <c r="G236" s="4" t="n">
        <v>1315.5221</v>
      </c>
      <c r="H236" s="4" t="n">
        <f aca="false">+G236+$S$144+$S$146+$S$148+$S$150</f>
        <v>1394.90871661608</v>
      </c>
      <c r="I236" s="24" t="n">
        <f aca="false">+(H236/H235-1)/(F236-F235)*30</f>
        <v>0.00577848350727545</v>
      </c>
      <c r="J236" s="18" t="n">
        <f aca="false">+J235*(1+I236)</f>
        <v>138.837347830065</v>
      </c>
      <c r="K236" s="3" t="n">
        <v>6123.1882</v>
      </c>
      <c r="L236" s="24" t="n">
        <f aca="false">+(K236/K235-1)/(F236-F235)*30</f>
        <v>0.00296402605474173</v>
      </c>
      <c r="M236" s="19" t="n">
        <f aca="false">+M235*(1+L236)</f>
        <v>124.494579014428</v>
      </c>
    </row>
    <row r="237" customFormat="false" ht="15" hidden="false" customHeight="false" outlineLevel="0" collapsed="false">
      <c r="A237" s="17" t="n">
        <v>45777</v>
      </c>
      <c r="B237" s="3" t="n">
        <v>25197.48</v>
      </c>
      <c r="C237" s="24" t="n">
        <f aca="false">(B237/B236-1)/(A237-A236)*30</f>
        <v>0.00417571644342774</v>
      </c>
      <c r="D237" s="19" t="n">
        <f aca="false">+D236*(1+C237)</f>
        <v>132.661603621431</v>
      </c>
      <c r="F237" s="17" t="n">
        <v>45777</v>
      </c>
      <c r="G237" s="4" t="n">
        <v>1324.3201</v>
      </c>
      <c r="H237" s="4" t="n">
        <f aca="false">+G237+$S$144+$S$146+$S$148+$S$150</f>
        <v>1403.70671661608</v>
      </c>
      <c r="I237" s="24" t="n">
        <f aca="false">+(H237/H236-1)/(F237-F236)*30</f>
        <v>0.0063072227560117</v>
      </c>
      <c r="J237" s="18" t="n">
        <f aca="false">+J236*(1+I237)</f>
        <v>139.713025909683</v>
      </c>
      <c r="K237" s="3" t="n">
        <v>6141.4105</v>
      </c>
      <c r="L237" s="24" t="n">
        <f aca="false">+(K237/K236-1)/(F237-F236)*30</f>
        <v>0.00297594968581905</v>
      </c>
      <c r="M237" s="19" t="n">
        <f aca="false">+M236*(1+L237)</f>
        <v>124.865068617732</v>
      </c>
    </row>
    <row r="238" customFormat="false" ht="15" hidden="false" customHeight="false" outlineLevel="0" collapsed="false">
      <c r="A238" s="17" t="n">
        <v>45808</v>
      </c>
      <c r="B238" s="3" t="n">
        <v>25302.66</v>
      </c>
      <c r="C238" s="24" t="n">
        <f aca="false">(B238/B237-1)/(A238-A237)*30</f>
        <v>0.00403957446435886</v>
      </c>
      <c r="D238" s="19" t="n">
        <f aca="false">+D237*(1+C238)</f>
        <v>133.197500047821</v>
      </c>
      <c r="F238" s="17" t="n">
        <v>45808</v>
      </c>
      <c r="G238" s="4" t="n">
        <v>1333.253</v>
      </c>
      <c r="H238" s="4" t="n">
        <f aca="false">+G238+$S$144+$S$146+$S$148+$S$150</f>
        <v>1412.63961661608</v>
      </c>
      <c r="I238" s="24" t="n">
        <f aca="false">+(H238/H237-1)/(F238-F237)*30</f>
        <v>0.006158510059939</v>
      </c>
      <c r="J238" s="18" t="n">
        <f aca="false">+J237*(1+I238)</f>
        <v>140.573449985252</v>
      </c>
      <c r="K238" s="3" t="n">
        <v>6160.386</v>
      </c>
      <c r="L238" s="24" t="n">
        <f aca="false">+(K238/K237-1)/(F238-F237)*30</f>
        <v>0.00299009276399519</v>
      </c>
      <c r="M238" s="19" t="n">
        <f aca="false">+M237*(1+L238)</f>
        <v>125.238426755881</v>
      </c>
    </row>
    <row r="239" customFormat="false" ht="15" hidden="false" customHeight="false" outlineLevel="0" collapsed="false">
      <c r="A239" s="17" t="n">
        <v>45838</v>
      </c>
      <c r="B239" s="3" t="n">
        <v>25411.83</v>
      </c>
      <c r="C239" s="24" t="n">
        <f aca="false">(B239/B238-1)/(A239-A238)*30</f>
        <v>0.00431456613652492</v>
      </c>
      <c r="D239" s="19" t="n">
        <f aca="false">+D238*(1+C239)</f>
        <v>133.772189470997</v>
      </c>
      <c r="F239" s="17" t="n">
        <v>45838</v>
      </c>
      <c r="G239" s="4" t="n">
        <v>1341.4112</v>
      </c>
      <c r="H239" s="4" t="n">
        <f aca="false">+G239+$S$144+$S$146+$S$148+$S$150</f>
        <v>1420.79781661608</v>
      </c>
      <c r="I239" s="24" t="n">
        <f aca="false">+(H239/H238-1)/(F239-F238)*30</f>
        <v>0.00577514597781326</v>
      </c>
      <c r="J239" s="18" t="n">
        <f aca="false">+J238*(1+I239)</f>
        <v>141.385282179522</v>
      </c>
      <c r="K239" s="3" t="n">
        <v>6178.849</v>
      </c>
      <c r="L239" s="24" t="n">
        <f aca="false">+(K239/K238-1)/(F239-F238)*30</f>
        <v>0.00299705245742721</v>
      </c>
      <c r="M239" s="19" t="n">
        <f aca="false">+M238*(1+L239)</f>
        <v>125.613772890554</v>
      </c>
    </row>
    <row r="240" customFormat="false" ht="15" hidden="false" customHeight="false" outlineLevel="0" collapsed="false">
      <c r="A240" s="17" t="n">
        <v>45869</v>
      </c>
      <c r="B240" s="3" t="n">
        <v>25521.26</v>
      </c>
      <c r="C240" s="24" t="n">
        <f aca="false">(B240/B239-1)/(A240-A239)*30</f>
        <v>0.00416735040333568</v>
      </c>
      <c r="D240" s="19" t="n">
        <f aca="false">+D239*(1+C240)</f>
        <v>134.329665058744</v>
      </c>
      <c r="F240" s="17" t="n">
        <v>45869</v>
      </c>
      <c r="G240" s="4" t="n">
        <v>1349.3165</v>
      </c>
      <c r="H240" s="4" t="n">
        <f aca="false">+G240+$S$144+$S$146+$S$148+$S$150</f>
        <v>1428.70311661608</v>
      </c>
      <c r="I240" s="24" t="n">
        <f aca="false">+(H240/H239-1)/(F240-F239)*30</f>
        <v>0.00538450315246202</v>
      </c>
      <c r="J240" s="18" t="n">
        <f aca="false">+J239*(1+I240)</f>
        <v>142.146571677129</v>
      </c>
      <c r="K240" s="3" t="n">
        <v>6197.08</v>
      </c>
      <c r="L240" s="24" t="n">
        <f aca="false">+(K240/K239-1)/(F240-F239)*30</f>
        <v>0.00285537051088415</v>
      </c>
      <c r="M240" s="19" t="n">
        <f aca="false">+M239*(1+L240)</f>
        <v>125.972446753427</v>
      </c>
    </row>
    <row r="241" customFormat="false" ht="15" hidden="false" customHeight="false" outlineLevel="0" collapsed="false">
      <c r="A241" s="17" t="n">
        <v>45900</v>
      </c>
      <c r="B241" s="3" t="n">
        <v>25619.09</v>
      </c>
      <c r="C241" s="24" t="n">
        <f aca="false">(B241/B240-1)/(A241-A240)*30</f>
        <v>0.00370962066717663</v>
      </c>
      <c r="D241" s="19" t="n">
        <f aca="false">+D240*(1+C241)</f>
        <v>134.827977160461</v>
      </c>
      <c r="F241" s="17" t="n">
        <v>45900</v>
      </c>
      <c r="G241" s="4" t="n">
        <v>1357.6708</v>
      </c>
      <c r="H241" s="4" t="n">
        <f aca="false">+G241+$S$144+$S$146+$S$148+$S$150</f>
        <v>1437.05741661608</v>
      </c>
      <c r="I241" s="24" t="n">
        <f aca="false">+(H241/H240-1)/(F241-F240)*30</f>
        <v>0.00565884287476196</v>
      </c>
      <c r="J241" s="18" t="n">
        <f aca="false">+J240*(1+I241)</f>
        <v>142.950956791436</v>
      </c>
      <c r="K241" s="3" t="n">
        <v>6215.6746</v>
      </c>
      <c r="L241" s="24" t="n">
        <f aca="false">+(K241/K240-1)/(F241-F240)*30</f>
        <v>0.00290375050726291</v>
      </c>
      <c r="M241" s="19" t="n">
        <f aca="false">+M240*(1+L241)</f>
        <v>126.338239309588</v>
      </c>
    </row>
    <row r="242" customFormat="false" ht="15" hidden="false" customHeight="false" outlineLevel="0" collapsed="false">
      <c r="A242" s="17" t="n">
        <v>45930</v>
      </c>
      <c r="B242" s="3" t="n">
        <v>25727.46</v>
      </c>
      <c r="C242" s="24" t="n">
        <f aca="false">(B242/B241-1)/(A242-A241)*30</f>
        <v>0.00423004876441735</v>
      </c>
      <c r="D242" s="19" t="n">
        <f aca="false">+D241*(1+C242)</f>
        <v>135.398306078658</v>
      </c>
      <c r="F242" s="17" t="n">
        <v>45930</v>
      </c>
      <c r="G242" s="4" t="n">
        <v>1365.4092</v>
      </c>
      <c r="H242" s="4" t="n">
        <f aca="false">+G242+$S$144+$S$146+$S$148+$S$150</f>
        <v>1444.79581661608</v>
      </c>
      <c r="I242" s="24" t="n">
        <f aca="false">+(H242/H241-1)/(F242-F241)*30</f>
        <v>0.00538489270541609</v>
      </c>
      <c r="J242" s="18" t="n">
        <f aca="false">+J241*(1+I242)</f>
        <v>143.720732355895</v>
      </c>
      <c r="K242" s="3" t="n">
        <v>6232.8399</v>
      </c>
      <c r="L242" s="24" t="n">
        <f aca="false">+(K242/K241-1)/(F242-F241)*30</f>
        <v>0.00276161496613736</v>
      </c>
      <c r="M242" s="19" t="n">
        <f aca="false">+M241*(1+L242)</f>
        <v>126.687136882061</v>
      </c>
    </row>
    <row r="243" customFormat="false" ht="15" hidden="false" customHeight="false" outlineLevel="0" collapsed="false">
      <c r="A243" s="17" t="n">
        <v>45961</v>
      </c>
      <c r="B243" s="3" t="n">
        <v>25829.5</v>
      </c>
      <c r="C243" s="24" t="n">
        <f aca="false">(B243/B242-1)/(A243-A242)*30</f>
        <v>0.00383824859106876</v>
      </c>
      <c r="D243" s="19" t="n">
        <f aca="false">+D242*(1+C243)</f>
        <v>135.917998436197</v>
      </c>
      <c r="F243" s="17" t="n">
        <v>45961</v>
      </c>
      <c r="G243" s="4" t="n">
        <v>1373.4771</v>
      </c>
      <c r="H243" s="4" t="n">
        <f aca="false">+G243+$S$144+$S$146+$S$148+$S$150</f>
        <v>1452.86371661608</v>
      </c>
      <c r="I243" s="24" t="n">
        <f aca="false">+(H243/H242-1)/(F243-F242)*30</f>
        <v>0.00540397824488247</v>
      </c>
      <c r="J243" s="18" t="n">
        <f aca="false">+J242*(1+I243)</f>
        <v>144.497396066884</v>
      </c>
      <c r="K243" s="3" t="n">
        <v>6250.6982</v>
      </c>
      <c r="L243" s="24" t="n">
        <f aca="false">+(K243/K242-1)/(F243-F242)*30</f>
        <v>0.00277276908820515</v>
      </c>
      <c r="M243" s="19" t="n">
        <f aca="false">+M242*(1+L243)</f>
        <v>127.038411059081</v>
      </c>
    </row>
    <row r="244" customFormat="false" ht="15" hidden="false" customHeight="false" outlineLevel="0" collapsed="false">
      <c r="A244" s="17" t="n">
        <v>45991</v>
      </c>
      <c r="B244" s="3" t="n">
        <v>25928.49</v>
      </c>
      <c r="C244" s="24" t="n">
        <f aca="false">(B244/B243-1)/(A244-A243)*30</f>
        <v>0.00383243965233548</v>
      </c>
      <c r="D244" s="19" t="n">
        <f aca="false">+D243*(1+C244)</f>
        <v>136.43889596287</v>
      </c>
      <c r="F244" s="17" t="n">
        <v>45991</v>
      </c>
      <c r="G244" s="4" t="n">
        <v>1381.5279</v>
      </c>
      <c r="H244" s="4" t="n">
        <f aca="false">+G244+$S$144+$S$146+$S$148+$S$150</f>
        <v>1460.91451661608</v>
      </c>
      <c r="I244" s="24" t="n">
        <f aca="false">+(H244/H243-1)/(F244-F243)*30</f>
        <v>0.00554133185922723</v>
      </c>
      <c r="J244" s="18" t="n">
        <f aca="false">+J243*(1+I244)</f>
        <v>145.298104091285</v>
      </c>
      <c r="K244" s="3" t="n">
        <v>6268.169</v>
      </c>
      <c r="L244" s="24" t="n">
        <f aca="false">+(K244/K243-1)/(F244-F243)*30</f>
        <v>0.00279501576319907</v>
      </c>
      <c r="M244" s="19" t="n">
        <f aca="false">+M243*(1+L244)</f>
        <v>127.393485420523</v>
      </c>
    </row>
    <row r="245" customFormat="false" ht="15" hidden="false" customHeight="false" outlineLevel="0" collapsed="false">
      <c r="A245" s="17" t="n">
        <v>46022</v>
      </c>
      <c r="B245" s="3" t="n">
        <v>26035.82</v>
      </c>
      <c r="C245" s="24" t="n">
        <f aca="false">(B245/B244-1)/(A245-A244)*30</f>
        <v>0.00400593100236385</v>
      </c>
      <c r="D245" s="19" t="n">
        <f aca="false">+D244*(1+C245)</f>
        <v>136.985460766136</v>
      </c>
      <c r="F245" s="17" t="n">
        <v>46022</v>
      </c>
      <c r="G245" s="67" t="n">
        <v>1389.8568</v>
      </c>
      <c r="H245" s="4" t="n">
        <f aca="false">+G245+$S$144+$S$146+$S$148+$S$150</f>
        <v>1469.24341661608</v>
      </c>
      <c r="I245" s="24" t="n">
        <f aca="false">+(H245/H244-1)/(F245-F244)*30</f>
        <v>0.0055172467073033</v>
      </c>
      <c r="J245" s="18" t="n">
        <f aca="false">+J244*(1+I245)</f>
        <v>146.09974957766</v>
      </c>
      <c r="K245" s="3" t="n">
        <v>6285.9566</v>
      </c>
      <c r="L245" s="24" t="n">
        <f aca="false">+(K245/K244-1)/(F245-F244)*30</f>
        <v>0.00274622564446067</v>
      </c>
      <c r="M245" s="19" t="n">
        <f aca="false">+M244*(1+L245)</f>
        <v>127.743336677122</v>
      </c>
    </row>
    <row r="246" customFormat="false" ht="15" hidden="false" customHeight="false" outlineLevel="0" collapsed="false">
      <c r="A246" s="17" t="n">
        <v>46053</v>
      </c>
      <c r="B246" s="3" t="n">
        <v>26136.9</v>
      </c>
      <c r="C246" s="24" t="n">
        <f aca="false">(B246/B245-1)/(A246-A245)*30</f>
        <v>0.00375710674135526</v>
      </c>
      <c r="D246" s="19" t="n">
        <f aca="false">+D245*(1+C246)</f>
        <v>137.500129764248</v>
      </c>
      <c r="F246" s="17" t="n">
        <v>46053</v>
      </c>
      <c r="G246" s="67" t="n">
        <v>1398.3867</v>
      </c>
      <c r="H246" s="4" t="n">
        <f aca="false">+G246+$S$144+$S$146+$S$148+$S$150</f>
        <v>1477.77331661608</v>
      </c>
      <c r="I246" s="24" t="n">
        <f aca="false">+(H246/H245-1)/(F246-F245)*30</f>
        <v>0.0056183623776216</v>
      </c>
      <c r="J246" s="18" t="n">
        <f aca="false">+J245*(1+I246)</f>
        <v>146.920590914067</v>
      </c>
      <c r="K246" s="3" t="n">
        <v>6303.0823</v>
      </c>
      <c r="L246" s="24" t="n">
        <f aca="false">+(K246/K245-1)/(F246-F245)*30</f>
        <v>0.00263655305296194</v>
      </c>
      <c r="M246" s="19" t="n">
        <f aca="false">+M245*(1+L246)</f>
        <v>128.080138761434</v>
      </c>
    </row>
    <row r="247" customFormat="false" ht="15" hidden="false" customHeight="false" outlineLevel="0" collapsed="false">
      <c r="A247" s="68" t="n">
        <v>46081</v>
      </c>
      <c r="B247" s="69" t="n">
        <v>26231.81</v>
      </c>
      <c r="C247" s="24" t="n">
        <f aca="false">(B247/B246-1)/(A247-A246)*30</f>
        <v>0.00389064065418173</v>
      </c>
      <c r="D247" s="19" t="n">
        <f aca="false">+D246*(1+C247)</f>
        <v>138.035093359064</v>
      </c>
      <c r="F247" s="68" t="n">
        <v>46081</v>
      </c>
      <c r="G247" s="67" t="n">
        <v>1406.3789</v>
      </c>
      <c r="H247" s="4" t="n">
        <f aca="false">+G247+$S$144+$S$146+$S$148+$S$150</f>
        <v>1485.76551661608</v>
      </c>
      <c r="I247" s="24" t="n">
        <f aca="false">+(H247/H246-1)/(F247-F246)*30</f>
        <v>0.00579457710616928</v>
      </c>
      <c r="J247" s="18" t="n">
        <f aca="false">+J246*(1+I247)</f>
        <v>147.771933606603</v>
      </c>
      <c r="K247" s="70" t="n">
        <v>6318.4947</v>
      </c>
      <c r="L247" s="24" t="n">
        <f aca="false">+(K247/K246-1)/(F247-F246)*30</f>
        <v>0.00261987467850238</v>
      </c>
      <c r="M247" s="19" t="n">
        <f aca="false">+M246*(1+L247)</f>
        <v>128.415692673794</v>
      </c>
    </row>
    <row r="248" customFormat="false" ht="15" hidden="false" customHeight="false" outlineLevel="0" collapsed="false">
      <c r="A248" s="68" t="n">
        <v>46112</v>
      </c>
      <c r="B248" s="69" t="n">
        <v>26333.64</v>
      </c>
      <c r="C248" s="24" t="n">
        <f aca="false">(B248/B247-1)/(A248-A247)*30</f>
        <v>0.00375670459988545</v>
      </c>
      <c r="D248" s="19" t="n">
        <f aca="false">+D247*(1+C248)</f>
        <v>138.553650429232</v>
      </c>
      <c r="F248" s="68" t="n">
        <v>46112</v>
      </c>
      <c r="G248" s="71" t="n">
        <v>1415.1743</v>
      </c>
      <c r="H248" s="4" t="n">
        <f aca="false">+G248+$S$144+$S$146+$S$148+$S$150</f>
        <v>1494.56091661608</v>
      </c>
      <c r="I248" s="24" t="n">
        <f aca="false">+(H248/H247-1)/(F248-F247)*30</f>
        <v>0.00572881610467077</v>
      </c>
      <c r="J248" s="18" t="n">
        <f aca="false">+J247*(1+I248)</f>
        <v>148.618491839667</v>
      </c>
      <c r="K248" s="72" t="n">
        <v>6335.4774</v>
      </c>
      <c r="L248" s="24" t="n">
        <f aca="false">+(K248/K247-1)/(F248-F247)*30</f>
        <v>0.00260107379179124</v>
      </c>
      <c r="M248" s="19" t="n">
        <f aca="false">+M247*(1+L248)</f>
        <v>128.749711366462</v>
      </c>
    </row>
    <row r="249" customFormat="false" ht="15" hidden="false" customHeight="false" outlineLevel="0" collapsed="false">
      <c r="A249" s="17" t="n">
        <v>46142</v>
      </c>
      <c r="B249" s="3" t="n">
        <v>19916.8502383877</v>
      </c>
      <c r="C249" s="24" t="n">
        <f aca="false">(B249/B248-1)/(A249-A248)*30</f>
        <v>-0.243672722859896</v>
      </c>
      <c r="D249" s="19" t="n">
        <f aca="false">+D248*(1+C249)</f>
        <v>104.791905166963</v>
      </c>
      <c r="F249" s="17" t="n">
        <v>46142</v>
      </c>
      <c r="G249" s="67" t="n">
        <v>1423.943</v>
      </c>
      <c r="H249" s="4" t="n">
        <f aca="false">+G249+$S$144+$S$146+$S$148+$S$150</f>
        <v>1503.32961661608</v>
      </c>
      <c r="I249" s="24" t="n">
        <f aca="false">+(H249/H248-1)/(F249-F248)*30</f>
        <v>0.00586707433769496</v>
      </c>
      <c r="J249" s="18" t="n">
        <f aca="false">+J248*(1+I249)</f>
        <v>149.490447579246</v>
      </c>
      <c r="L249" s="24" t="n">
        <f aca="false">+(K249/K248-1)/(F249-F248)*30</f>
        <v>-1</v>
      </c>
      <c r="M249" s="19" t="n">
        <f aca="false">+M248*(1+L249)</f>
        <v>0</v>
      </c>
    </row>
  </sheetData>
  <mergeCells count="5">
    <mergeCell ref="AV30:AV31"/>
    <mergeCell ref="AC48:AC50"/>
    <mergeCell ref="AC51:AC53"/>
    <mergeCell ref="AC54:AC56"/>
    <mergeCell ref="AC57:AC5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28"/>
  <sheetViews>
    <sheetView showFormulas="false" showGridLines="false" showRowColHeaders="true" showZeros="true" rightToLeft="false" tabSelected="true" showOutlineSymbols="true" defaultGridColor="true" view="normal" topLeftCell="A1" colorId="64" zoomScale="70" zoomScaleNormal="70" zoomScalePageLayoutView="100" workbookViewId="0">
      <selection pane="topLeft" activeCell="E26" activeCellId="0" sqref="E26"/>
    </sheetView>
  </sheetViews>
  <sheetFormatPr defaultColWidth="11.42578125" defaultRowHeight="15" zeroHeight="false" outlineLevelRow="0" outlineLevelCol="0"/>
  <cols>
    <col collapsed="false" customWidth="true" hidden="false" outlineLevel="0" max="3" min="3" style="73" width="7.71"/>
    <col collapsed="false" customWidth="true" hidden="false" outlineLevel="0" max="4" min="4" style="0" width="15.29"/>
    <col collapsed="false" customWidth="true" hidden="false" outlineLevel="0" max="16" min="5" style="0" width="7.29"/>
    <col collapsed="false" customWidth="true" hidden="false" outlineLevel="0" max="17" min="17" style="0" width="10.14"/>
    <col collapsed="false" customWidth="true" hidden="false" outlineLevel="0" max="19" min="19" style="0" width="17"/>
    <col collapsed="false" customWidth="true" hidden="false" outlineLevel="0" max="20" min="20" style="0" width="9"/>
    <col collapsed="false" customWidth="true" hidden="false" outlineLevel="0" max="21" min="21" style="0" width="11.14"/>
    <col collapsed="false" customWidth="true" hidden="false" outlineLevel="0" max="22" min="22" style="0" width="10.85"/>
    <col collapsed="false" customWidth="true" hidden="false" outlineLevel="0" max="23" min="23" style="0" width="6.85"/>
    <col collapsed="false" customWidth="true" hidden="false" outlineLevel="0" max="24" min="24" style="0" width="12.29"/>
  </cols>
  <sheetData>
    <row r="1" customFormat="false" ht="25.5" hidden="false" customHeight="true" outlineLevel="0" collapsed="false">
      <c r="C1" s="74"/>
      <c r="D1" s="75"/>
      <c r="E1" s="75"/>
      <c r="F1" s="75"/>
      <c r="G1" s="75"/>
      <c r="H1" s="75"/>
      <c r="I1" s="75"/>
      <c r="J1" s="75"/>
      <c r="K1" s="75"/>
      <c r="L1" s="75"/>
      <c r="M1" s="75"/>
      <c r="N1" s="75"/>
      <c r="O1" s="75"/>
      <c r="P1" s="75"/>
      <c r="Q1" s="75"/>
      <c r="R1" s="75"/>
      <c r="S1" s="76" t="s">
        <v>31</v>
      </c>
      <c r="T1" s="77" t="s">
        <v>32</v>
      </c>
      <c r="U1" s="77" t="s">
        <v>33</v>
      </c>
      <c r="V1" s="77" t="s">
        <v>34</v>
      </c>
      <c r="W1" s="77" t="s">
        <v>35</v>
      </c>
      <c r="X1" s="78" t="s">
        <v>48</v>
      </c>
    </row>
    <row r="2" customFormat="false" ht="15" hidden="false" customHeight="false" outlineLevel="0" collapsed="false">
      <c r="C2" s="74"/>
      <c r="D2" s="75"/>
      <c r="E2" s="75"/>
      <c r="F2" s="75"/>
      <c r="G2" s="75"/>
      <c r="H2" s="75"/>
      <c r="I2" s="75"/>
      <c r="J2" s="75"/>
      <c r="K2" s="75"/>
      <c r="L2" s="75"/>
      <c r="M2" s="75"/>
      <c r="N2" s="75"/>
      <c r="O2" s="75"/>
      <c r="P2" s="75"/>
      <c r="Q2" s="75"/>
      <c r="R2" s="75"/>
      <c r="S2" s="74" t="s">
        <v>49</v>
      </c>
      <c r="T2" s="79" t="n">
        <f aca="false">+'Datos ICP (2)'!AX30</f>
        <v>-0.243672722859896</v>
      </c>
      <c r="U2" s="79" t="n">
        <f aca="false">+'Datos ICP (2)'!AY30</f>
        <v>-0.237979628862347</v>
      </c>
      <c r="V2" s="79" t="n">
        <f aca="false">+'Datos ICP (2)'!AZ30</f>
        <v>-0.228910732364632</v>
      </c>
      <c r="W2" s="79" t="n">
        <f aca="false">+'Datos ICP (2)'!BA30</f>
        <v>-0.209569757039683</v>
      </c>
      <c r="X2" s="79" t="n">
        <f aca="false">+'Datos ICP (2)'!BB30</f>
        <v>-0.71393888658704</v>
      </c>
    </row>
    <row r="3" customFormat="false" ht="15" hidden="false" customHeight="false" outlineLevel="0" collapsed="false">
      <c r="C3" s="74"/>
      <c r="D3" s="75"/>
      <c r="E3" s="75"/>
      <c r="F3" s="75"/>
      <c r="G3" s="75"/>
      <c r="H3" s="75"/>
      <c r="I3" s="75"/>
      <c r="J3" s="75"/>
      <c r="K3" s="75"/>
      <c r="L3" s="75"/>
      <c r="M3" s="75"/>
      <c r="N3" s="75"/>
      <c r="O3" s="75"/>
      <c r="P3" s="75"/>
      <c r="Q3" s="75"/>
      <c r="R3" s="75"/>
      <c r="S3" s="74" t="s">
        <v>29</v>
      </c>
      <c r="T3" s="79" t="n">
        <f aca="false">+'Datos ICP (2)'!AX31</f>
        <v>-1</v>
      </c>
      <c r="U3" s="79" t="n">
        <f aca="false">+'Datos ICP (2)'!AY31</f>
        <v>-1</v>
      </c>
      <c r="V3" s="79" t="n">
        <f aca="false">+'Datos ICP (2)'!AZ31</f>
        <v>-1</v>
      </c>
      <c r="W3" s="79" t="n">
        <f aca="false">+'Datos ICP (2)'!BA31</f>
        <v>-1</v>
      </c>
      <c r="X3" s="79" t="n">
        <f aca="false">+'Datos ICP (2)'!BB31</f>
        <v>-3</v>
      </c>
    </row>
    <row r="4" customFormat="false" ht="15" hidden="false" customHeight="false" outlineLevel="0" collapsed="false">
      <c r="C4" s="74"/>
      <c r="D4" s="75"/>
      <c r="E4" s="75"/>
      <c r="F4" s="75"/>
      <c r="G4" s="75"/>
      <c r="H4" s="75"/>
      <c r="I4" s="75"/>
      <c r="J4" s="75"/>
      <c r="K4" s="75"/>
      <c r="L4" s="75"/>
      <c r="M4" s="75"/>
      <c r="N4" s="75"/>
      <c r="O4" s="75"/>
      <c r="P4" s="75"/>
      <c r="Q4" s="75"/>
      <c r="R4" s="75"/>
      <c r="S4" s="74" t="s">
        <v>30</v>
      </c>
      <c r="T4" s="79" t="n">
        <f aca="false">+'Datos ICP (2)'!AX32</f>
        <v>0.00586707433769496</v>
      </c>
      <c r="U4" s="79" t="n">
        <f aca="false">+'Datos ICP (2)'!AY32</f>
        <v>0.0172937890491356</v>
      </c>
      <c r="V4" s="79" t="n">
        <f aca="false">+'Datos ICP (2)'!AZ32</f>
        <v>0.0347354672174911</v>
      </c>
      <c r="W4" s="79" t="n">
        <f aca="false">+'Datos ICP (2)'!BA32</f>
        <v>0.0709713067699509</v>
      </c>
      <c r="X4" s="79" t="n">
        <f aca="false">+'Datos ICP (2)'!BB32</f>
        <v>0.0518813671474068</v>
      </c>
    </row>
    <row r="5" customFormat="false" ht="15" hidden="false" customHeight="false" outlineLevel="0" collapsed="false">
      <c r="B5" s="80"/>
      <c r="C5" s="74"/>
      <c r="D5" s="75"/>
      <c r="E5" s="75"/>
      <c r="F5" s="75"/>
      <c r="G5" s="75"/>
      <c r="H5" s="75"/>
      <c r="I5" s="75"/>
      <c r="J5" s="75"/>
      <c r="K5" s="75"/>
      <c r="L5" s="75"/>
      <c r="M5" s="75"/>
      <c r="N5" s="75"/>
      <c r="O5" s="75"/>
      <c r="P5" s="75"/>
      <c r="Q5" s="75"/>
      <c r="R5" s="75"/>
      <c r="S5" s="75"/>
      <c r="T5" s="75"/>
      <c r="U5" s="75"/>
      <c r="V5" s="75"/>
      <c r="W5" s="75"/>
      <c r="X5" s="75"/>
    </row>
    <row r="6" customFormat="false" ht="25.5" hidden="false" customHeight="true" outlineLevel="0" collapsed="false">
      <c r="B6" s="80"/>
      <c r="C6" s="76" t="s">
        <v>38</v>
      </c>
      <c r="D6" s="81" t="s">
        <v>39</v>
      </c>
      <c r="E6" s="77" t="s">
        <v>4</v>
      </c>
      <c r="F6" s="77" t="s">
        <v>5</v>
      </c>
      <c r="G6" s="77" t="s">
        <v>6</v>
      </c>
      <c r="H6" s="77" t="s">
        <v>7</v>
      </c>
      <c r="I6" s="77" t="s">
        <v>8</v>
      </c>
      <c r="J6" s="77" t="s">
        <v>9</v>
      </c>
      <c r="K6" s="77" t="s">
        <v>10</v>
      </c>
      <c r="L6" s="77" t="s">
        <v>11</v>
      </c>
      <c r="M6" s="77" t="s">
        <v>12</v>
      </c>
      <c r="N6" s="77" t="s">
        <v>13</v>
      </c>
      <c r="O6" s="77" t="s">
        <v>14</v>
      </c>
      <c r="P6" s="77" t="s">
        <v>15</v>
      </c>
      <c r="Q6" s="78" t="s">
        <v>50</v>
      </c>
      <c r="R6" s="82"/>
      <c r="S6" s="75"/>
      <c r="T6" s="75"/>
      <c r="U6" s="75"/>
      <c r="V6" s="75"/>
      <c r="W6" s="75"/>
      <c r="X6" s="75"/>
    </row>
    <row r="7" customFormat="false" ht="9.75" hidden="false" customHeight="true" outlineLevel="0" collapsed="false">
      <c r="B7" s="80"/>
      <c r="C7" s="74"/>
      <c r="D7" s="75"/>
      <c r="E7" s="83"/>
      <c r="F7" s="83"/>
      <c r="G7" s="83"/>
      <c r="H7" s="83"/>
      <c r="I7" s="83"/>
      <c r="J7" s="83"/>
      <c r="K7" s="83"/>
      <c r="L7" s="83"/>
      <c r="M7" s="83"/>
      <c r="N7" s="83"/>
      <c r="O7" s="83"/>
      <c r="P7" s="83"/>
      <c r="Q7" s="83"/>
      <c r="R7" s="82"/>
      <c r="S7" s="75"/>
      <c r="T7" s="75"/>
      <c r="U7" s="75"/>
      <c r="V7" s="75"/>
      <c r="W7" s="75"/>
      <c r="X7" s="75"/>
    </row>
    <row r="8" customFormat="false" ht="15" hidden="false" customHeight="true" outlineLevel="0" collapsed="false">
      <c r="C8" s="74" t="n">
        <v>2020</v>
      </c>
      <c r="D8" s="75" t="s">
        <v>3</v>
      </c>
      <c r="E8" s="79"/>
      <c r="F8" s="79"/>
      <c r="G8" s="79"/>
      <c r="H8" s="79"/>
      <c r="I8" s="79" t="n">
        <v>0.000456180988089194</v>
      </c>
      <c r="J8" s="79" t="n">
        <v>0.000455972981883601</v>
      </c>
      <c r="K8" s="79" t="n">
        <v>0.00045576516528234</v>
      </c>
      <c r="L8" s="79" t="n">
        <v>0.00027080071495611</v>
      </c>
      <c r="M8" s="79" t="n">
        <v>0.000381023750656295</v>
      </c>
      <c r="N8" s="79" t="n">
        <f aca="false">+'Datos ICP (2)'!AN39</f>
        <v>0.000372438103266815</v>
      </c>
      <c r="O8" s="79" t="n">
        <f aca="false">+'Datos ICP (2)'!AO39</f>
        <v>0.00032958520252091</v>
      </c>
      <c r="P8" s="79" t="n">
        <f aca="false">+'Datos ICP (2)'!AP39</f>
        <v>0.000390100308495622</v>
      </c>
      <c r="Q8" s="79" t="n">
        <v>0.00495734902931355</v>
      </c>
      <c r="R8" s="75"/>
      <c r="S8" s="75"/>
      <c r="T8" s="75"/>
      <c r="U8" s="75"/>
      <c r="V8" s="75"/>
      <c r="W8" s="75"/>
      <c r="X8" s="75"/>
    </row>
    <row r="9" customFormat="false" ht="15" hidden="false" customHeight="true" outlineLevel="0" collapsed="false">
      <c r="C9" s="74"/>
      <c r="D9" s="75" t="s">
        <v>29</v>
      </c>
      <c r="E9" s="79"/>
      <c r="F9" s="79"/>
      <c r="G9" s="79"/>
      <c r="H9" s="79"/>
      <c r="I9" s="79" t="n">
        <v>0.000320551231457689</v>
      </c>
      <c r="J9" s="79" t="n">
        <v>0.000100108302503399</v>
      </c>
      <c r="K9" s="79" t="n">
        <v>9.03330930361879E-005</v>
      </c>
      <c r="L9" s="79" t="n">
        <v>0.000101128863938982</v>
      </c>
      <c r="M9" s="79" t="n">
        <v>7.08706922130098E-005</v>
      </c>
      <c r="N9" s="79" t="n">
        <f aca="false">+'Datos ICP (2)'!AN40</f>
        <v>6.73193292279883E-005</v>
      </c>
      <c r="O9" s="79" t="n">
        <f aca="false">+'Datos ICP (2)'!AO40</f>
        <v>6.09358900838242E-005</v>
      </c>
      <c r="P9" s="79" t="n">
        <f aca="false">+'Datos ICP (2)'!AP40</f>
        <v>6.06264973088688E-005</v>
      </c>
      <c r="Q9" s="79" t="n">
        <v>0.00163957763678635</v>
      </c>
      <c r="R9" s="75"/>
      <c r="S9" s="75"/>
      <c r="T9" s="75"/>
      <c r="U9" s="75"/>
      <c r="V9" s="75"/>
      <c r="W9" s="75"/>
      <c r="X9" s="75"/>
    </row>
    <row r="10" customFormat="false" ht="15" hidden="false" customHeight="true" outlineLevel="0" collapsed="false">
      <c r="C10" s="74"/>
      <c r="D10" s="74" t="s">
        <v>30</v>
      </c>
      <c r="E10" s="79"/>
      <c r="F10" s="79"/>
      <c r="G10" s="79"/>
      <c r="H10" s="79"/>
      <c r="I10" s="79" t="n">
        <v>0.00185417033327462</v>
      </c>
      <c r="J10" s="79" t="n">
        <v>0.00286035057235967</v>
      </c>
      <c r="K10" s="79" t="n">
        <v>0.00236957791594783</v>
      </c>
      <c r="L10" s="79" t="n">
        <v>0.00204425167411082</v>
      </c>
      <c r="M10" s="79" t="n">
        <v>0.00240285262573248</v>
      </c>
      <c r="N10" s="79" t="n">
        <v>0.0025</v>
      </c>
      <c r="O10" s="79" t="n">
        <v>0.0025</v>
      </c>
      <c r="P10" s="79" t="n">
        <v>0.002</v>
      </c>
      <c r="Q10" s="79" t="n">
        <v>0.0278021151661573</v>
      </c>
      <c r="R10" s="75"/>
      <c r="S10" s="75"/>
      <c r="T10" s="75"/>
      <c r="U10" s="75"/>
      <c r="V10" s="75"/>
      <c r="W10" s="75"/>
      <c r="X10" s="75"/>
    </row>
    <row r="11" customFormat="false" ht="15" hidden="false" customHeight="true" outlineLevel="0" collapsed="false">
      <c r="C11" s="74" t="n">
        <v>2021</v>
      </c>
      <c r="D11" s="75" t="s">
        <v>3</v>
      </c>
      <c r="E11" s="79" t="n">
        <f aca="false">+'Datos ICP (2)'!AE42</f>
        <v>0.000271909818684524</v>
      </c>
      <c r="F11" s="79" t="n">
        <f aca="false">+'Datos ICP (2)'!AF42</f>
        <v>0.000239173450272023</v>
      </c>
      <c r="G11" s="79" t="n">
        <f aca="false">+'Datos ICP (2)'!AG42</f>
        <v>0.000259130396311313</v>
      </c>
      <c r="H11" s="79" t="n">
        <f aca="false">+'Datos ICP (2)'!AH42</f>
        <v>0.000294342205723552</v>
      </c>
      <c r="I11" s="79" t="n">
        <f aca="false">+'Datos ICP (2)'!AI42</f>
        <v>0.000242668745581653</v>
      </c>
      <c r="J11" s="79" t="n">
        <f aca="false">+'Datos ICP (2)'!AJ42</f>
        <v>0.000272607187777885</v>
      </c>
      <c r="K11" s="79" t="n">
        <f aca="false">+'Datos ICP (2)'!AK42</f>
        <v>0.000501923514011571</v>
      </c>
      <c r="L11" s="79" t="n">
        <f aca="false">+'Datos ICP (2)'!AL42</f>
        <v>0.00062893015614951</v>
      </c>
      <c r="M11" s="79" t="n">
        <f aca="false">+'Datos ICP (2)'!AM42</f>
        <v>0.00124761014863051</v>
      </c>
      <c r="N11" s="79" t="n">
        <f aca="false">+'Datos ICP (2)'!AN42</f>
        <v>0.00207168546072567</v>
      </c>
      <c r="O11" s="79" t="n">
        <f aca="false">+'Datos ICP (2)'!AO42</f>
        <v>0.00214125696183509</v>
      </c>
      <c r="P11" s="79" t="n">
        <f aca="false">+'Datos ICP (2)'!AP42</f>
        <v>0.0031851611422884</v>
      </c>
      <c r="Q11" s="79" t="n">
        <f aca="false">+'Datos ICP (2)'!AQ42</f>
        <v>0.0114102002015084</v>
      </c>
      <c r="R11" s="75"/>
      <c r="S11" s="75"/>
      <c r="T11" s="75"/>
      <c r="U11" s="75"/>
      <c r="V11" s="75"/>
      <c r="W11" s="75"/>
      <c r="X11" s="75"/>
    </row>
    <row r="12" customFormat="false" ht="15" hidden="false" customHeight="true" outlineLevel="0" collapsed="false">
      <c r="C12" s="74"/>
      <c r="D12" s="75" t="s">
        <v>29</v>
      </c>
      <c r="E12" s="79" t="n">
        <f aca="false">+'Datos ICP (2)'!AE43</f>
        <v>4.99042994888121E-005</v>
      </c>
      <c r="F12" s="79" t="n">
        <f aca="false">+'Datos ICP (2)'!AF43</f>
        <v>5.45068760882117E-005</v>
      </c>
      <c r="G12" s="79" t="n">
        <f aca="false">+'Datos ICP (2)'!AG43</f>
        <v>5.40352735418637E-005</v>
      </c>
      <c r="H12" s="79" t="n">
        <f aca="false">+'Datos ICP (2)'!AH43</f>
        <v>6.6256868343384E-005</v>
      </c>
      <c r="I12" s="79" t="n">
        <f aca="false">+'Datos ICP (2)'!AI43</f>
        <v>6.00795078637972E-005</v>
      </c>
      <c r="J12" s="79" t="n">
        <f aca="false">+'Datos ICP (2)'!AJ43</f>
        <v>5.99332972144318E-005</v>
      </c>
      <c r="K12" s="79" t="n">
        <f aca="false">+'Datos ICP (2)'!AK43</f>
        <v>6.18852634586276E-005</v>
      </c>
      <c r="L12" s="79" t="n">
        <f aca="false">+'Datos ICP (2)'!AL43</f>
        <v>6.20443869945309E-005</v>
      </c>
      <c r="M12" s="79" t="n">
        <f aca="false">+'Datos ICP (2)'!AM43</f>
        <v>-0.000117767035173966</v>
      </c>
      <c r="N12" s="79" t="n">
        <f aca="false">+'Datos ICP (2)'!AN43</f>
        <v>0.0010223227816486</v>
      </c>
      <c r="O12" s="79" t="n">
        <f aca="false">+'Datos ICP (2)'!AO43</f>
        <v>0.00125922502391873</v>
      </c>
      <c r="P12" s="79" t="n">
        <f aca="false">+'Datos ICP (2)'!AP43</f>
        <v>0.0018230922141349</v>
      </c>
      <c r="Q12" s="79" t="n">
        <f aca="false">+'Datos ICP (2)'!AQ43</f>
        <v>0.00446245101879761</v>
      </c>
      <c r="R12" s="75"/>
      <c r="S12" s="75"/>
      <c r="T12" s="75"/>
      <c r="U12" s="75"/>
      <c r="V12" s="75"/>
      <c r="W12" s="75"/>
      <c r="X12" s="75"/>
    </row>
    <row r="13" customFormat="false" ht="15" hidden="false" customHeight="true" outlineLevel="0" collapsed="false">
      <c r="C13" s="74"/>
      <c r="D13" s="74" t="s">
        <v>30</v>
      </c>
      <c r="E13" s="79" t="n">
        <f aca="false">+'Datos ICP (2)'!AE44</f>
        <v>0.00193963953271115</v>
      </c>
      <c r="F13" s="79" t="n">
        <f aca="false">+'Datos ICP (2)'!AF44</f>
        <v>0.00163880213940648</v>
      </c>
      <c r="G13" s="79" t="n">
        <f aca="false">+'Datos ICP (2)'!AG44</f>
        <v>0.00154879458473123</v>
      </c>
      <c r="H13" s="79" t="n">
        <f aca="false">+'Datos ICP (2)'!AH44</f>
        <v>0.00153575692636232</v>
      </c>
      <c r="I13" s="79" t="n">
        <f aca="false">+'Datos ICP (2)'!AI44</f>
        <v>0.00177351701113326</v>
      </c>
      <c r="J13" s="79" t="n">
        <f aca="false">+'Datos ICP (2)'!AJ44</f>
        <v>0.00144164292507543</v>
      </c>
      <c r="K13" s="79" t="n">
        <f aca="false">+'Datos ICP (2)'!AK44</f>
        <v>0.00171068905933969</v>
      </c>
      <c r="L13" s="79" t="n">
        <f aca="false">+'Datos ICP (2)'!AL44</f>
        <v>0.00119739692607812</v>
      </c>
      <c r="M13" s="79" t="n">
        <f aca="false">+'Datos ICP (2)'!AM44</f>
        <v>0.00151697530448724</v>
      </c>
      <c r="N13" s="79" t="n">
        <f aca="false">+'Datos ICP (2)'!AN44</f>
        <v>0.00148236393840229</v>
      </c>
      <c r="O13" s="79" t="n">
        <f aca="false">+'Datos ICP (2)'!AO44</f>
        <v>0.00162749121654326</v>
      </c>
      <c r="P13" s="79" t="n">
        <f aca="false">+'Datos ICP (2)'!AP44</f>
        <v>0.00241448084512208</v>
      </c>
      <c r="Q13" s="79" t="n">
        <f aca="false">+'Datos ICP (2)'!AQ44</f>
        <v>0.0200082210567012</v>
      </c>
      <c r="R13" s="75"/>
      <c r="S13" s="75"/>
      <c r="T13" s="75"/>
      <c r="U13" s="75"/>
      <c r="V13" s="75"/>
      <c r="W13" s="75"/>
      <c r="X13" s="75"/>
    </row>
    <row r="14" customFormat="false" ht="15" hidden="false" customHeight="true" outlineLevel="0" collapsed="false">
      <c r="C14" s="74" t="n">
        <v>2022</v>
      </c>
      <c r="D14" s="75" t="s">
        <v>3</v>
      </c>
      <c r="E14" s="79" t="n">
        <f aca="false">+'Datos ICP (2)'!AE45</f>
        <v>0.00343555418239894</v>
      </c>
      <c r="F14" s="79" t="n">
        <f aca="false">+'Datos ICP (2)'!AF45</f>
        <v>0.0042862298052635</v>
      </c>
      <c r="G14" s="79" t="n">
        <f aca="false">+'Datos ICP (2)'!AG45</f>
        <v>0.00483147984427568</v>
      </c>
      <c r="H14" s="79" t="n">
        <f aca="false">+'Datos ICP (2)'!AH45</f>
        <v>0.00545243589644651</v>
      </c>
      <c r="I14" s="79" t="n">
        <f aca="false">+'Datos ICP (2)'!AI45</f>
        <v>0.00711313258265056</v>
      </c>
      <c r="J14" s="79" t="n">
        <f aca="false">+'Datos ICP (2)'!AJ45</f>
        <v>0.00735963642867588</v>
      </c>
      <c r="K14" s="79" t="n">
        <f aca="false">+'Datos ICP (2)'!AK45</f>
        <v>0.00758934606328521</v>
      </c>
      <c r="L14" s="79" t="n">
        <f aca="false">+'Datos ICP (2)'!AL45</f>
        <v>0.00897594167289917</v>
      </c>
      <c r="M14" s="79" t="n">
        <f aca="false">+'Datos ICP (2)'!AM45</f>
        <v>0.00879983646672877</v>
      </c>
      <c r="N14" s="79" t="n">
        <f aca="false">+'Datos ICP (2)'!AN45</f>
        <v>0.00860306861798099</v>
      </c>
      <c r="O14" s="79" t="n">
        <f aca="false">+'Datos ICP (2)'!AO45</f>
        <v>0.0103612389794803</v>
      </c>
      <c r="P14" s="79" t="n">
        <f aca="false">+'Datos ICP (2)'!AP45</f>
        <v>0.00941665122241275</v>
      </c>
      <c r="Q14" s="79" t="n">
        <f aca="false">+'Datos ICP (2)'!AQ45</f>
        <v>0.0896859911813484</v>
      </c>
      <c r="R14" s="75"/>
      <c r="S14" s="75"/>
      <c r="T14" s="75"/>
      <c r="U14" s="75"/>
      <c r="V14" s="75"/>
      <c r="W14" s="75"/>
      <c r="X14" s="75"/>
    </row>
    <row r="15" customFormat="false" ht="15" hidden="false" customHeight="true" outlineLevel="0" collapsed="false">
      <c r="C15" s="74"/>
      <c r="D15" s="75" t="s">
        <v>29</v>
      </c>
      <c r="E15" s="79" t="n">
        <f aca="false">+'Datos ICP (2)'!AE46</f>
        <v>0.00257166759736172</v>
      </c>
      <c r="F15" s="79" t="n">
        <f aca="false">+'Datos ICP (2)'!AF46</f>
        <v>0.00330034492532061</v>
      </c>
      <c r="G15" s="79" t="n">
        <f aca="false">+'Datos ICP (2)'!AG46</f>
        <v>0.00379260664764991</v>
      </c>
      <c r="H15" s="79" t="n">
        <f aca="false">+'Datos ICP (2)'!AH46</f>
        <v>0.00457161325790945</v>
      </c>
      <c r="I15" s="79" t="n">
        <f aca="false">+'Datos ICP (2)'!AI46</f>
        <v>0.00551056008510376</v>
      </c>
      <c r="J15" s="79" t="n">
        <f aca="false">+'Datos ICP (2)'!AJ46</f>
        <v>0.00588359145110817</v>
      </c>
      <c r="K15" s="79" t="n">
        <f aca="false">+'Datos ICP (2)'!AK46</f>
        <v>0.00651186691407713</v>
      </c>
      <c r="L15" s="79" t="n">
        <f aca="false">+'Datos ICP (2)'!AL46</f>
        <v>0.00703045536532287</v>
      </c>
      <c r="M15" s="79" t="n">
        <f aca="false">+'Datos ICP (2)'!AM46</f>
        <v>0.00733574547403659</v>
      </c>
      <c r="N15" s="79" t="n">
        <f aca="false">+'Datos ICP (2)'!AN46</f>
        <v>0.00724225279230772</v>
      </c>
      <c r="O15" s="79" t="n">
        <f aca="false">+'Datos ICP (2)'!AO46</f>
        <v>0.00874180469630037</v>
      </c>
      <c r="P15" s="79" t="n">
        <f aca="false">+'Datos ICP (2)'!AP46</f>
        <v>0.00792817195118678</v>
      </c>
      <c r="Q15" s="79" t="n">
        <f aca="false">+'Datos ICP (2)'!AQ46</f>
        <v>0.0727164295690508</v>
      </c>
      <c r="R15" s="75"/>
      <c r="S15" s="75"/>
      <c r="T15" s="75"/>
      <c r="U15" s="75"/>
      <c r="V15" s="75"/>
      <c r="W15" s="75"/>
      <c r="X15" s="75"/>
    </row>
    <row r="16" customFormat="false" ht="15" hidden="false" customHeight="true" outlineLevel="0" collapsed="false">
      <c r="C16" s="74"/>
      <c r="D16" s="74" t="s">
        <v>30</v>
      </c>
      <c r="E16" s="79" t="n">
        <f aca="false">+'Datos ICP (2)'!AE47</f>
        <v>0.0034210183783705</v>
      </c>
      <c r="F16" s="79" t="n">
        <f aca="false">+'Datos ICP (2)'!AF47</f>
        <v>0.0040991653310769</v>
      </c>
      <c r="G16" s="79" t="n">
        <f aca="false">+'Datos ICP (2)'!AG47</f>
        <v>0.00466409359892905</v>
      </c>
      <c r="H16" s="79" t="n">
        <f aca="false">+'Datos ICP (2)'!AH47</f>
        <v>0.00633303790958029</v>
      </c>
      <c r="I16" s="79" t="n">
        <f aca="false">+'Datos ICP (2)'!AI47</f>
        <v>0.00815619253977973</v>
      </c>
      <c r="J16" s="79" t="n">
        <f aca="false">+'Datos ICP (2)'!AJ47</f>
        <v>0.00780164269157613</v>
      </c>
      <c r="K16" s="79" t="n">
        <f aca="false">+'Datos ICP (2)'!AK47</f>
        <v>0.00820662860754884</v>
      </c>
      <c r="L16" s="79" t="n">
        <f aca="false">+'Datos ICP (2)'!AL47</f>
        <v>0.00877449435700117</v>
      </c>
      <c r="M16" s="79" t="n">
        <f aca="false">+'Datos ICP (2)'!AM47</f>
        <v>0.00869168248420937</v>
      </c>
      <c r="N16" s="79" t="n">
        <f aca="false">+'Datos ICP (2)'!AN47</f>
        <v>0.00924540611941804</v>
      </c>
      <c r="O16" s="79" t="n">
        <f aca="false">+'Datos ICP (2)'!AO47</f>
        <v>0.0110641276673848</v>
      </c>
      <c r="P16" s="79" t="n">
        <f aca="false">+'Datos ICP (2)'!AP47</f>
        <v>0.0100086413291829</v>
      </c>
      <c r="Q16" s="79" t="n">
        <f aca="false">+'Datos ICP (2)'!AQ47</f>
        <v>0.0942787097683675</v>
      </c>
      <c r="R16" s="75"/>
      <c r="S16" s="75"/>
      <c r="T16" s="75"/>
      <c r="U16" s="75"/>
      <c r="V16" s="75"/>
      <c r="W16" s="75"/>
      <c r="X16" s="75"/>
    </row>
    <row r="17" customFormat="false" ht="15" hidden="false" customHeight="true" outlineLevel="0" collapsed="false">
      <c r="C17" s="74" t="n">
        <v>2023</v>
      </c>
      <c r="D17" s="75" t="s">
        <v>3</v>
      </c>
      <c r="E17" s="79" t="n">
        <f aca="false">+'Datos ICP (2)'!AE48</f>
        <v>0.0100469572011002</v>
      </c>
      <c r="F17" s="79" t="n">
        <f aca="false">+'Datos ICP (2)'!AF48</f>
        <v>0.0087853587137845</v>
      </c>
      <c r="G17" s="79" t="n">
        <f aca="false">+'Datos ICP (2)'!AG48</f>
        <v>0.00973181777442234</v>
      </c>
      <c r="H17" s="79" t="n">
        <f aca="false">+'Datos ICP (2)'!AH48</f>
        <v>0.00878524391320701</v>
      </c>
      <c r="I17" s="79" t="n">
        <f aca="false">+'Datos ICP (2)'!AI48</f>
        <v>0.0103616631363057</v>
      </c>
      <c r="J17" s="79" t="n">
        <f aca="false">+'Datos ICP (2)'!AJ48</f>
        <v>0.00941507013085063</v>
      </c>
      <c r="K17" s="79" t="n">
        <f aca="false">+'Datos ICP (2)'!AK48</f>
        <v>0.00973152922417442</v>
      </c>
      <c r="L17" s="79" t="n">
        <f aca="false">+'Datos ICP (2)'!AL48</f>
        <v>0.00886337395135217</v>
      </c>
      <c r="M17" s="79" t="n">
        <f aca="false">+'Datos ICP (2)'!AM48</f>
        <v>0.00779534514134506</v>
      </c>
      <c r="N17" s="79" t="n">
        <f aca="false">+'Datos ICP (2)'!AN48</f>
        <v>0.00846015350417906</v>
      </c>
      <c r="O17" s="79" t="n">
        <f aca="false">+'Datos ICP (2)'!AO48</f>
        <v>0.00752661431064561</v>
      </c>
      <c r="P17" s="79" t="n">
        <f aca="false">+'Datos ICP (2)'!AP48</f>
        <v>0.00708194994827327</v>
      </c>
      <c r="Q17" s="79" t="n">
        <f aca="false">+'Datos ICP (2)'!AQ48</f>
        <v>0.111942792636216</v>
      </c>
      <c r="R17" s="75"/>
      <c r="S17" s="75"/>
      <c r="T17" s="75"/>
      <c r="U17" s="75"/>
      <c r="V17" s="75"/>
      <c r="W17" s="75"/>
      <c r="X17" s="75"/>
    </row>
    <row r="18" customFormat="false" ht="15" hidden="false" customHeight="true" outlineLevel="0" collapsed="false">
      <c r="C18" s="74"/>
      <c r="D18" s="75" t="s">
        <v>29</v>
      </c>
      <c r="E18" s="79" t="n">
        <f aca="false">+'Datos ICP (2)'!AE49</f>
        <v>0.00844131235614931</v>
      </c>
      <c r="F18" s="79" t="n">
        <f aca="false">+'Datos ICP (2)'!AF49</f>
        <v>0.0073877688517241</v>
      </c>
      <c r="G18" s="79" t="n">
        <f aca="false">+'Datos ICP (2)'!AG49</f>
        <v>0.00821037864298546</v>
      </c>
      <c r="H18" s="79" t="n">
        <f aca="false">+'Datos ICP (2)'!AH49</f>
        <v>0.00745817908130753</v>
      </c>
      <c r="I18" s="79" t="n">
        <f aca="false">+'Datos ICP (2)'!AI49</f>
        <v>0.00882507642095476</v>
      </c>
      <c r="J18" s="79" t="n">
        <f aca="false">+'Datos ICP (2)'!AJ49</f>
        <v>0.00800289135407151</v>
      </c>
      <c r="K18" s="79" t="n">
        <f aca="false">+'Datos ICP (2)'!AK49</f>
        <v>0.00820447209350883</v>
      </c>
      <c r="L18" s="79" t="n">
        <f aca="false">+'Datos ICP (2)'!AL49</f>
        <v>0.00759628558108139</v>
      </c>
      <c r="M18" s="79" t="n">
        <f aca="false">+'Datos ICP (2)'!AM49</f>
        <v>0.00678482261305935</v>
      </c>
      <c r="N18" s="79" t="n">
        <f aca="false">+'Datos ICP (2)'!AN49</f>
        <v>0.00667608269659126</v>
      </c>
      <c r="O18" s="79" t="n">
        <f aca="false">+'Datos ICP (2)'!AO49</f>
        <v>0.00616956723192952</v>
      </c>
      <c r="P18" s="79" t="n">
        <f aca="false">+'Datos ICP (2)'!AP49</f>
        <v>0.00610155186395645</v>
      </c>
      <c r="Q18" s="79" t="n">
        <f aca="false">+'Datos ICP (2)'!AQ49</f>
        <v>0.093648405763658</v>
      </c>
      <c r="R18" s="75"/>
      <c r="S18" s="75"/>
      <c r="T18" s="75"/>
      <c r="U18" s="75"/>
      <c r="V18" s="75"/>
      <c r="W18" s="75"/>
      <c r="X18" s="75"/>
    </row>
    <row r="19" customFormat="false" ht="15" hidden="false" customHeight="true" outlineLevel="0" collapsed="false">
      <c r="C19" s="74"/>
      <c r="D19" s="74" t="s">
        <v>30</v>
      </c>
      <c r="E19" s="79" t="n">
        <f aca="false">+'Datos ICP (2)'!AE50</f>
        <v>0.0112461365263257</v>
      </c>
      <c r="F19" s="79" t="n">
        <f aca="false">+'Datos ICP (2)'!AF50</f>
        <v>0.0102234747262655</v>
      </c>
      <c r="G19" s="79" t="n">
        <f aca="false">+'Datos ICP (2)'!AG50</f>
        <v>0.0107018307226574</v>
      </c>
      <c r="H19" s="79" t="n">
        <f aca="false">+'Datos ICP (2)'!AH50</f>
        <v>0.00984978266475545</v>
      </c>
      <c r="I19" s="79" t="n">
        <f aca="false">+'Datos ICP (2)'!AI50</f>
        <v>0.0113268082788736</v>
      </c>
      <c r="J19" s="79" t="n">
        <f aca="false">+'Datos ICP (2)'!AJ50</f>
        <v>0.0102932598963075</v>
      </c>
      <c r="K19" s="79" t="n">
        <f aca="false">+'Datos ICP (2)'!AK50</f>
        <v>0.0107369771793859</v>
      </c>
      <c r="L19" s="79" t="n">
        <f aca="false">+'Datos ICP (2)'!AL50</f>
        <v>0.00966281857222207</v>
      </c>
      <c r="M19" s="79" t="n">
        <f aca="false">+'Datos ICP (2)'!AM50</f>
        <v>0.00927022007268441</v>
      </c>
      <c r="N19" s="79" t="n">
        <f aca="false">+'Datos ICP (2)'!AN50</f>
        <v>0.009174334903437</v>
      </c>
      <c r="O19" s="79" t="n">
        <f aca="false">+'Datos ICP (2)'!AO50</f>
        <v>0.00865985639825317</v>
      </c>
      <c r="P19" s="79" t="n">
        <f aca="false">+'Datos ICP (2)'!AP50</f>
        <v>0.00827149058027898</v>
      </c>
      <c r="Q19" s="79" t="n">
        <f aca="false">+'Datos ICP (2)'!AQ50</f>
        <v>0.126168909614492</v>
      </c>
      <c r="R19" s="75"/>
      <c r="S19" s="75"/>
      <c r="T19" s="75"/>
      <c r="U19" s="75"/>
      <c r="V19" s="75"/>
      <c r="W19" s="75"/>
      <c r="X19" s="75"/>
    </row>
    <row r="20" customFormat="false" ht="15" hidden="false" customHeight="true" outlineLevel="0" collapsed="false">
      <c r="C20" s="74" t="n">
        <v>2024</v>
      </c>
      <c r="D20" s="75" t="s">
        <v>3</v>
      </c>
      <c r="E20" s="79" t="n">
        <f aca="false">+'Datos ICP (2)'!AE51</f>
        <v>0.00735722532416316</v>
      </c>
      <c r="F20" s="79" t="n">
        <f aca="false">+'Datos ICP (2)'!AF51</f>
        <v>0.00611213912063557</v>
      </c>
      <c r="G20" s="79" t="n">
        <f aca="false">+'Datos ICP (2)'!AG51</f>
        <v>0.00564735171406094</v>
      </c>
      <c r="H20" s="79" t="n">
        <f aca="false">+'Datos ICP (2)'!AH51</f>
        <v>0.00609278396182833</v>
      </c>
      <c r="I20" s="79" t="n">
        <f aca="false">+'Datos ICP (2)'!AI51</f>
        <v>0.00551411929031809</v>
      </c>
      <c r="J20" s="79" t="n">
        <f aca="false">+'Datos ICP (2)'!AJ51</f>
        <v>0.00461354906321554</v>
      </c>
      <c r="K20" s="79" t="n">
        <f aca="false">+'Datos ICP (2)'!AK51</f>
        <v>0.00528435035284347</v>
      </c>
      <c r="L20" s="79" t="n">
        <f aca="false">+'Datos ICP (2)'!AL51</f>
        <v>0.00480235203759283</v>
      </c>
      <c r="M20" s="79" t="n">
        <f aca="false">+'Datos ICP (2)'!AM51</f>
        <v>0.00478104349541386</v>
      </c>
      <c r="N20" s="79" t="n">
        <f aca="false">+'Datos ICP (2)'!AN51</f>
        <v>0.00451044051641847</v>
      </c>
      <c r="O20" s="79" t="n">
        <f aca="false">+'Datos ICP (2)'!AO51</f>
        <v>0.0043843255475724</v>
      </c>
      <c r="P20" s="79" t="n">
        <f aca="false">+'Datos ICP (2)'!AP51</f>
        <v>0.00444626417327787</v>
      </c>
      <c r="Q20" s="79" t="n">
        <f aca="false">+'Datos ICP (2)'!AQ51</f>
        <v>0.0654251259349719</v>
      </c>
      <c r="R20" s="75"/>
      <c r="S20" s="75"/>
      <c r="T20" s="75"/>
      <c r="U20" s="75"/>
      <c r="V20" s="75"/>
      <c r="W20" s="75"/>
      <c r="X20" s="75"/>
    </row>
    <row r="21" customFormat="false" ht="15" hidden="false" customHeight="true" outlineLevel="0" collapsed="false">
      <c r="C21" s="74"/>
      <c r="D21" s="75" t="s">
        <v>29</v>
      </c>
      <c r="E21" s="79" t="n">
        <f aca="false">+'Datos ICP (2)'!AE52</f>
        <v>0.00587192975175177</v>
      </c>
      <c r="F21" s="79" t="n">
        <f aca="false">+'Datos ICP (2)'!AF52</f>
        <v>0.00508491077058904</v>
      </c>
      <c r="G21" s="79" t="n">
        <f aca="false">+'Datos ICP (2)'!AG52</f>
        <v>0.0044501495538698</v>
      </c>
      <c r="H21" s="79" t="n">
        <f aca="false">+'Datos ICP (2)'!AH52</f>
        <v>0.00472012403360989</v>
      </c>
      <c r="I21" s="79" t="n">
        <f aca="false">+'Datos ICP (2)'!AI52</f>
        <v>0.00416779685595303</v>
      </c>
      <c r="J21" s="79" t="n">
        <f aca="false">+'Datos ICP (2)'!AJ52</f>
        <v>0.00365019312776771</v>
      </c>
      <c r="K21" s="79" t="n">
        <f aca="false">+'Datos ICP (2)'!AK52</f>
        <v>0.00363412607508162</v>
      </c>
      <c r="L21" s="79" t="n">
        <f aca="false">+'Datos ICP (2)'!AL52</f>
        <v>0.00362766941593184</v>
      </c>
      <c r="M21" s="79" t="n">
        <f aca="false">+'Datos ICP (2)'!AM52</f>
        <v>0.0033754452875443</v>
      </c>
      <c r="N21" s="79" t="n">
        <f aca="false">+'Datos ICP (2)'!AN52</f>
        <v>0.00341081299567914</v>
      </c>
      <c r="O21" s="79" t="n">
        <f aca="false">+'Datos ICP (2)'!AO52</f>
        <v>0.00322037460491331</v>
      </c>
      <c r="P21" s="79" t="n">
        <f aca="false">+'Datos ICP (2)'!AP52</f>
        <v>0.003229855901979</v>
      </c>
      <c r="Q21" s="79" t="n">
        <f aca="false">+'Datos ICP (2)'!AQ52</f>
        <v>0.0495295629197707</v>
      </c>
      <c r="R21" s="75"/>
      <c r="S21" s="75"/>
      <c r="T21" s="75"/>
      <c r="U21" s="75"/>
      <c r="V21" s="75"/>
      <c r="W21" s="75"/>
      <c r="X21" s="75"/>
    </row>
    <row r="22" customFormat="false" ht="15" hidden="false" customHeight="true" outlineLevel="0" collapsed="false">
      <c r="C22" s="74"/>
      <c r="D22" s="74" t="s">
        <v>30</v>
      </c>
      <c r="E22" s="79" t="n">
        <f aca="false">+'Datos ICP (2)'!AE53</f>
        <v>0.00838180105004094</v>
      </c>
      <c r="F22" s="79" t="n">
        <f aca="false">+'Datos ICP (2)'!AF53</f>
        <v>0.00670833120098702</v>
      </c>
      <c r="G22" s="79" t="n">
        <f aca="false">+'Datos ICP (2)'!AG53</f>
        <v>0.00606311670565618</v>
      </c>
      <c r="H22" s="79" t="n">
        <f aca="false">+'Datos ICP (2)'!AH53</f>
        <v>0.00700111579538287</v>
      </c>
      <c r="I22" s="79" t="n">
        <f aca="false">+'Datos ICP (2)'!AI53</f>
        <v>0.00600866656427312</v>
      </c>
      <c r="J22" s="79" t="n">
        <f aca="false">+'Datos ICP (2)'!AJ53</f>
        <v>0.00543685052249465</v>
      </c>
      <c r="K22" s="79" t="n">
        <f aca="false">+'Datos ICP (2)'!AK53</f>
        <v>0.00507856679840968</v>
      </c>
      <c r="L22" s="79" t="n">
        <f aca="false">+'Datos ICP (2)'!AL53</f>
        <v>0.00549034681982863</v>
      </c>
      <c r="M22" s="79" t="n">
        <f aca="false">+'Datos ICP (2)'!AM53</f>
        <v>0.00528131106343444</v>
      </c>
      <c r="N22" s="79" t="n">
        <f aca="false">+'Datos ICP (2)'!AN53</f>
        <v>0.00498650252466537</v>
      </c>
      <c r="O22" s="79" t="n">
        <f aca="false">+'Datos ICP (2)'!AO53</f>
        <v>0.00500851288955384</v>
      </c>
      <c r="P22" s="79" t="n">
        <f aca="false">+'Datos ICP (2)'!AP53</f>
        <v>0.00481791368404494</v>
      </c>
      <c r="Q22" s="79" t="n">
        <f aca="false">+'Datos ICP (2)'!AQ53</f>
        <v>0.0725640256102462</v>
      </c>
      <c r="R22" s="75"/>
      <c r="S22" s="75"/>
      <c r="T22" s="75"/>
      <c r="U22" s="75"/>
      <c r="V22" s="75"/>
      <c r="W22" s="75"/>
      <c r="X22" s="75"/>
    </row>
    <row r="23" customFormat="false" ht="15" hidden="false" customHeight="false" outlineLevel="0" collapsed="false">
      <c r="C23" s="74" t="n">
        <v>2025</v>
      </c>
      <c r="D23" s="75" t="s">
        <v>3</v>
      </c>
      <c r="E23" s="79" t="n">
        <f aca="false">+'Datos ICP (2)'!AE54</f>
        <v>0.00445443017437541</v>
      </c>
      <c r="F23" s="79" t="n">
        <f aca="false">+'Datos ICP (2)'!AF54</f>
        <v>0.00389626305099444</v>
      </c>
      <c r="G23" s="79" t="n">
        <f aca="false">+'Datos ICP (2)'!AG54</f>
        <v>0.0043138020854181</v>
      </c>
      <c r="H23" s="79" t="n">
        <f aca="false">+'Datos ICP (2)'!AH54</f>
        <v>0.00417571644342774</v>
      </c>
      <c r="I23" s="79" t="n">
        <f aca="false">+'Datos ICP (2)'!AI54</f>
        <v>0.00417422694650416</v>
      </c>
      <c r="J23" s="79" t="n">
        <f aca="false">+'Datos ICP (2)'!AJ54</f>
        <v>0.00431456613652492</v>
      </c>
      <c r="K23" s="79" t="n">
        <f aca="false">+'Datos ICP (2)'!AK54</f>
        <v>0.00430626208344687</v>
      </c>
      <c r="L23" s="79" t="n">
        <f aca="false">+'Datos ICP (2)'!AL54</f>
        <v>0.00383327468941586</v>
      </c>
      <c r="M23" s="79" t="n">
        <f aca="false">+'Datos ICP (2)'!AM54</f>
        <v>0.00423004876441735</v>
      </c>
      <c r="N23" s="79" t="n">
        <f aca="false">+'Datos ICP (2)'!AN54</f>
        <v>0.00396619021077105</v>
      </c>
      <c r="O23" s="79" t="n">
        <f aca="false">+'Datos ICP (2)'!AO54</f>
        <v>0.00383243965233548</v>
      </c>
      <c r="P23" s="79" t="n">
        <f aca="false">+'Datos ICP (2)'!AP54</f>
        <v>0.00413946203577598</v>
      </c>
      <c r="Q23" s="79" t="n">
        <f aca="false">+'Datos ICP (2)'!AQ54</f>
        <v>0.0461215166375695</v>
      </c>
    </row>
    <row r="24" customFormat="false" ht="15" hidden="false" customHeight="false" outlineLevel="0" collapsed="false">
      <c r="C24" s="74"/>
      <c r="D24" s="75" t="s">
        <v>29</v>
      </c>
      <c r="E24" s="79" t="n">
        <f aca="false">+'Datos ICP (2)'!AE55</f>
        <v>0.00302021033404665</v>
      </c>
      <c r="F24" s="79" t="n">
        <f aca="false">+'Datos ICP (2)'!AF55</f>
        <v>0.00276213771028111</v>
      </c>
      <c r="G24" s="79" t="n">
        <f aca="false">+'Datos ICP (2)'!AG55</f>
        <v>0.00306282692323312</v>
      </c>
      <c r="H24" s="79" t="n">
        <f aca="false">+'Datos ICP (2)'!AH55</f>
        <v>0.00297594968581905</v>
      </c>
      <c r="I24" s="79" t="n">
        <f aca="false">+'Datos ICP (2)'!AI55</f>
        <v>0.00308976252279503</v>
      </c>
      <c r="J24" s="79" t="n">
        <f aca="false">+'Datos ICP (2)'!AJ55</f>
        <v>0.00299705245742721</v>
      </c>
      <c r="K24" s="79" t="n">
        <f aca="false">+'Datos ICP (2)'!AK55</f>
        <v>0.00295054952791363</v>
      </c>
      <c r="L24" s="79" t="n">
        <f aca="false">+'Datos ICP (2)'!AL55</f>
        <v>0.00300054219083834</v>
      </c>
      <c r="M24" s="79" t="n">
        <f aca="false">+'Datos ICP (2)'!AM55</f>
        <v>0.00276161496613736</v>
      </c>
      <c r="N24" s="79" t="n">
        <f aca="false">+'Datos ICP (2)'!AN55</f>
        <v>0.00286519472447866</v>
      </c>
      <c r="O24" s="79" t="n">
        <f aca="false">+'Datos ICP (2)'!AO55</f>
        <v>0.00279501576319907</v>
      </c>
      <c r="P24" s="79" t="n">
        <f aca="false">+'Datos ICP (2)'!AP55</f>
        <v>0.00283776649927603</v>
      </c>
      <c r="Q24" s="79" t="n">
        <f aca="false">+'Datos ICP (2)'!AQ55</f>
        <v>0.0296488830992687</v>
      </c>
    </row>
    <row r="25" customFormat="false" ht="15" hidden="false" customHeight="false" outlineLevel="0" collapsed="false">
      <c r="C25" s="74"/>
      <c r="D25" s="74" t="s">
        <v>30</v>
      </c>
      <c r="E25" s="79" t="n">
        <f aca="false">+'Datos ICP (2)'!AE56</f>
        <v>0.00464730404444946</v>
      </c>
      <c r="F25" s="79" t="n">
        <f aca="false">+'Datos ICP (2)'!AF56</f>
        <v>0.00469550915860073</v>
      </c>
      <c r="G25" s="79" t="n">
        <f aca="false">+'Datos ICP (2)'!AG56</f>
        <v>0.00597109962418463</v>
      </c>
      <c r="H25" s="79" t="n">
        <f aca="false">+'Datos ICP (2)'!AH56</f>
        <v>0.0063072227560117</v>
      </c>
      <c r="I25" s="79" t="n">
        <f aca="false">+'Datos ICP (2)'!AI56</f>
        <v>0.00636379372860363</v>
      </c>
      <c r="J25" s="79" t="n">
        <f aca="false">+'Datos ICP (2)'!AJ56</f>
        <v>0.00577514597781326</v>
      </c>
      <c r="K25" s="79" t="n">
        <f aca="false">+'Datos ICP (2)'!AK56</f>
        <v>0.00556398659087742</v>
      </c>
      <c r="L25" s="79" t="n">
        <f aca="false">+'Datos ICP (2)'!AL56</f>
        <v>0.00584747097058735</v>
      </c>
      <c r="M25" s="79" t="n">
        <f aca="false">+'Datos ICP (2)'!AM56</f>
        <v>0.00538489270541609</v>
      </c>
      <c r="N25" s="79" t="n">
        <f aca="false">+'Datos ICP (2)'!AN56</f>
        <v>0.00558411085304522</v>
      </c>
      <c r="O25" s="79" t="n">
        <f aca="false">+'Datos ICP (2)'!AO56</f>
        <v>0.00554133185922723</v>
      </c>
      <c r="P25" s="79" t="n">
        <f aca="false">+'Datos ICP (2)'!AP56</f>
        <v>0.00570115493088008</v>
      </c>
      <c r="Q25" s="79" t="n">
        <f aca="false">+'Datos ICP (2)'!AQ56</f>
        <v>0.0645545743283107</v>
      </c>
    </row>
    <row r="26" customFormat="false" ht="15" hidden="false" customHeight="false" outlineLevel="0" collapsed="false">
      <c r="C26" s="74" t="n">
        <v>2026</v>
      </c>
      <c r="D26" s="75" t="s">
        <v>3</v>
      </c>
      <c r="E26" s="79" t="n">
        <f aca="false">+'Datos ICP (2)'!AE57</f>
        <v>0.00388234363273376</v>
      </c>
      <c r="F26" s="79" t="n">
        <f aca="false">+'Datos ICP (2)'!AF57</f>
        <v>0.00363126461056962</v>
      </c>
      <c r="G26" s="79" t="n">
        <f aca="false">+'Datos ICP (2)'!AG57</f>
        <v>0.0038819280865483</v>
      </c>
      <c r="H26" s="79" t="n">
        <f aca="false">+'Datos ICP (2)'!AH57</f>
        <v>-0.243672722859896</v>
      </c>
      <c r="I26" s="79"/>
      <c r="J26" s="79"/>
      <c r="K26" s="79"/>
      <c r="L26" s="79"/>
      <c r="M26" s="79"/>
      <c r="N26" s="79"/>
      <c r="O26" s="79"/>
      <c r="P26" s="79"/>
      <c r="Q26" s="79" t="n">
        <f aca="false">+'Datos ICP (2)'!AQ57</f>
        <v>-0.71393888658704</v>
      </c>
    </row>
    <row r="27" customFormat="false" ht="15" hidden="false" customHeight="false" outlineLevel="0" collapsed="false">
      <c r="C27" s="74"/>
      <c r="D27" s="75" t="s">
        <v>29</v>
      </c>
      <c r="E27" s="79" t="n">
        <f aca="false">+'Datos ICP (2)'!AE58</f>
        <v>0.00272443815472734</v>
      </c>
      <c r="F27" s="79" t="n">
        <f aca="false">+'Datos ICP (2)'!AF58</f>
        <v>0.00244521636660222</v>
      </c>
      <c r="G27" s="79" t="n">
        <f aca="false">+'Datos ICP (2)'!AG58</f>
        <v>0.00268777625151762</v>
      </c>
      <c r="H27" s="79" t="n">
        <f aca="false">+'Datos ICP (2)'!AH58</f>
        <v>-1</v>
      </c>
      <c r="I27" s="79"/>
      <c r="J27" s="79"/>
      <c r="K27" s="79"/>
      <c r="L27" s="79"/>
      <c r="M27" s="79"/>
      <c r="N27" s="79"/>
      <c r="O27" s="79"/>
      <c r="P27" s="79"/>
      <c r="Q27" s="79" t="n">
        <f aca="false">+'Datos ICP (2)'!AQ58</f>
        <v>-3</v>
      </c>
    </row>
    <row r="28" customFormat="false" ht="15" hidden="false" customHeight="false" outlineLevel="0" collapsed="false">
      <c r="C28" s="74"/>
      <c r="D28" s="74" t="s">
        <v>30</v>
      </c>
      <c r="E28" s="79" t="n">
        <f aca="false">+'Datos ICP (2)'!AE59</f>
        <v>0.00580564112354232</v>
      </c>
      <c r="F28" s="79" t="n">
        <f aca="false">+'Datos ICP (2)'!AF59</f>
        <v>0.00540827196575799</v>
      </c>
      <c r="G28" s="79" t="n">
        <f aca="false">+'Datos ICP (2)'!AG59</f>
        <v>0.00591977664149312</v>
      </c>
      <c r="H28" s="79" t="n">
        <f aca="false">+'Datos ICP (2)'!AH59</f>
        <v>0.00586707433769496</v>
      </c>
      <c r="I28" s="79"/>
      <c r="J28" s="79"/>
      <c r="K28" s="79"/>
      <c r="L28" s="79"/>
      <c r="M28" s="79"/>
      <c r="N28" s="79"/>
      <c r="O28" s="79"/>
      <c r="P28" s="79"/>
      <c r="Q28" s="79" t="n">
        <f aca="false">+'Datos ICP (2)'!AQ59</f>
        <v>0.0518813671474068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F1" colorId="64" zoomScale="100" zoomScaleNormal="100" zoomScalePageLayoutView="100" workbookViewId="0">
      <selection pane="topLeft" activeCell="P8" activeCellId="0" sqref="P8"/>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42.14"/>
    <col collapsed="false" customWidth="true" hidden="false" outlineLevel="0" max="16" min="16" style="0" width="8"/>
    <col collapsed="false" customWidth="true" hidden="false" outlineLevel="0" max="17" min="17" style="0" width="5"/>
    <col collapsed="false" customWidth="true" hidden="false" outlineLevel="0" max="19" min="19" style="0" width="28.71"/>
  </cols>
  <sheetData>
    <row r="1" customFormat="false" ht="15" hidden="false" customHeight="false" outlineLevel="0" collapsed="false">
      <c r="B1" s="84"/>
      <c r="C1" s="85"/>
      <c r="J1" s="86" t="s">
        <v>51</v>
      </c>
      <c r="K1" s="84"/>
      <c r="L1" s="87"/>
      <c r="N1" s="86" t="s">
        <v>52</v>
      </c>
      <c r="O1" s="84"/>
      <c r="P1" s="87"/>
      <c r="R1" s="86" t="s">
        <v>53</v>
      </c>
      <c r="S1" s="84"/>
      <c r="T1" s="87"/>
    </row>
    <row r="2" customFormat="false" ht="15" hidden="false" customHeight="false" outlineLevel="0" collapsed="false">
      <c r="C2" s="85"/>
      <c r="O2" s="88" t="s">
        <v>54</v>
      </c>
      <c r="P2" s="89" t="n">
        <v>0</v>
      </c>
    </row>
    <row r="3" customFormat="false" ht="15" hidden="false" customHeight="false" outlineLevel="0" collapsed="false">
      <c r="C3" s="85"/>
      <c r="K3" s="88" t="s">
        <v>55</v>
      </c>
      <c r="L3" s="89" t="n">
        <v>0.781</v>
      </c>
      <c r="O3" s="88" t="s">
        <v>56</v>
      </c>
      <c r="P3" s="89" t="n">
        <v>0</v>
      </c>
      <c r="S3" s="88" t="s">
        <v>57</v>
      </c>
      <c r="T3" s="89" t="n">
        <v>0.95834236641327</v>
      </c>
    </row>
    <row r="4" customFormat="false" ht="15" hidden="false" customHeight="false" outlineLevel="0" collapsed="false">
      <c r="C4" s="85"/>
      <c r="K4" s="88" t="s">
        <v>58</v>
      </c>
      <c r="L4" s="89" t="n">
        <v>0.1923</v>
      </c>
      <c r="O4" s="88" t="s">
        <v>59</v>
      </c>
      <c r="P4" s="89" t="n">
        <v>0</v>
      </c>
      <c r="S4" s="88" t="s">
        <v>60</v>
      </c>
      <c r="T4" s="89" t="n">
        <v>0.0416576335867301</v>
      </c>
    </row>
    <row r="5" customFormat="false" ht="15" hidden="false" customHeight="false" outlineLevel="0" collapsed="false">
      <c r="A5" s="84"/>
      <c r="B5" s="84"/>
      <c r="C5" s="85"/>
      <c r="K5" s="88" t="s">
        <v>61</v>
      </c>
      <c r="L5" s="89" t="n">
        <v>0.0267</v>
      </c>
      <c r="O5" s="88" t="s">
        <v>62</v>
      </c>
      <c r="P5" s="89" t="n">
        <v>0.3345</v>
      </c>
    </row>
    <row r="6" customFormat="false" ht="15" hidden="false" customHeight="false" outlineLevel="0" collapsed="false">
      <c r="A6" s="84"/>
      <c r="B6" s="84"/>
      <c r="C6" s="85"/>
      <c r="K6" s="88" t="s">
        <v>63</v>
      </c>
      <c r="L6" s="89" t="n">
        <v>0</v>
      </c>
      <c r="O6" s="88" t="s">
        <v>64</v>
      </c>
      <c r="P6" s="89" t="n">
        <v>0.5504</v>
      </c>
    </row>
    <row r="7" customFormat="false" ht="15" hidden="false" customHeight="false" outlineLevel="0" collapsed="false">
      <c r="B7" s="84"/>
      <c r="C7" s="85"/>
      <c r="L7" s="90" t="n">
        <f aca="false">SUM(L3:L6)</f>
        <v>1</v>
      </c>
      <c r="O7" s="88" t="s">
        <v>65</v>
      </c>
      <c r="P7" s="89" t="n">
        <v>0.1151</v>
      </c>
      <c r="Q7" s="90"/>
    </row>
    <row r="8" customFormat="false" ht="15" hidden="false" customHeight="false" outlineLevel="0" collapsed="false">
      <c r="C8" s="85"/>
      <c r="O8" s="88" t="s">
        <v>66</v>
      </c>
      <c r="P8" s="89" t="n">
        <v>0</v>
      </c>
    </row>
    <row r="9" customFormat="false" ht="15" hidden="false" customHeight="false" outlineLevel="0" collapsed="false">
      <c r="C9" s="85"/>
      <c r="O9" s="88" t="s">
        <v>67</v>
      </c>
      <c r="P9" s="89" t="n">
        <v>0</v>
      </c>
    </row>
    <row r="10" customFormat="false" ht="15" hidden="false" customHeight="false" outlineLevel="0" collapsed="false">
      <c r="C10" s="85"/>
      <c r="O10" s="88" t="s">
        <v>68</v>
      </c>
      <c r="P10" s="89" t="n">
        <v>0</v>
      </c>
    </row>
    <row r="11" customFormat="false" ht="15" hidden="false" customHeight="false" outlineLevel="0" collapsed="false">
      <c r="C11" s="85"/>
      <c r="O11" s="88" t="s">
        <v>69</v>
      </c>
      <c r="P11" s="89" t="n">
        <v>0</v>
      </c>
    </row>
    <row r="12" customFormat="false" ht="15" hidden="true" customHeight="false" outlineLevel="0" collapsed="false">
      <c r="C12" s="85"/>
      <c r="O12" s="88"/>
      <c r="P12" s="89"/>
    </row>
    <row r="13" customFormat="false" ht="15" hidden="false" customHeight="false" outlineLevel="0" collapsed="false">
      <c r="C13" s="85"/>
      <c r="O13" s="88" t="s">
        <v>70</v>
      </c>
      <c r="P13" s="89" t="n">
        <v>0</v>
      </c>
    </row>
    <row r="14" customFormat="false" ht="15" hidden="true" customHeight="false" outlineLevel="0" collapsed="false">
      <c r="A14" s="84" t="s">
        <v>71</v>
      </c>
      <c r="B14" s="91" t="n">
        <v>0</v>
      </c>
      <c r="C14" s="85"/>
    </row>
    <row r="15" customFormat="false" ht="15" hidden="false" customHeight="false" outlineLevel="0" collapsed="false">
      <c r="A15" s="84"/>
      <c r="B15" s="91"/>
      <c r="C15" s="85"/>
      <c r="P15" s="90" t="n">
        <f aca="false">SUM(P2:P14)</f>
        <v>1</v>
      </c>
    </row>
    <row r="16" customFormat="false" ht="15" hidden="false" customHeight="false" outlineLevel="0" collapsed="false">
      <c r="B16" s="84"/>
      <c r="C16" s="85"/>
    </row>
    <row r="17" customFormat="false" ht="15" hidden="false" customHeight="false" outlineLevel="0" collapsed="false">
      <c r="C17" s="85"/>
    </row>
    <row r="18" customFormat="false" ht="15" hidden="false" customHeight="false" outlineLevel="0" collapsed="false">
      <c r="C18" s="85"/>
    </row>
    <row r="19" customFormat="false" ht="15" hidden="false" customHeight="false" outlineLevel="0" collapsed="false">
      <c r="C19" s="85"/>
    </row>
    <row r="20" customFormat="false" ht="15" hidden="false" customHeight="false" outlineLevel="0" collapsed="false">
      <c r="C20" s="85"/>
    </row>
    <row r="21" customFormat="false" ht="15" hidden="false" customHeight="false" outlineLevel="0" collapsed="false">
      <c r="C21" s="85"/>
      <c r="N21" s="92"/>
      <c r="O21" s="93"/>
    </row>
    <row r="22" customFormat="false" ht="15" hidden="false" customHeight="false" outlineLevel="0" collapsed="false">
      <c r="A22" s="85"/>
      <c r="B22" s="85"/>
      <c r="C22" s="85"/>
    </row>
    <row r="23" customFormat="false" ht="15" hidden="false" customHeight="false" outlineLevel="0" collapsed="false">
      <c r="A23" s="85"/>
      <c r="B23" s="85"/>
      <c r="C23" s="85"/>
    </row>
    <row r="24" customFormat="false" ht="15" hidden="false" customHeight="false" outlineLevel="0" collapsed="false">
      <c r="A24" s="85"/>
      <c r="B24" s="85"/>
      <c r="C24" s="85"/>
    </row>
  </sheetData>
  <autoFilter ref="K1:T24">
    <sortState ref="K2:T24">
      <sortCondition ref="A2:A24" descending="1" customList=""/>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2026-05-19T14:22:51Z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