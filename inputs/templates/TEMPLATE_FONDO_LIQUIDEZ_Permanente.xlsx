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<sst xmlns="http://schemas.openxmlformats.org/spreadsheetml/2006/main" count="245" uniqueCount="70">
  <si>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</si>
  <si>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</si>
  <si>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</si>
  <si>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</si>
  <si>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</si>
  <si>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</si>
  <si>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</si>
  <si>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</si>
  <si>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</si>
  <si>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</si>
  <si>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</si>
  <si>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</si>
  <si>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</si>
  <si>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</si>
  <si>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</si>
  <si>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</si>
  <si>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</si>
  <si>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</si>
  <si>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</si>
  <si>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Permanente</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</si>
  <si>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</si>
  <si>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</si>
  <si>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</si>
  <si>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</si>
  <si>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</si>
  <si>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</si>
  <si>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</si>
  <si>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FIP Liquidez Permanente</t>
  </si>
  <si>
    <t xml:space="preserve">(*) Acum a Mar</t>
  </si>
  <si>
    <t xml:space="preserve">FONDO LIQUIDEZ Permanente</t>
  </si>
  <si>
    <t xml:space="preserve">Permanente</t>
  </si>
  <si>
    <t xml:space="preserve">Rentabilidad</t>
  </si>
  <si>
    <t xml:space="preserve">Mensual</t>
  </si>
  <si>
    <t xml:space="preserve">Trimestral</t>
  </si>
  <si>
    <t xml:space="preserve">Semestral</t>
  </si>
  <si>
    <t xml:space="preserve">Anual</t>
  </si>
  <si>
    <t xml:space="preserve">Acum. 2026</t>
  </si>
  <si>
    <t xml:space="preserve">ICP (Bechmark)</t>
  </si>
  <si>
    <t xml:space="preserve">FIP LIQUIDEZ Permanente</t>
  </si>
  <si>
    <t xml:space="preserve">Año</t>
  </si>
  <si>
    <t xml:space="preserve">Fondo</t>
  </si>
  <si>
    <t xml:space="preserve">DIVIDENDO 2023</t>
  </si>
  <si>
    <t xml:space="preserve">Dividendo 2017</t>
  </si>
  <si>
    <t xml:space="preserve">Dividendo 2018</t>
  </si>
  <si>
    <t xml:space="preserve">Dividendo 2021</t>
  </si>
  <si>
    <t xml:space="preserve">Dividendo 2022</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</si>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</sst>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6">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General"/>
    <numFmt numFmtId="176" formatCode="_ * #,##0.00_ ;_ * \-#,##0.00_ ;_ * \-_ ;_ @_ "/>
    <numFmt numFmtId="177" formatCode="0.000%"/>
    <numFmt numFmtId="178" formatCode="_ * #,##0.000_ ;_ * \-#,##0.000_ ;_ * \-_ ;_ @_ "/>
    <numFmt numFmtId="179" formatCode="#,##0"/>
  </numFmts>
  <fonts count="38">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ptos Narrow"/>
      <family val="0"/>
      <charset val="1"/>
    </font>
    <font>
      <sz val="8.8"/>
      <color rgb="FF666666"/>
      <name val="Muli"/>
      <family val="0"/>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18"/>
      <color rgb="FF000000"/>
      <name val="Be Vietnam Pro Medium"/>
      <family val="2"/>
    </font>
    <font>
      <sz val="10.5"/>
      <color rgb="FF000000"/>
      <name val="Be Vietnam Pro Medium"/>
      <family val="2"/>
    </font>
    <font>
      <sz val="10"/>
      <color rgb="FF595959"/>
      <name val="Calibri"/>
      <family val="2"/>
    </font>
    <font>
      <sz val="12"/>
      <color rgb="FF000000"/>
      <name val="Be Vietnam Pro Medium"/>
      <family val="2"/>
    </font>
    <font>
      <sz val="10"/>
      <color theme="1"/>
      <name val="Be Vietnam Pro Medium"/>
      <family val="0"/>
      <charset val="1"/>
    </font>
    <font>
      <sz val="11"/>
      <name val="Acumin Pro Extra Light"/>
      <family val="2"/>
      <charset val="1"/>
    </font>
    <font>
      <sz val="11"/>
      <name val="Calibri"/>
      <family val="2"/>
      <charset val="1"/>
    </font>
    <font>
      <b val="true"/>
      <sz val="11"/>
      <name val="Acumin Pro Extra Light"/>
      <family val="2"/>
      <charset val="1"/>
    </font>
    <font>
      <sz val="10"/>
      <color theme="0"/>
      <name val="Be Vietnam Pro Light"/>
      <family val="0"/>
      <charset val="1"/>
    </font>
    <font>
      <u val="single"/>
      <sz val="11"/>
      <color theme="1"/>
      <name val="Calibri"/>
      <family val="2"/>
      <charset val="1"/>
    </font>
  </fonts>
  <fills count="10">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4">
    <border diagonalUp="false" diagonalDown="false">
      <left/>
      <right/>
      <top/>
      <bottom/>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98">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0" borderId="0" xfId="21" applyFont="true" applyBorder="false" applyAlignment="false" applyProtection="false">
      <alignment horizontal="general" vertical="bottom" textRotation="0" wrapText="false" indent="0" shrinkToFit="false"/>
      <protection locked="true" hidden="false"/>
    </xf>
    <xf numFmtId="167" fontId="7" fillId="0" borderId="0" xfId="21" applyFont="true" applyBorder="false" applyAlignment="false" applyProtection="false">
      <alignment horizontal="general" vertical="bottom" textRotation="0" wrapText="false" indent="0" shrinkToFit="false"/>
      <protection locked="true" hidden="false"/>
    </xf>
    <xf numFmtId="168" fontId="7" fillId="0"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true" applyProtection="false">
      <alignment horizontal="center" vertical="bottom" textRotation="0" wrapText="false" indent="0" shrinkToFit="false"/>
      <protection locked="true" hidden="false"/>
    </xf>
    <xf numFmtId="164" fontId="7" fillId="4"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center" vertical="bottom" textRotation="0" wrapText="false" indent="0" shrinkToFit="false"/>
      <protection locked="true" hidden="false"/>
    </xf>
    <xf numFmtId="167" fontId="7" fillId="0" borderId="0" xfId="21" applyFont="true" applyBorder="false" applyAlignment="true" applyProtection="false">
      <alignment horizontal="center" vertical="bottom" textRotation="0" wrapText="false" indent="0" shrinkToFit="false"/>
      <protection locked="true" hidden="false"/>
    </xf>
    <xf numFmtId="164" fontId="7" fillId="0" borderId="1" xfId="22" applyFont="true" applyBorder="true" applyAlignment="false" applyProtection="false">
      <alignment horizontal="general" vertical="bottom" textRotation="0" wrapText="false" indent="0" shrinkToFit="false"/>
      <protection locked="true" hidden="false"/>
    </xf>
    <xf numFmtId="169" fontId="7" fillId="0" borderId="0" xfId="24" applyFont="true" applyBorder="false" applyAlignment="false" applyProtection="false">
      <alignment horizontal="general" vertical="bottom" textRotation="0" wrapText="false" indent="0" shrinkToFit="false"/>
      <protection locked="true" hidden="false"/>
    </xf>
    <xf numFmtId="164" fontId="9" fillId="2" borderId="0" xfId="21" applyFont="true" applyBorder="false" applyAlignment="true" applyProtection="false">
      <alignment horizontal="center" vertical="bottom" textRotation="0" wrapText="false" indent="0" shrinkToFit="false"/>
      <protection locked="true" hidden="false"/>
    </xf>
    <xf numFmtId="169" fontId="10" fillId="2" borderId="0" xfId="23" applyFont="true" applyBorder="false" applyAlignment="true" applyProtection="false">
      <alignment horizontal="center" vertical="bottom" textRotation="0" wrapText="false" indent="0" shrinkToFit="false"/>
      <protection locked="true" hidden="false"/>
    </xf>
    <xf numFmtId="169" fontId="11" fillId="2" borderId="0" xfId="23" applyFont="true" applyBorder="false" applyAlignment="true" applyProtection="false">
      <alignment horizontal="center" vertical="bottom" textRotation="0" wrapText="false" indent="0" shrinkToFit="false"/>
      <protection locked="true" hidden="false"/>
    </xf>
    <xf numFmtId="170" fontId="7" fillId="0" borderId="0" xfId="21" applyFont="true" applyBorder="false" applyAlignment="false" applyProtection="false">
      <alignment horizontal="general" vertical="bottom" textRotation="0" wrapText="false" indent="0" shrinkToFit="false"/>
      <protection locked="true" hidden="false"/>
    </xf>
    <xf numFmtId="171" fontId="7" fillId="0" borderId="0" xfId="21" applyFont="true" applyBorder="false" applyAlignment="false" applyProtection="false">
      <alignment horizontal="general" vertical="bottom" textRotation="0" wrapText="false" indent="0" shrinkToFit="false"/>
      <protection locked="true" hidden="false"/>
    </xf>
    <xf numFmtId="172" fontId="7" fillId="0" borderId="0" xfId="21" applyFont="true" applyBorder="false" applyAlignment="false" applyProtection="false">
      <alignment horizontal="general" vertical="bottom" textRotation="0" wrapText="false" indent="0" shrinkToFit="false"/>
      <protection locked="true" hidden="false"/>
    </xf>
    <xf numFmtId="173" fontId="7" fillId="0" borderId="0" xfId="21" applyFont="true" applyBorder="false" applyAlignment="false" applyProtection="false">
      <alignment horizontal="general" vertical="bottom" textRotation="0" wrapText="false" indent="0" shrinkToFit="false"/>
      <protection locked="true" hidden="false"/>
    </xf>
    <xf numFmtId="164" fontId="9" fillId="4" borderId="0" xfId="21" applyFont="true" applyBorder="false" applyAlignment="true" applyProtection="false">
      <alignment horizontal="center" vertical="bottom" textRotation="0" wrapText="false" indent="0" shrinkToFit="false"/>
      <protection locked="true" hidden="false"/>
    </xf>
    <xf numFmtId="169" fontId="10" fillId="4" borderId="0" xfId="23" applyFont="true" applyBorder="false" applyAlignment="true" applyProtection="false">
      <alignment horizontal="center" vertical="bottom" textRotation="0" wrapText="false" indent="0" shrinkToFit="false"/>
      <protection locked="true" hidden="false"/>
    </xf>
    <xf numFmtId="169" fontId="11" fillId="4" borderId="0" xfId="23" applyFont="true" applyBorder="false" applyAlignment="true" applyProtection="false">
      <alignment horizontal="center" vertical="bottom" textRotation="0" wrapText="false" indent="0" shrinkToFit="false"/>
      <protection locked="true" hidden="false"/>
    </xf>
    <xf numFmtId="174" fontId="7" fillId="0" borderId="0" xfId="21" applyFont="true" applyBorder="false" applyAlignment="false" applyProtection="false">
      <alignment horizontal="general" vertical="bottom" textRotation="0" wrapText="false" indent="0" shrinkToFit="false"/>
      <protection locked="true" hidden="false"/>
    </xf>
    <xf numFmtId="169" fontId="7" fillId="0" borderId="0" xfId="23" applyFont="true" applyBorder="false" applyAlignment="false" applyProtection="false">
      <alignment horizontal="general" vertical="bottom" textRotation="0" wrapText="false" indent="0" shrinkToFit="false"/>
      <protection locked="true" hidden="false"/>
    </xf>
    <xf numFmtId="164" fontId="10" fillId="4" borderId="0" xfId="21" applyFont="true" applyBorder="false" applyAlignment="true" applyProtection="false">
      <alignment horizontal="left" vertical="bottom" textRotation="0" wrapText="false" indent="0" shrinkToFit="false"/>
      <protection locked="true" hidden="false"/>
    </xf>
    <xf numFmtId="169" fontId="10" fillId="0" borderId="0" xfId="23" applyFont="true" applyBorder="false" applyAlignment="true" applyProtection="false">
      <alignment horizontal="center" vertical="bottom" textRotation="0" wrapText="false" indent="0" shrinkToFit="false"/>
      <protection locked="true" hidden="false"/>
    </xf>
    <xf numFmtId="175" fontId="7" fillId="2" borderId="0" xfId="21" applyFont="true" applyBorder="false" applyAlignment="false" applyProtection="false">
      <alignment horizontal="general" vertical="bottom" textRotation="0" wrapText="false" indent="0" shrinkToFit="false"/>
      <protection locked="true" hidden="false"/>
    </xf>
    <xf numFmtId="172" fontId="7" fillId="2"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true" applyProtection="false">
      <alignment horizontal="right" vertical="bottom" textRotation="0" wrapText="false" indent="0" shrinkToFit="false"/>
      <protection locked="true" hidden="false"/>
    </xf>
    <xf numFmtId="170" fontId="7" fillId="5" borderId="0" xfId="21" applyFont="true" applyBorder="false" applyAlignment="false" applyProtection="false">
      <alignment horizontal="general" vertical="bottom" textRotation="0" wrapText="false" indent="0" shrinkToFit="false"/>
      <protection locked="true" hidden="false"/>
    </xf>
    <xf numFmtId="170" fontId="7" fillId="2" borderId="0" xfId="21" applyFont="true" applyBorder="false" applyAlignment="false" applyProtection="false">
      <alignment horizontal="general" vertical="bottom" textRotation="0" wrapText="false" indent="0" shrinkToFit="false"/>
      <protection locked="true" hidden="false"/>
    </xf>
    <xf numFmtId="171" fontId="7" fillId="2"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right" vertical="bottom" textRotation="0" wrapText="false" indent="0" shrinkToFit="false"/>
      <protection locked="true" hidden="false"/>
    </xf>
    <xf numFmtId="176" fontId="7" fillId="0" borderId="0" xfId="20"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true" applyProtection="false">
      <alignment horizontal="right" vertical="bottom" textRotation="0" wrapText="false" indent="0" shrinkToFit="false"/>
      <protection locked="true" hidden="false"/>
    </xf>
    <xf numFmtId="164" fontId="12" fillId="4" borderId="0" xfId="21" applyFont="true" applyBorder="false" applyAlignment="true" applyProtection="false">
      <alignment horizontal="center" vertical="bottom" textRotation="0" wrapText="false" indent="0" shrinkToFit="false"/>
      <protection locked="true" hidden="false"/>
    </xf>
    <xf numFmtId="164" fontId="13" fillId="2" borderId="0" xfId="21" applyFont="true" applyBorder="false" applyAlignment="true" applyProtection="false">
      <alignment horizontal="center" vertical="bottom" textRotation="0" wrapText="false" indent="0" shrinkToFit="false"/>
      <protection locked="true" hidden="false"/>
    </xf>
    <xf numFmtId="164" fontId="13" fillId="4" borderId="0" xfId="21" applyFont="true" applyBorder="false" applyAlignment="true" applyProtection="false">
      <alignment horizontal="center" vertical="bottom" textRotation="0" wrapText="false" indent="0" shrinkToFit="false"/>
      <protection locked="true" hidden="false"/>
    </xf>
    <xf numFmtId="164" fontId="9" fillId="0" borderId="0" xfId="21" applyFont="true" applyBorder="false" applyAlignment="true" applyProtection="false">
      <alignment horizontal="center" vertical="bottom" textRotation="0" wrapText="false" indent="0" shrinkToFit="false"/>
      <protection locked="true" hidden="false"/>
    </xf>
    <xf numFmtId="176" fontId="7" fillId="2" borderId="0" xfId="20" applyFont="true" applyBorder="false" applyAlignment="false" applyProtection="false">
      <alignment horizontal="general" vertical="bottom" textRotation="0" wrapText="false" indent="0" shrinkToFit="false"/>
      <protection locked="true" hidden="false"/>
    </xf>
    <xf numFmtId="164" fontId="9" fillId="4" borderId="0" xfId="21" applyFont="true" applyBorder="true" applyAlignment="true" applyProtection="false">
      <alignment horizontal="center" vertical="center" textRotation="0" wrapText="false" indent="0" shrinkToFit="false"/>
      <protection locked="true" hidden="false"/>
    </xf>
    <xf numFmtId="169" fontId="14" fillId="2" borderId="0" xfId="23" applyFont="true" applyBorder="false" applyAlignment="true" applyProtection="false">
      <alignment horizontal="center" vertical="bottom" textRotation="0" wrapText="false" indent="0" shrinkToFit="false"/>
      <protection locked="true" hidden="false"/>
    </xf>
    <xf numFmtId="169" fontId="14" fillId="4" borderId="0" xfId="23" applyFont="true" applyBorder="false" applyAlignment="true" applyProtection="false">
      <alignment horizontal="center" vertical="bottom" textRotation="0" wrapText="false" indent="0" shrinkToFit="false"/>
      <protection locked="true" hidden="false"/>
    </xf>
    <xf numFmtId="164" fontId="15" fillId="4" borderId="0" xfId="21" applyFont="true" applyBorder="false" applyAlignment="true" applyProtection="false">
      <alignment horizontal="left" vertical="bottom" textRotation="0" wrapText="false" indent="0" shrinkToFit="false"/>
      <protection locked="true" hidden="false"/>
    </xf>
    <xf numFmtId="177" fontId="7" fillId="0" borderId="0" xfId="19" applyFont="true" applyBorder="false" applyAlignment="false" applyProtection="false">
      <alignment horizontal="general" vertical="bottom" textRotation="0" wrapText="false" indent="0" shrinkToFit="false"/>
      <protection locked="true" hidden="false"/>
    </xf>
    <xf numFmtId="169" fontId="11" fillId="0" borderId="0" xfId="23" applyFont="true" applyBorder="false" applyAlignment="true" applyProtection="false">
      <alignment horizontal="center" vertical="bottom" textRotation="0" wrapText="false" indent="0" shrinkToFit="false"/>
      <protection locked="true" hidden="false"/>
    </xf>
    <xf numFmtId="178" fontId="7" fillId="0" borderId="0" xfId="25" applyFont="true" applyBorder="false" applyAlignment="false" applyProtection="false">
      <alignment horizontal="general" vertical="bottom" textRotation="0" wrapText="false" indent="0" shrinkToFit="false"/>
      <protection locked="true" hidden="false"/>
    </xf>
    <xf numFmtId="164" fontId="10" fillId="0" borderId="0" xfId="21" applyFont="true" applyBorder="false" applyAlignment="true" applyProtection="false">
      <alignment horizontal="left" vertical="bottom" textRotation="0" wrapText="false" indent="0" shrinkToFit="false"/>
      <protection locked="true" hidden="false"/>
    </xf>
    <xf numFmtId="164" fontId="16" fillId="3" borderId="0" xfId="21" applyFont="true" applyBorder="false" applyAlignment="true" applyProtection="false">
      <alignment horizontal="center" vertical="bottom" textRotation="0" wrapText="false" indent="0" shrinkToFit="false"/>
      <protection locked="true" hidden="false"/>
    </xf>
    <xf numFmtId="164" fontId="17" fillId="3" borderId="0" xfId="21" applyFont="true" applyBorder="false" applyAlignment="true" applyProtection="false">
      <alignment horizontal="center" vertical="bottom" textRotation="0" wrapText="false" indent="0" shrinkToFit="false"/>
      <protection locked="true" hidden="false"/>
    </xf>
    <xf numFmtId="164" fontId="18" fillId="4" borderId="0" xfId="21" applyFont="true" applyBorder="false" applyAlignment="true" applyProtection="false">
      <alignment horizontal="left" vertical="bottom" textRotation="0" wrapText="false" indent="0" shrinkToFit="false"/>
      <protection locked="true" hidden="false"/>
    </xf>
    <xf numFmtId="164" fontId="17" fillId="6" borderId="0" xfId="21" applyFont="true" applyBorder="false" applyAlignment="true" applyProtection="false">
      <alignment horizontal="center" vertical="bottom" textRotation="0" wrapText="false" indent="0" shrinkToFit="false"/>
      <protection locked="true" hidden="false"/>
    </xf>
    <xf numFmtId="169" fontId="19" fillId="6" borderId="0" xfId="23" applyFont="true" applyBorder="false" applyAlignment="true" applyProtection="false">
      <alignment horizontal="center" vertical="bottom" textRotation="0" wrapText="false" indent="0" shrinkToFit="false"/>
      <protection locked="true" hidden="false"/>
    </xf>
    <xf numFmtId="169" fontId="17" fillId="2" borderId="0" xfId="23" applyFont="true" applyBorder="false" applyAlignment="true" applyProtection="false">
      <alignment horizontal="center" vertical="bottom" textRotation="0" wrapText="false" indent="0" shrinkToFit="false"/>
      <protection locked="true" hidden="false"/>
    </xf>
    <xf numFmtId="164" fontId="17" fillId="2" borderId="0" xfId="21" applyFont="true" applyBorder="false" applyAlignment="true" applyProtection="false">
      <alignment horizontal="center" vertical="bottom" textRotation="0" wrapText="false" indent="0" shrinkToFit="false"/>
      <protection locked="true" hidden="false"/>
    </xf>
    <xf numFmtId="169" fontId="19" fillId="2" borderId="0" xfId="23" applyFont="true" applyBorder="false" applyAlignment="true" applyProtection="false">
      <alignment horizontal="center" vertical="bottom" textRotation="0" wrapText="false" indent="0" shrinkToFit="false"/>
      <protection locked="true" hidden="false"/>
    </xf>
    <xf numFmtId="164" fontId="16" fillId="6" borderId="0" xfId="21" applyFont="true" applyBorder="false" applyAlignment="true" applyProtection="false">
      <alignment horizontal="center" vertical="center" textRotation="0" wrapText="false" indent="0" shrinkToFit="false"/>
      <protection locked="true" hidden="false"/>
    </xf>
    <xf numFmtId="164" fontId="16" fillId="2" borderId="0" xfId="21" applyFont="true" applyBorder="false" applyAlignment="true" applyProtection="false">
      <alignment horizontal="center" vertical="center" textRotation="0" wrapText="false" indent="0" shrinkToFit="false"/>
      <protection locked="true" hidden="false"/>
    </xf>
    <xf numFmtId="169" fontId="7" fillId="0" borderId="0" xfId="21" applyFont="true" applyBorder="false" applyAlignment="false" applyProtection="false">
      <alignment horizontal="general" vertical="bottom" textRotation="0" wrapText="false" indent="0" shrinkToFit="false"/>
      <protection locked="true" hidden="false"/>
    </xf>
    <xf numFmtId="164" fontId="16" fillId="2" borderId="0" xfId="21" applyFont="true" applyBorder="true" applyAlignment="true" applyProtection="false">
      <alignment horizontal="center" vertical="center"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7" fontId="7" fillId="0" borderId="0" xfId="23" applyFont="true" applyBorder="false" applyAlignment="false" applyProtection="false">
      <alignment horizontal="general" vertical="bottom" textRotation="0" wrapText="false" indent="0" shrinkToFit="false"/>
      <protection locked="true" hidden="false"/>
    </xf>
    <xf numFmtId="173" fontId="7" fillId="5" borderId="0" xfId="21" applyFont="true" applyBorder="false" applyAlignment="false" applyProtection="false">
      <alignment horizontal="general" vertical="bottom" textRotation="0" wrapText="false" indent="0" shrinkToFit="false"/>
      <protection locked="true" hidden="false"/>
    </xf>
    <xf numFmtId="164" fontId="20" fillId="0" borderId="0" xfId="21" applyFont="true" applyBorder="false" applyAlignment="false" applyProtection="false">
      <alignment horizontal="general" vertical="bottom" textRotation="0" wrapText="false" indent="0" shrinkToFit="false"/>
      <protection locked="true" hidden="false"/>
    </xf>
    <xf numFmtId="165" fontId="7" fillId="0" borderId="0" xfId="25" applyFont="true" applyBorder="false" applyAlignment="false" applyProtection="false">
      <alignment horizontal="general" vertical="bottom" textRotation="0" wrapText="false" indent="0" shrinkToFit="false"/>
      <protection locked="true" hidden="false"/>
    </xf>
    <xf numFmtId="165" fontId="7" fillId="0" borderId="0" xfId="21" applyFont="true" applyBorder="false" applyAlignment="false" applyProtection="false">
      <alignment horizontal="general" vertical="bottom" textRotation="0" wrapText="false" indent="0" shrinkToFit="false"/>
      <protection locked="true" hidden="false"/>
    </xf>
    <xf numFmtId="169" fontId="21" fillId="0" borderId="0" xfId="23" applyFont="true" applyBorder="false" applyAlignment="false" applyProtection="false">
      <alignment horizontal="general" vertical="bottom" textRotation="0" wrapText="false" indent="0" shrinkToFit="false"/>
      <protection locked="true" hidden="false"/>
    </xf>
    <xf numFmtId="167" fontId="22" fillId="7" borderId="2" xfId="0" applyFont="true" applyBorder="true" applyAlignment="false" applyProtection="false">
      <alignment horizontal="general" vertical="bottom" textRotation="0" wrapText="false" indent="0" shrinkToFit="false"/>
      <protection locked="true" hidden="false"/>
    </xf>
    <xf numFmtId="167" fontId="22" fillId="0" borderId="2" xfId="0" applyFont="true" applyBorder="true" applyAlignment="false" applyProtection="false">
      <alignment horizontal="general" vertical="bottom" textRotation="0" wrapText="false" indent="0" shrinkToFit="false"/>
      <protection locked="true" hidden="false"/>
    </xf>
    <xf numFmtId="170" fontId="22" fillId="0" borderId="0" xfId="0" applyFont="true" applyBorder="false" applyAlignment="false" applyProtection="false">
      <alignment horizontal="general" vertical="bottom" textRotation="0" wrapText="false" indent="0" shrinkToFit="false"/>
      <protection locked="true" hidden="false"/>
    </xf>
    <xf numFmtId="172" fontId="22" fillId="0" borderId="0" xfId="0" applyFont="true" applyBorder="false" applyAlignment="false" applyProtection="false">
      <alignment horizontal="general" vertical="bottom" textRotation="0" wrapText="false" indent="0" shrinkToFit="false"/>
      <protection locked="true" hidden="false"/>
    </xf>
    <xf numFmtId="164" fontId="23" fillId="8" borderId="3" xfId="0" applyFont="true" applyBorder="true" applyAlignment="true" applyProtection="false">
      <alignment horizontal="general" vertical="bottom" textRotation="0" wrapText="true" indent="0" shrinkToFit="false"/>
      <protection locked="true" hidden="false"/>
    </xf>
    <xf numFmtId="164" fontId="23" fillId="8" borderId="3"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left"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true" indent="0" shrinkToFit="false"/>
      <protection locked="true" hidden="false"/>
    </xf>
    <xf numFmtId="169" fontId="6" fillId="0"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77" fontId="6" fillId="0" borderId="0" xfId="19" applyFont="true" applyBorder="false" applyAlignment="false" applyProtection="false">
      <alignment horizontal="general" vertical="bottom" textRotation="0" wrapText="false" indent="0" shrinkToFit="false"/>
      <protection locked="true" hidden="false"/>
    </xf>
    <xf numFmtId="169" fontId="6" fillId="0" borderId="0" xfId="19" applyFont="true" applyBorder="false" applyAlignment="true" applyProtection="false">
      <alignment horizontal="center"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center" vertical="bottom" textRotation="0" wrapText="false" indent="0" shrinkToFit="false"/>
      <protection locked="true" hidden="false"/>
    </xf>
    <xf numFmtId="164" fontId="36" fillId="9" borderId="0" xfId="0" applyFont="true" applyBorder="false" applyAlignment="false" applyProtection="false">
      <alignment horizontal="general" vertical="bottom" textRotation="0" wrapText="false" indent="0" shrinkToFit="false"/>
      <protection locked="true" hidden="false"/>
    </xf>
    <xf numFmtId="169" fontId="36" fillId="9"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3"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Normal 2" xfId="21"/>
    <cellStyle name="Normal 54" xfId="22"/>
    <cellStyle name="Porcentaje 2" xfId="23"/>
    <cellStyle name="Porcentaje 29" xfId="24"/>
    <cellStyle name="Excel Built-in Comma [0]" xfId="25"/>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F9F9F"/>
      <rgbColor rgb="FFFF99CC"/>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Permanente</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90963364"/>
        <c:axId val="93290171"/>
      </c:lineChart>
      <c:dateAx>
        <c:axId val="90963364"/>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93290171"/>
        <c:crosses val="autoZero"/>
        <c:auto val="1"/>
        <c:lblOffset val="100"/>
        <c:baseTimeUnit val="months"/>
        <c:majorUnit val="6"/>
        <c:majorTimeUnit val="months"/>
        <c:minorUnit val="6"/>
        <c:minorTimeUnit val="months"/>
        <c:noMultiLvlLbl val="0"/>
      </c:dateAx>
      <c:valAx>
        <c:axId val="93290171"/>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90963364"/>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800" spc="-1" strike="noStrike">
                <a:solidFill>
                  <a:srgbClr val="000000"/>
                </a:solidFill>
                <a:latin typeface="Be Vietnam Pro Medium"/>
              </a:defRPr>
            </a:pPr>
            <a:r>
              <a:rPr b="0" lang="en-US" sz="1800" spc="-1" strike="noStrike">
                <a:solidFill>
                  <a:srgbClr val="000000"/>
                </a:solidFill>
                <a:latin typeface="Be Vietnam Pro Medium"/>
              </a:rPr>
              <a:t>FIP Liquidez Permanente</a:t>
            </a:r>
          </a:p>
        </c:rich>
      </c:tx>
      <c:layout>
        <c:manualLayout>
          <c:xMode val="edge"/>
          <c:yMode val="edge"/>
          <c:x val="0.319613754533141"/>
          <c:y val="0.0364431486880467"/>
        </c:manualLayout>
      </c:layout>
      <c:overlay val="0"/>
      <c:spPr>
        <a:noFill/>
        <a:ln w="0">
          <a:noFill/>
        </a:ln>
      </c:spPr>
    </c:title>
    <c:autoTitleDeleted val="0"/>
    <c:plotArea>
      <c:layout>
        <c:manualLayout>
          <c:layoutTarget val="inner"/>
          <c:xMode val="edge"/>
          <c:yMode val="edge"/>
          <c:x val="0.13094769956744"/>
          <c:y val="0.163265306122449"/>
          <c:w val="0.864202385633766"/>
          <c:h val="0.692201166180758"/>
        </c:manualLayout>
      </c:layout>
      <c:lineChart>
        <c:grouping val="standard"/>
        <c:varyColors val="0"/>
        <c:ser>
          <c:idx val="0"/>
          <c:order val="0"/>
          <c:tx>
            <c:strRef>
              <c:f>"FIP Liquidez Permanente"</c:f>
              <c:strCache>
                <c:ptCount val="1"/>
                <c:pt idx="0">
                  <c:v>FIP Liquidez Permanente</c:v>
                </c:pt>
              </c:strCache>
            </c:strRef>
          </c:tx>
          <c:spPr>
            <a:solidFill>
              <a:srgbClr val="000000"/>
            </a:solidFill>
            <a:ln cap="rnd" w="28440">
              <a:solidFill>
                <a:srgbClr val="000000"/>
              </a:solidFill>
              <a:round/>
            </a:ln>
          </c:spPr>
          <c:marker>
            <c:symbol val="circle"/>
            <c:size val="5"/>
            <c:spPr>
              <a:solidFill>
                <a:srgbClr val="000000"/>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(2)'!$F$217:$F$245</c:f>
              <c:numCache>
                <c:formatCode>m/d/yyyy</c:formatCode>
                <c:ptCount val="29"/>
                <c:pt idx="0">
                  <c:v>9/6/2023</c:v>
                </c:pt>
                <c:pt idx="1">
                  <c:v>9/30/2023</c:v>
                </c:pt>
                <c:pt idx="2">
                  <c:v>10/31/2023</c:v>
                </c:pt>
                <c:pt idx="3">
                  <c:v>11/30/2023</c:v>
                </c:pt>
                <c:pt idx="4">
                  <c:v>12/31/2023</c:v>
                </c:pt>
                <c:pt idx="5">
                  <c:v>1/31/2024</c:v>
                </c:pt>
                <c:pt idx="6">
                  <c:v>2/29/2024</c:v>
                </c:pt>
                <c:pt idx="7">
                  <c:v>3/28/2024</c:v>
                </c:pt>
                <c:pt idx="8">
                  <c:v>4/30/2024</c:v>
                </c:pt>
                <c:pt idx="9">
                  <c:v>5/31/2024</c:v>
                </c:pt>
                <c:pt idx="10">
                  <c:v>6/30/2024</c:v>
                </c:pt>
                <c:pt idx="11">
                  <c:v>7/31/2024</c:v>
                </c:pt>
                <c:pt idx="12">
                  <c:v>8/31/2024</c:v>
                </c:pt>
                <c:pt idx="13">
                  <c:v>9/30/2024</c:v>
                </c:pt>
                <c:pt idx="14">
                  <c:v>10/31/2024</c:v>
                </c:pt>
                <c:pt idx="15">
                  <c:v>11/30/2024</c:v>
                </c:pt>
                <c:pt idx="16">
                  <c:v>12/31/2024</c:v>
                </c:pt>
                <c:pt idx="17">
                  <c:v>1/31/2025</c:v>
                </c:pt>
                <c:pt idx="18">
                  <c:v>2/28/2025</c:v>
                </c:pt>
                <c:pt idx="19">
                  <c:v>3/31/2025</c:v>
                </c:pt>
                <c:pt idx="20">
                  <c:v>4/30/2025</c:v>
                </c:pt>
                <c:pt idx="21">
                  <c:v>5/31/2025</c:v>
                </c:pt>
                <c:pt idx="22">
                  <c:v>6/30/2025</c:v>
                </c:pt>
                <c:pt idx="23">
                  <c:v>7/31/2025</c:v>
                </c:pt>
                <c:pt idx="24">
                  <c:v>8/31/2025</c:v>
                </c:pt>
                <c:pt idx="25">
                  <c:v>9/30/2025</c:v>
                </c:pt>
                <c:pt idx="26">
                  <c:v>10/31/2025</c:v>
                </c:pt>
                <c:pt idx="27">
                  <c:v>11/30/2025</c:v>
                </c:pt>
                <c:pt idx="28">
                  <c:v>12/31/2025</c:v>
                </c:pt>
              </c:numCache>
            </c:numRef>
          </c:cat>
          <c:val>
            <c:numRef>
              <c:f>'Datos ICP (2)'!$J$217:$J$244</c:f>
              <c:numCache>
                <c:formatCode>#,##0.00</c:formatCode>
                <c:ptCount val="28"/>
                <c:pt idx="0">
                  <c:v>100</c:v>
                </c:pt>
                <c:pt idx="1">
                  <c:v>100.844119231997</c:v>
                </c:pt>
                <c:pt idx="2">
                  <c:v>101.718025627096</c:v>
                </c:pt>
                <c:pt idx="3">
                  <c:v>102.451700192737</c:v>
                </c:pt>
                <c:pt idx="4">
                  <c:v>103.153864852904</c:v>
                </c:pt>
                <c:pt idx="5">
                  <c:v>103.884982273005</c:v>
                </c:pt>
                <c:pt idx="6">
                  <c:v>104.459255898871</c:v>
                </c:pt>
                <c:pt idx="7">
                  <c:v>105.16626129378</c:v>
                </c:pt>
                <c:pt idx="8">
                  <c:v>105.797152238665</c:v>
                </c:pt>
                <c:pt idx="9">
                  <c:v>106.363472223127</c:v>
                </c:pt>
                <c:pt idx="10">
                  <c:v>106.865952517017</c:v>
                </c:pt>
                <c:pt idx="11">
                  <c:v>107.276934021902</c:v>
                </c:pt>
                <c:pt idx="12">
                  <c:v>107.761278092711</c:v>
                </c:pt>
                <c:pt idx="13">
                  <c:v>108.353497776374</c:v>
                </c:pt>
                <c:pt idx="14">
                  <c:v>108.828194012793</c:v>
                </c:pt>
                <c:pt idx="15">
                  <c:v>109.131932638765</c:v>
                </c:pt>
                <c:pt idx="16">
                  <c:v>109.573481162631</c:v>
                </c:pt>
                <c:pt idx="17">
                  <c:v>109.934361532748</c:v>
                </c:pt>
                <c:pt idx="18">
                  <c:v>110.397200472318</c:v>
                </c:pt>
                <c:pt idx="19">
                  <c:v>110.941018759849</c:v>
                </c:pt>
                <c:pt idx="20">
                  <c:v>111.500586734917</c:v>
                </c:pt>
                <c:pt idx="21">
                  <c:v>112.136758588864</c:v>
                </c:pt>
                <c:pt idx="22">
                  <c:v>112.783732786176</c:v>
                </c:pt>
                <c:pt idx="23">
                  <c:v>113.553979178283</c:v>
                </c:pt>
                <c:pt idx="24">
                  <c:v>114.283932460072</c:v>
                </c:pt>
                <c:pt idx="25">
                  <c:v>114.973526590699</c:v>
                </c:pt>
                <c:pt idx="26">
                  <c:v>115.620892923412</c:v>
                </c:pt>
                <c:pt idx="27">
                  <c:v>116.535399580334</c:v>
                </c:pt>
              </c:numCache>
            </c:numRef>
          </c:val>
          <c:smooth val="0"/>
        </c:ser>
        <c:ser>
          <c:idx val="1"/>
          <c:order val="1"/>
          <c:tx>
            <c:strRef>
              <c:f>"ICP Nom"</c:f>
              <c:strCache>
                <c:ptCount val="1"/>
                <c:pt idx="0">
                  <c:v>ICP Nom</c:v>
                </c:pt>
              </c:strCache>
            </c:strRef>
          </c:tx>
          <c:spPr>
            <a:solidFill>
              <a:srgbClr val="a6a6a6"/>
            </a:solidFill>
            <a:ln cap="rnd" w="28440">
              <a:solidFill>
                <a:srgbClr val="a6a6a6"/>
              </a:solidFill>
              <a:round/>
            </a:ln>
          </c:spPr>
          <c:marker>
            <c:symbol val="circle"/>
            <c:size val="5"/>
            <c:spPr>
              <a:solidFill>
                <a:srgbClr val="a6a6a6"/>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(2)'!$F$217:$F$245</c:f>
              <c:numCache>
                <c:formatCode>m/d/yyyy</c:formatCode>
                <c:ptCount val="29"/>
                <c:pt idx="0">
                  <c:v>9/6/2023</c:v>
                </c:pt>
                <c:pt idx="1">
                  <c:v>9/30/2023</c:v>
                </c:pt>
                <c:pt idx="2">
                  <c:v>10/31/2023</c:v>
                </c:pt>
                <c:pt idx="3">
                  <c:v>11/30/2023</c:v>
                </c:pt>
                <c:pt idx="4">
                  <c:v>12/31/2023</c:v>
                </c:pt>
                <c:pt idx="5">
                  <c:v>1/31/2024</c:v>
                </c:pt>
                <c:pt idx="6">
                  <c:v>2/29/2024</c:v>
                </c:pt>
                <c:pt idx="7">
                  <c:v>3/28/2024</c:v>
                </c:pt>
                <c:pt idx="8">
                  <c:v>4/30/2024</c:v>
                </c:pt>
                <c:pt idx="9">
                  <c:v>5/31/2024</c:v>
                </c:pt>
                <c:pt idx="10">
                  <c:v>6/30/2024</c:v>
                </c:pt>
                <c:pt idx="11">
                  <c:v>7/31/2024</c:v>
                </c:pt>
                <c:pt idx="12">
                  <c:v>8/31/2024</c:v>
                </c:pt>
                <c:pt idx="13">
                  <c:v>9/30/2024</c:v>
                </c:pt>
                <c:pt idx="14">
                  <c:v>10/31/2024</c:v>
                </c:pt>
                <c:pt idx="15">
                  <c:v>11/30/2024</c:v>
                </c:pt>
                <c:pt idx="16">
                  <c:v>12/31/2024</c:v>
                </c:pt>
                <c:pt idx="17">
                  <c:v>1/31/2025</c:v>
                </c:pt>
                <c:pt idx="18">
                  <c:v>2/28/2025</c:v>
                </c:pt>
                <c:pt idx="19">
                  <c:v>3/31/2025</c:v>
                </c:pt>
                <c:pt idx="20">
                  <c:v>4/30/2025</c:v>
                </c:pt>
                <c:pt idx="21">
                  <c:v>5/31/2025</c:v>
                </c:pt>
                <c:pt idx="22">
                  <c:v>6/30/2025</c:v>
                </c:pt>
                <c:pt idx="23">
                  <c:v>7/31/2025</c:v>
                </c:pt>
                <c:pt idx="24">
                  <c:v>8/31/2025</c:v>
                </c:pt>
                <c:pt idx="25">
                  <c:v>9/30/2025</c:v>
                </c:pt>
                <c:pt idx="26">
                  <c:v>10/31/2025</c:v>
                </c:pt>
                <c:pt idx="27">
                  <c:v>11/30/2025</c:v>
                </c:pt>
                <c:pt idx="28">
                  <c:v>12/31/2025</c:v>
                </c:pt>
              </c:numCache>
            </c:numRef>
          </c:cat>
          <c:val>
            <c:numRef>
              <c:f>'Datos ICP (2)'!$M$217:$M$244</c:f>
              <c:numCache>
                <c:formatCode>0.00</c:formatCode>
                <c:ptCount val="28"/>
                <c:pt idx="0">
                  <c:v>100</c:v>
                </c:pt>
                <c:pt idx="1">
                  <c:v>100.678478712991</c:v>
                </c:pt>
                <c:pt idx="2">
                  <c:v>101.328938153306</c:v>
                </c:pt>
                <c:pt idx="3">
                  <c:v>101.954093849783</c:v>
                </c:pt>
                <c:pt idx="4">
                  <c:v>102.556105002719</c:v>
                </c:pt>
                <c:pt idx="5">
                  <c:v>103.138881368063</c:v>
                </c:pt>
                <c:pt idx="6">
                  <c:v>103.681417928823</c:v>
                </c:pt>
                <c:pt idx="7">
                  <c:v>104.175772731403</c:v>
                </c:pt>
                <c:pt idx="8">
                  <c:v>104.622793248302</c:v>
                </c:pt>
                <c:pt idx="9">
                  <c:v>105.044773779361</c:v>
                </c:pt>
                <c:pt idx="10">
                  <c:v>105.428207490719</c:v>
                </c:pt>
                <c:pt idx="11">
                  <c:v>105.798987553194</c:v>
                </c:pt>
                <c:pt idx="12">
                  <c:v>106.170410538404</c:v>
                </c:pt>
                <c:pt idx="13">
                  <c:v>106.528782950332</c:v>
                </c:pt>
                <c:pt idx="14">
                  <c:v>106.88041174772</c:v>
                </c:pt>
                <c:pt idx="15">
                  <c:v>107.224606711475</c:v>
                </c:pt>
                <c:pt idx="16">
                  <c:v>107.559755126466</c:v>
                </c:pt>
                <c:pt idx="17">
                  <c:v>107.874129078686</c:v>
                </c:pt>
                <c:pt idx="18">
                  <c:v>108.193375364285</c:v>
                </c:pt>
                <c:pt idx="19">
                  <c:v>108.514063347815</c:v>
                </c:pt>
                <c:pt idx="20">
                  <c:v>108.836995740542</c:v>
                </c:pt>
                <c:pt idx="21">
                  <c:v>109.162428453961</c:v>
                </c:pt>
                <c:pt idx="22">
                  <c:v>109.489593978417</c:v>
                </c:pt>
                <c:pt idx="23">
                  <c:v>109.802227336312</c:v>
                </c:pt>
                <c:pt idx="24">
                  <c:v>110.121065609638</c:v>
                </c:pt>
                <c:pt idx="25">
                  <c:v>110.425177592513</c:v>
                </c:pt>
                <c:pt idx="26">
                  <c:v>110.731361111501</c:v>
                </c:pt>
                <c:pt idx="27">
                  <c:v>111.040857011288</c:v>
                </c:pt>
              </c:numCache>
            </c:numRef>
          </c:val>
          <c:smooth val="0"/>
        </c:ser>
        <c:ser>
          <c:idx val="2"/>
          <c:order val="2"/>
          <c:tx>
            <c:strRef>
              <c:f>"Competencia Relevante"</c:f>
              <c:strCache>
                <c:ptCount val="1"/>
                <c:pt idx="0">
                  <c:v>Competencia Relevante</c:v>
                </c:pt>
              </c:strCache>
            </c:strRef>
          </c:tx>
          <c:spPr>
            <a:solidFill>
              <a:srgbClr val="bfbfbf"/>
            </a:solidFill>
            <a:ln cap="rnd" w="28440">
              <a:solidFill>
                <a:srgbClr val="bfbfbf"/>
              </a:solidFill>
              <a:round/>
            </a:ln>
          </c:spPr>
          <c:marker>
            <c:symbol val="circle"/>
            <c:size val="5"/>
            <c:spPr>
              <a:solidFill>
                <a:srgbClr val="bfbfbf"/>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(2)'!$F$217:$F$245</c:f>
              <c:numCache>
                <c:formatCode>m/d/yyyy</c:formatCode>
                <c:ptCount val="29"/>
                <c:pt idx="0">
                  <c:v>9/6/2023</c:v>
                </c:pt>
                <c:pt idx="1">
                  <c:v>9/30/2023</c:v>
                </c:pt>
                <c:pt idx="2">
                  <c:v>10/31/2023</c:v>
                </c:pt>
                <c:pt idx="3">
                  <c:v>11/30/2023</c:v>
                </c:pt>
                <c:pt idx="4">
                  <c:v>12/31/2023</c:v>
                </c:pt>
                <c:pt idx="5">
                  <c:v>1/31/2024</c:v>
                </c:pt>
                <c:pt idx="6">
                  <c:v>2/29/2024</c:v>
                </c:pt>
                <c:pt idx="7">
                  <c:v>3/28/2024</c:v>
                </c:pt>
                <c:pt idx="8">
                  <c:v>4/30/2024</c:v>
                </c:pt>
                <c:pt idx="9">
                  <c:v>5/31/2024</c:v>
                </c:pt>
                <c:pt idx="10">
                  <c:v>6/30/2024</c:v>
                </c:pt>
                <c:pt idx="11">
                  <c:v>7/31/2024</c:v>
                </c:pt>
                <c:pt idx="12">
                  <c:v>8/31/2024</c:v>
                </c:pt>
                <c:pt idx="13">
                  <c:v>9/30/2024</c:v>
                </c:pt>
                <c:pt idx="14">
                  <c:v>10/31/2024</c:v>
                </c:pt>
                <c:pt idx="15">
                  <c:v>11/30/2024</c:v>
                </c:pt>
                <c:pt idx="16">
                  <c:v>12/31/2024</c:v>
                </c:pt>
                <c:pt idx="17">
                  <c:v>1/31/2025</c:v>
                </c:pt>
                <c:pt idx="18">
                  <c:v>2/28/2025</c:v>
                </c:pt>
                <c:pt idx="19">
                  <c:v>3/31/2025</c:v>
                </c:pt>
                <c:pt idx="20">
                  <c:v>4/30/2025</c:v>
                </c:pt>
                <c:pt idx="21">
                  <c:v>5/31/2025</c:v>
                </c:pt>
                <c:pt idx="22">
                  <c:v>6/30/2025</c:v>
                </c:pt>
                <c:pt idx="23">
                  <c:v>7/31/2025</c:v>
                </c:pt>
                <c:pt idx="24">
                  <c:v>8/31/2025</c:v>
                </c:pt>
                <c:pt idx="25">
                  <c:v>9/30/2025</c:v>
                </c:pt>
                <c:pt idx="26">
                  <c:v>10/31/2025</c:v>
                </c:pt>
                <c:pt idx="27">
                  <c:v>11/30/2025</c:v>
                </c:pt>
                <c:pt idx="28">
                  <c:v>12/31/2025</c:v>
                </c:pt>
              </c:numCache>
            </c:numRef>
          </c:cat>
          <c:val>
            <c:numRef>
              <c:f>'Datos ICP (2)'!$D$217:$D$244</c:f>
              <c:numCache>
                <c:formatCode>0.00</c:formatCode>
                <c:ptCount val="28"/>
                <c:pt idx="0">
                  <c:v>100</c:v>
                </c:pt>
                <c:pt idx="1">
                  <c:v>100.779534514135</c:v>
                </c:pt>
                <c:pt idx="2">
                  <c:v>101.604641287105</c:v>
                </c:pt>
                <c:pt idx="3">
                  <c:v>102.369380234244</c:v>
                </c:pt>
                <c:pt idx="4">
                  <c:v>103.070968776555</c:v>
                </c:pt>
                <c:pt idx="5">
                  <c:v>103.804823300751</c:v>
                </c:pt>
                <c:pt idx="6">
                  <c:v>104.461171081517</c:v>
                </c:pt>
                <c:pt idx="7">
                  <c:v>105.093237838903</c:v>
                </c:pt>
                <c:pt idx="8">
                  <c:v>105.675338197086</c:v>
                </c:pt>
                <c:pt idx="9">
                  <c:v>106.239247636631</c:v>
                </c:pt>
                <c:pt idx="10">
                  <c:v>106.729387618042</c:v>
                </c:pt>
                <c:pt idx="11">
                  <c:v>107.275189692672</c:v>
                </c:pt>
                <c:pt idx="12">
                  <c:v>107.773744427321</c:v>
                </c:pt>
                <c:pt idx="13">
                  <c:v>108.289015387092</c:v>
                </c:pt>
                <c:pt idx="14">
                  <c:v>108.761690705626</c:v>
                </c:pt>
                <c:pt idx="15">
                  <c:v>109.238537364784</c:v>
                </c:pt>
                <c:pt idx="16">
                  <c:v>109.708572908357</c:v>
                </c:pt>
                <c:pt idx="17">
                  <c:v>110.18149791889</c:v>
                </c:pt>
                <c:pt idx="18">
                  <c:v>110.641458025224</c:v>
                </c:pt>
                <c:pt idx="19">
                  <c:v>111.103347075898</c:v>
                </c:pt>
                <c:pt idx="20">
                  <c:v>111.567283149202</c:v>
                </c:pt>
                <c:pt idx="21">
                  <c:v>112.01796749727</c:v>
                </c:pt>
                <c:pt idx="22">
                  <c:v>112.501276426516</c:v>
                </c:pt>
                <c:pt idx="23">
                  <c:v>112.970108666208</c:v>
                </c:pt>
                <c:pt idx="24">
                  <c:v>113.389184916089</c:v>
                </c:pt>
                <c:pt idx="25">
                  <c:v>113.868826697642</c:v>
                </c:pt>
                <c:pt idx="26">
                  <c:v>114.30588356128</c:v>
                </c:pt>
                <c:pt idx="27">
                  <c:v>114.743953961936</c:v>
                </c:pt>
              </c:numCache>
            </c:numRef>
          </c:val>
          <c:smooth val="0"/>
        </c:ser>
        <c:hiLowLines>
          <c:spPr>
            <a:ln w="0">
              <a:noFill/>
            </a:ln>
          </c:spPr>
        </c:hiLowLines>
        <c:marker val="1"/>
        <c:axId val="18325022"/>
        <c:axId val="68060782"/>
      </c:lineChart>
      <c:dateAx>
        <c:axId val="18325022"/>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68060782"/>
        <c:auto val="1"/>
        <c:lblOffset val="100"/>
        <c:baseTimeUnit val="days"/>
        <c:noMultiLvlLbl val="0"/>
      </c:dateAx>
      <c:valAx>
        <c:axId val="68060782"/>
        <c:scaling>
          <c:orientation val="minMax"/>
          <c:min val="100"/>
        </c:scaling>
        <c:delete val="0"/>
        <c:axPos val="l"/>
        <c:majorGridlines>
          <c:spPr>
            <a:ln w="9360">
              <a:solidFill>
                <a:srgbClr val="d9d9d9"/>
              </a:solidFill>
              <a:round/>
            </a:ln>
          </c:spPr>
        </c:majorGridlines>
        <c:title>
          <c:tx>
            <c:rich>
              <a:bodyPr rot="-5400000"/>
              <a:lstStyle/>
              <a:p>
                <a:pPr>
                  <a:defRPr b="0" lang="en-US" sz="1000" spc="-1" strike="noStrike">
                    <a:solidFill>
                      <a:srgbClr val="595959"/>
                    </a:solidFill>
                    <a:latin typeface="Calibri"/>
                  </a:defRPr>
                </a:pPr>
                <a:r>
                  <a:rPr b="0" lang="en-US" sz="1000" spc="-1" strike="noStrike">
                    <a:solidFill>
                      <a:srgbClr val="595959"/>
                    </a:solidFill>
                    <a:latin typeface="Calibri"/>
                  </a:rPr>
                  <a:t>Indice</a:t>
                </a:r>
              </a:p>
            </c:rich>
          </c:tx>
          <c:overlay val="0"/>
          <c:spPr>
            <a:noFill/>
            <a:ln w="0">
              <a:noFill/>
            </a:ln>
          </c:spPr>
        </c:title>
        <c:numFmt formatCode="#,##0" sourceLinked="0"/>
        <c:majorTickMark val="none"/>
        <c:minorTickMark val="none"/>
        <c:tickLblPos val="nextTo"/>
        <c:spPr>
          <a:ln w="6480">
            <a:noFill/>
          </a:ln>
        </c:spPr>
        <c:txPr>
          <a:bodyPr/>
          <a:lstStyle/>
          <a:p>
            <a:pPr>
              <a:defRPr b="0" sz="1050" spc="-1" strike="noStrike">
                <a:solidFill>
                  <a:srgbClr val="000000"/>
                </a:solidFill>
                <a:latin typeface="Be Vietnam Pro Medium"/>
              </a:defRPr>
            </a:pPr>
          </a:p>
        </c:txPr>
        <c:crossAx val="18325022"/>
        <c:crosses val="autoZero"/>
        <c:crossBetween val="between"/>
        <c:majorUnit val="5"/>
        <c:minorUnit val="5"/>
      </c:valAx>
      <c:spPr>
        <a:noFill/>
        <a:ln w="0">
          <a:noFill/>
        </a:ln>
      </c:spPr>
    </c:plotArea>
    <c:legend>
      <c:legendPos val="b"/>
      <c:overlay val="0"/>
      <c:spPr>
        <a:noFill/>
        <a:ln w="0">
          <a:noFill/>
        </a:ln>
      </c:spPr>
      <c:txPr>
        <a:bodyPr/>
        <a:lstStyle/>
        <a:p>
          <a:pPr>
            <a:defRPr b="0" sz="1200" spc="-1" strike="noStrike">
              <a:solidFill>
                <a:srgbClr val="000000"/>
              </a:solidFill>
              <a:latin typeface="Be Vietnam Pro Medium"/>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0.1367</c:v>
                </c:pt>
                <c:pt idx="1">
                  <c:v>0.1268</c:v>
                </c:pt>
                <c:pt idx="2">
                  <c:v>0.7365</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0.7297</c:v>
                </c:pt>
                <c:pt idx="3">
                  <c:v>0.2595</c:v>
                </c:pt>
                <c:pt idx="4">
                  <c:v>0</c:v>
                </c:pt>
                <c:pt idx="5">
                  <c:v>0.0107</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815820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431640</xdr:colOff>
      <xdr:row>264</xdr:row>
      <xdr:rowOff>138240</xdr:rowOff>
    </xdr:from>
    <xdr:to>
      <xdr:col>11</xdr:col>
      <xdr:colOff>795960</xdr:colOff>
      <xdr:row>290</xdr:row>
      <xdr:rowOff>124200</xdr:rowOff>
    </xdr:to>
    <xdr:graphicFrame>
      <xdr:nvGraphicFramePr>
        <xdr:cNvPr id="1" name="Chart 2"/>
        <xdr:cNvGraphicFramePr/>
      </xdr:nvGraphicFramePr>
      <xdr:xfrm>
        <a:off x="3875760" y="50525640"/>
        <a:ext cx="8238960" cy="4938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42578125" defaultRowHeight="15" zeroHeight="false" outlineLevelRow="0" outlineLevelCol="0"/>
  <cols>
    <col collapsed="false" customWidth="true" hidden="false" outlineLevel="0" max="1" min="1" style="0" width="68.71"/>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S1" colorId="64" zoomScale="80" zoomScaleNormal="80" zoomScalePageLayoutView="100" workbookViewId="0">
      <selection pane="topLeft" activeCell="AW19" activeCellId="0" sqref="AW19"/>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6.71"/>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5" min="34" style="3" width="7.86"/>
    <col collapsed="false" customWidth="true" hidden="false" outlineLevel="0" max="36" min="36" style="3" width="8.42"/>
    <col collapsed="false" customWidth="true" hidden="false" outlineLevel="0" max="37" min="37" style="3" width="10.57"/>
    <col collapsed="false" customWidth="true" hidden="false" outlineLevel="0" max="38" min="38" style="3" width="8.15"/>
    <col collapsed="false" customWidth="true" hidden="false" outlineLevel="0" max="40" min="39" style="3" width="7.57"/>
    <col collapsed="false" customWidth="true" hidden="false" outlineLevel="0" max="41" min="41" style="3" width="7.42"/>
    <col collapsed="false" customWidth="true" hidden="false" outlineLevel="0" max="42" min="42" style="3" width="7.71"/>
    <col collapsed="false" customWidth="true" hidden="false" outlineLevel="0" max="43" min="43" style="3" width="9.2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t="n">
        <f aca="false">P5/AA4-1</f>
        <v>0.00580451919753799</v>
      </c>
      <c r="AF4" s="15" t="n">
        <f aca="false">Q5/P5-1</f>
        <v>0.00505107525562165</v>
      </c>
      <c r="AG4" s="15" t="n">
        <f aca="false">R5/Q5-1</f>
        <v>0.00541885635024531</v>
      </c>
      <c r="AH4" s="15" t="n">
        <f aca="false">S5/R5-1</f>
        <v>0.00524068024401991</v>
      </c>
      <c r="AI4" s="15" t="n">
        <f aca="false">T5/S5-1</f>
        <v>0.00525926653769515</v>
      </c>
      <c r="AJ4" s="15" t="n">
        <f aca="false">U5/T5-1</f>
        <v>0.00566839829891963</v>
      </c>
      <c r="AK4" s="15" t="n">
        <f aca="false">V5/U5-1</f>
        <v>0.00610807800685609</v>
      </c>
      <c r="AL4" s="15" t="n">
        <f aca="false">W5/V5-1</f>
        <v>0.00599656343782917</v>
      </c>
      <c r="AM4" s="15" t="n">
        <f aca="false">X5/W5-1</f>
        <v>0.00726664216116491</v>
      </c>
      <c r="AN4" s="15" t="n">
        <f aca="false">Y5/X5-1</f>
        <v>0.00690945889450223</v>
      </c>
      <c r="AO4" s="15" t="n">
        <f aca="false">Z5/Y5-1</f>
        <v>0.00664008872077404</v>
      </c>
      <c r="AP4" s="15" t="n">
        <f aca="false">AA5/Z5-1</f>
        <v>0.00735490824482121</v>
      </c>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t="n">
        <f aca="false">P6/AA5-1</f>
        <v>0.0064922591117782</v>
      </c>
      <c r="AF5" s="22" t="n">
        <f aca="false">Q6/P6-1</f>
        <v>0.00463305138101888</v>
      </c>
      <c r="AG5" s="22" t="n">
        <f aca="false">R6/Q6-1</f>
        <v>0.00295865377847115</v>
      </c>
      <c r="AH5" s="22" t="n">
        <f aca="false">S6/R6-1</f>
        <v>0.00161796911671264</v>
      </c>
      <c r="AI5" s="22" t="n">
        <f aca="false">T6/S6-1</f>
        <v>0.00108041969106321</v>
      </c>
      <c r="AJ5" s="22" t="n">
        <f aca="false">U6/T6-1</f>
        <v>0.000912172536080558</v>
      </c>
      <c r="AK5" s="22" t="n">
        <f aca="false">V6/U6-1</f>
        <v>0.000470709252068602</v>
      </c>
      <c r="AL5" s="22" t="n">
        <f aca="false">W6/V6-1</f>
        <v>0.000355496364617514</v>
      </c>
      <c r="AM5" s="22" t="n">
        <f aca="false">X6/W6-1</f>
        <v>0.000374152803103156</v>
      </c>
      <c r="AN5" s="22" t="n">
        <f aca="false">Y6/X6-1</f>
        <v>0.000352232999500712</v>
      </c>
      <c r="AO5" s="22" t="n">
        <f aca="false">Z6/Y6-1</f>
        <v>0.000358115098342715</v>
      </c>
      <c r="AP5" s="22" t="n">
        <f aca="false">AA6/Z6-1</f>
        <v>0.000374497823935061</v>
      </c>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t="n">
        <f aca="false">P7/AA6-1</f>
        <v>0.0003563524513297</v>
      </c>
      <c r="AF6" s="15" t="n">
        <f aca="false">Q7/P7-1</f>
        <v>0.000320977932767086</v>
      </c>
      <c r="AG6" s="15" t="n">
        <f aca="false">R7/Q7-1</f>
        <v>0.000394346303528303</v>
      </c>
      <c r="AH6" s="15" t="n">
        <f aca="false">S7/R7-1</f>
        <v>0.000362715540337399</v>
      </c>
      <c r="AI6" s="15" t="n">
        <f aca="false">T7/S7-1</f>
        <v>0.000364831447122294</v>
      </c>
      <c r="AJ6" s="15" t="n">
        <f aca="false">U7/T7-1</f>
        <v>0.000554161830231825</v>
      </c>
      <c r="AK6" s="15" t="n">
        <f aca="false">V7/U7-1</f>
        <v>0.00097972441976224</v>
      </c>
      <c r="AL6" s="15" t="n">
        <f aca="false">W7/V7-1</f>
        <v>0.00158666187128897</v>
      </c>
      <c r="AM6" s="15" t="n">
        <f aca="false">X7/W7-1</f>
        <v>0.00183498429662565</v>
      </c>
      <c r="AN6" s="15" t="n">
        <f aca="false">Y7/X7-1</f>
        <v>0.00215353593461587</v>
      </c>
      <c r="AO6" s="15" t="n">
        <f aca="false">Z7/Y7-1</f>
        <v>0.00255266498075279</v>
      </c>
      <c r="AP6" s="15" t="n">
        <f aca="false">AA7/Z7-1</f>
        <v>0.00296001934284762</v>
      </c>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t="n">
        <f aca="false">P8/AA7-1</f>
        <v>0.00252829823122647</v>
      </c>
      <c r="AF7" s="22" t="n">
        <f aca="false">Q8/P8-1</f>
        <v>0.00259494641929847</v>
      </c>
      <c r="AG7" s="22" t="n">
        <f aca="false">R8/Q8-1</f>
        <v>0.0032084341870029</v>
      </c>
      <c r="AH7" s="22" t="n">
        <f aca="false">S8/R8-1</f>
        <v>0.00344898140278138</v>
      </c>
      <c r="AI7" s="22" t="n">
        <f aca="false">T8/S8-1</f>
        <v>0.00424762514488841</v>
      </c>
      <c r="AJ7" s="22" t="n">
        <f aca="false">U8/T8-1</f>
        <v>0.00427041290846564</v>
      </c>
      <c r="AK7" s="22" t="n">
        <f aca="false">V8/U8-1</f>
        <v>0.00423196379062207</v>
      </c>
      <c r="AL7" s="22" t="n">
        <f aca="false">W8/V8-1</f>
        <v>0.0048267660739465</v>
      </c>
      <c r="AM7" s="22" t="n">
        <f aca="false">X8/W8-1</f>
        <v>0.00437629218752123</v>
      </c>
      <c r="AN7" s="22" t="n">
        <f aca="false">Y8/X8-1</f>
        <v>0.00409267287145609</v>
      </c>
      <c r="AO7" s="22" t="n">
        <f aca="false">Z8/Y8-1</f>
        <v>0.0048179867708309</v>
      </c>
      <c r="AP7" s="22" t="n">
        <f aca="false">AA8/Z8-1</f>
        <v>0.0043767676975266</v>
      </c>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t="n">
        <f aca="false">P9/AA8-1</f>
        <v>0.004498106561732</v>
      </c>
      <c r="AF8" s="15" t="n">
        <f aca="false">Q9/P9-1</f>
        <v>0.00402419716248104</v>
      </c>
      <c r="AG8" s="15" t="n">
        <f aca="false">R9/Q9-1</f>
        <v>0.00417457517908271</v>
      </c>
      <c r="AH8" s="15" t="n">
        <f aca="false">S9/R9-1</f>
        <v>0.00431049497886904</v>
      </c>
      <c r="AI8" s="15" t="n">
        <f aca="false">T9/S9-1</f>
        <v>0.00432459880917446</v>
      </c>
      <c r="AJ8" s="15" t="n">
        <f aca="false">U9/T9-1</f>
        <v>0.00404626473401915</v>
      </c>
      <c r="AK8" s="15" t="n">
        <f aca="false">V9/U9-1</f>
        <v>0.00443584365302185</v>
      </c>
      <c r="AL8" s="15" t="n">
        <f aca="false">W9/V9-1</f>
        <v>0.00429571093262537</v>
      </c>
      <c r="AM8" s="15" t="n">
        <f aca="false">X9/W9-1</f>
        <v>0.00391111705185665</v>
      </c>
      <c r="AN8" s="15" t="n">
        <f aca="false">Y9/X9-1</f>
        <v>0.00461120002608562</v>
      </c>
      <c r="AO8" s="15" t="n">
        <f aca="false">Z9/Y9-1</f>
        <v>0.00418025825367718</v>
      </c>
      <c r="AP8" s="15" t="n">
        <f aca="false">AA9/Z9-1</f>
        <v>0.00389350306187453</v>
      </c>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t="n">
        <f aca="false">P10/AA9-1</f>
        <v>0.00472089185817204</v>
      </c>
      <c r="AF9" s="22" t="n">
        <f aca="false">Q10/P10-1</f>
        <v>0.0038962304837975</v>
      </c>
      <c r="AG9" s="22" t="n">
        <f aca="false">R10/Q10-1</f>
        <v>0.0038950743967856</v>
      </c>
      <c r="AH9" s="22" t="n">
        <f aca="false">S10/R10-1</f>
        <v>0.00458811924870384</v>
      </c>
      <c r="AI9" s="22" t="n">
        <f aca="false">T10/S10-1</f>
        <v>0.00432647511304163</v>
      </c>
      <c r="AJ9" s="22" t="n">
        <f aca="false">U10/T10-1</f>
        <v>0.00389747333947033</v>
      </c>
      <c r="AK9" s="22" t="n">
        <f aca="false">V10/U10-1</f>
        <v>0.00461289727621272</v>
      </c>
      <c r="AL9" s="22" t="n">
        <f aca="false">W10/V10-1</f>
        <v>0.00417700990933101</v>
      </c>
      <c r="AM9" s="22" t="n">
        <f aca="false">X10/W10-1</f>
        <v>0.00431523239432496</v>
      </c>
      <c r="AN9" s="22" t="n">
        <f aca="false">Y10/X10-1</f>
        <v>0.00409076501889172</v>
      </c>
      <c r="AO9" s="22" t="n">
        <f aca="false">Z10/Y10-1</f>
        <v>0.00390244278774565</v>
      </c>
      <c r="AP9" s="22" t="n">
        <f aca="false">AA10/Z10-1</f>
        <v>0.003882149668333</v>
      </c>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t="n">
        <f aca="false">P11/AA10-1</f>
        <v>0.00400429199881613</v>
      </c>
      <c r="AF10" s="15" t="n">
        <f aca="false">Q11/P11-1</f>
        <v>0.00343235833261835</v>
      </c>
      <c r="AG10" s="15" t="n">
        <f aca="false">R11/Q11-1</f>
        <v>0.00354979303427538</v>
      </c>
      <c r="AH10" s="15" t="n">
        <f aca="false">S11/R11-1</f>
        <v>0.00333784899924461</v>
      </c>
      <c r="AI10" s="15" t="n">
        <f aca="false">T11/S11-1</f>
        <v>0.0033374356897462</v>
      </c>
      <c r="AJ10" s="15" t="n">
        <f aca="false">U11/T11-1</f>
        <v>0.00344918361590785</v>
      </c>
      <c r="AK10" s="15" t="n">
        <f aca="false">V11/U11-1</f>
        <v>0.00335112898379908</v>
      </c>
      <c r="AL10" s="15" t="n">
        <f aca="false">W11/V11-1</f>
        <v>0.00294898021437851</v>
      </c>
      <c r="AM10" s="15" t="n">
        <f aca="false">X11/W11-1</f>
        <v>0.00296824130771456</v>
      </c>
      <c r="AN10" s="15" t="n">
        <f aca="false">Y11/X11-1</f>
        <v>0.00262959692097664</v>
      </c>
      <c r="AO10" s="15" t="n">
        <f aca="false">Z11/Y11-1</f>
        <v>0.0024227108931254</v>
      </c>
      <c r="AP10" s="15" t="n">
        <f aca="false">AA11/Z11-1</f>
        <v>0.00267116417314894</v>
      </c>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t="n">
        <f aca="false">P12/AA11-1</f>
        <v>0.00258912554986668</v>
      </c>
      <c r="AF11" s="22" t="n">
        <f aca="false">Q12/P12-1</f>
        <v>0.00233497594276488</v>
      </c>
      <c r="AG11" s="22" t="n">
        <f aca="false">R12/Q12-1</f>
        <v>0.00267175595843749</v>
      </c>
      <c r="AH11" s="22" t="n">
        <f aca="false">S12/R12-1</f>
        <v>0.00250495353036917</v>
      </c>
      <c r="AI11" s="22" t="n">
        <f aca="false">T12/S12-1</f>
        <v>0.00241844437729921</v>
      </c>
      <c r="AJ11" s="22" t="n">
        <f aca="false">U12/T12-1</f>
        <v>0.00266915407647939</v>
      </c>
      <c r="AK11" s="22" t="n">
        <f aca="false">V12/U12-1</f>
        <v>0.00258462483925492</v>
      </c>
      <c r="AL11" s="22" t="n">
        <f aca="false">W12/V12-1</f>
        <v>0.00258399491768069</v>
      </c>
      <c r="AM11" s="22" t="n">
        <f aca="false">X12/W12-1</f>
        <v>0.00250572573977292</v>
      </c>
      <c r="AN11" s="22" t="n">
        <f aca="false">Y12/X12-1</f>
        <v>0.00260270667087625</v>
      </c>
      <c r="AO11" s="22" t="n">
        <f aca="false">Z12/Y12-1</f>
        <v>0.00280250063761245</v>
      </c>
      <c r="AP11" s="22" t="n">
        <f aca="false">AA12/Z12-1</f>
        <v>0.00279228048179836</v>
      </c>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t="n">
        <f aca="false">P13/AA12-1</f>
        <v>0.00292143848844884</v>
      </c>
      <c r="AF12" s="15" t="n">
        <f aca="false">Q13/P13-1</f>
        <v>0.00301800055682233</v>
      </c>
      <c r="AG12" s="15" t="n">
        <f aca="false">R13/Q13-1</f>
        <v>0.00301838909166019</v>
      </c>
      <c r="AH12" s="15" t="n">
        <f aca="false">S13/R13-1</f>
        <v>0.00282284688592904</v>
      </c>
      <c r="AI12" s="15" t="n">
        <f aca="false">T13/S13-1</f>
        <v>0.00311616114365942</v>
      </c>
      <c r="AJ12" s="15" t="n">
        <f aca="false">U13/T13-1</f>
        <v>0.00292053779189994</v>
      </c>
      <c r="AK12" s="15" t="n">
        <f aca="false">V13/U13-1</f>
        <v>0.00301789329992586</v>
      </c>
      <c r="AL12" s="15" t="n">
        <f aca="false">W13/V13-1</f>
        <v>0.00301814267604783</v>
      </c>
      <c r="AM12" s="15" t="n">
        <f aca="false">X13/W13-1</f>
        <v>0.00292476533859487</v>
      </c>
      <c r="AN12" s="15" t="n">
        <f aca="false">Y13/X13-1</f>
        <v>0.00301361779628562</v>
      </c>
      <c r="AO12" s="15" t="n">
        <f aca="false">Z13/Y13-1</f>
        <v>0.00292018807560002</v>
      </c>
      <c r="AP12" s="15" t="n">
        <f aca="false">AA13/Z13-1</f>
        <v>0.00304018448549392</v>
      </c>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t="n">
        <f aca="false">P14/AA13-1</f>
        <v>0.00289654086839919</v>
      </c>
      <c r="AF13" s="22" t="n">
        <f aca="false">+Q14/P14-1</f>
        <v>0.00250151941384136</v>
      </c>
      <c r="AG13" s="22" t="n">
        <f aca="false">+R14/Q14-1</f>
        <v>0.00270212204289333</v>
      </c>
      <c r="AH13" s="22" t="n">
        <f aca="false">+S14/R14-1</f>
        <v>0.00225491285505464</v>
      </c>
      <c r="AI13" s="22" t="n">
        <f aca="false">+T14/S14-1</f>
        <v>0.00243746844425052</v>
      </c>
      <c r="AJ13" s="22" t="n">
        <f aca="false">+U14/T14-1</f>
        <v>0.00208725757609263</v>
      </c>
      <c r="AK13" s="22" t="n">
        <f aca="false">+V14/U14-1</f>
        <v>0.00215649106641025</v>
      </c>
      <c r="AL13" s="22" t="n">
        <f aca="false">+W14/V14-1</f>
        <v>0.00215410978052844</v>
      </c>
      <c r="AM13" s="22" t="n">
        <f aca="false">+X14/W14-1</f>
        <v>0.00208250980763447</v>
      </c>
      <c r="AN13" s="22" t="n">
        <f aca="false">+Y14/X14-1</f>
        <v>0.00215785226135479</v>
      </c>
      <c r="AO13" s="22" t="n">
        <f aca="false">+Z14/Y14-1</f>
        <v>0.00208595808442036</v>
      </c>
      <c r="AP13" s="22" t="n">
        <f aca="false">+AA14/Z14-1</f>
        <v>0.000902761599254509</v>
      </c>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t="n">
        <f aca="false">P15/AA14-1</f>
        <v>0.00340412389130984</v>
      </c>
      <c r="AF14" s="15" t="n">
        <f aca="false">+Q15/P15-1</f>
        <v>0.00194219908460713</v>
      </c>
      <c r="AG14" s="15" t="n">
        <f aca="false">+R15/Q15-1</f>
        <v>0.00215492892685987</v>
      </c>
      <c r="AH14" s="15" t="n">
        <f aca="false">+S15/R15-1</f>
        <v>0.00207810036525014</v>
      </c>
      <c r="AI14" s="15" t="n">
        <f aca="false">+T15/S15-1</f>
        <v>0.00214029399947346</v>
      </c>
      <c r="AJ14" s="15" t="n">
        <f aca="false">+U15/T15-1</f>
        <v>0.00208774934509859</v>
      </c>
      <c r="AK14" s="27" t="n">
        <f aca="false">+V15/U15-1</f>
        <v>0.00215431340727945</v>
      </c>
      <c r="AL14" s="27" t="n">
        <f aca="false">+W15/V15-1</f>
        <v>0.00214541461679341</v>
      </c>
      <c r="AM14" s="27" t="n">
        <f aca="false">+X15/W15-1</f>
        <v>0.00204850697470471</v>
      </c>
      <c r="AN14" s="15" t="n">
        <f aca="false">+Y15/X15-1</f>
        <v>0.00227573083862054</v>
      </c>
      <c r="AO14" s="15" t="n">
        <f aca="false">+Z15/Y15-1</f>
        <v>0.00229299572149211</v>
      </c>
      <c r="AP14" s="15" t="n">
        <f aca="false">+AA15/Z15-1</f>
        <v>0.00236766559439183</v>
      </c>
      <c r="AQ14" s="16" t="n">
        <f aca="false">+AA15/AA14-1</f>
        <v>0.0274301662224075</v>
      </c>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P15" s="3" t="n">
        <f aca="false">+B150</f>
        <v>17933.28</v>
      </c>
      <c r="Q15" s="3" t="n">
        <f aca="false">+B151</f>
        <v>17968.11</v>
      </c>
      <c r="R15" s="3" t="n">
        <f aca="false">+B152</f>
        <v>18006.83</v>
      </c>
      <c r="S15" s="3" t="n">
        <f aca="false">+B153</f>
        <v>18044.25</v>
      </c>
      <c r="T15" s="18" t="n">
        <f aca="false">+B154</f>
        <v>18082.87</v>
      </c>
      <c r="U15" s="19" t="n">
        <f aca="false">+B155</f>
        <v>18120.6225</v>
      </c>
      <c r="V15" s="18" t="n">
        <f aca="false">+B156</f>
        <v>18159.66</v>
      </c>
      <c r="W15" s="18" t="n">
        <f aca="false">+B157</f>
        <v>18198.62</v>
      </c>
      <c r="X15" s="18" t="n">
        <f aca="false">+B158</f>
        <v>18235.9</v>
      </c>
      <c r="Y15" s="28" t="n">
        <f aca="false">+B159</f>
        <v>18277.4</v>
      </c>
      <c r="Z15" s="29" t="n">
        <f aca="false">+B160</f>
        <v>18319.31</v>
      </c>
      <c r="AA15" s="3" t="n">
        <f aca="false">+B161</f>
        <v>18362.684</v>
      </c>
      <c r="AC15" s="6"/>
      <c r="AD15" s="21" t="n">
        <v>2019</v>
      </c>
      <c r="AE15" s="22" t="n">
        <f aca="false">+P16/AA15-1</f>
        <v>0.00245094889178499</v>
      </c>
      <c r="AF15" s="22" t="n">
        <f aca="false">+Q16/P16-1</f>
        <v>0.00225286279810244</v>
      </c>
      <c r="AG15" s="22" t="n">
        <f aca="false">+R16/Q16-1</f>
        <v>0.00258331544634016</v>
      </c>
      <c r="AH15" s="22" t="n">
        <f aca="false">+S16/R16-1</f>
        <v>0.00250042980360954</v>
      </c>
      <c r="AI15" s="22" t="n">
        <f aca="false">+T16/S16-1</f>
        <v>0.00258587170301361</v>
      </c>
      <c r="AJ15" s="22" t="n">
        <f aca="false">+U16/T16-1</f>
        <v>0.00222096474534483</v>
      </c>
      <c r="AK15" s="22" t="n">
        <f aca="false">+V16/U16-1</f>
        <v>0.00214680842042658</v>
      </c>
      <c r="AL15" s="22" t="n">
        <f aca="false">+W16/V16-1</f>
        <v>0.00215506276406074</v>
      </c>
      <c r="AM15" s="22" t="n">
        <f aca="false">+X16/W16-1</f>
        <v>0.00172183908660228</v>
      </c>
      <c r="AN15" s="22" t="n">
        <f aca="false">+Y16/X16-1</f>
        <v>0.00167150623880685</v>
      </c>
      <c r="AO15" s="22" t="n">
        <f aca="false">+Z16/Y16-1</f>
        <v>0.00142138128563651</v>
      </c>
      <c r="AP15" s="22" t="n">
        <f aca="false">+AA16/Z16-1</f>
        <v>0.00148329051167395</v>
      </c>
      <c r="AQ15" s="23" t="n">
        <f aca="false">+(AA16/AA15-1)/COUNTA(AE15:AP15)*12</f>
        <v>0.0254862524454487</v>
      </c>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P16" s="3" t="n">
        <f aca="false">+B162</f>
        <v>18407.69</v>
      </c>
      <c r="Q16" s="3" t="n">
        <f aca="false">+B163</f>
        <v>18449.16</v>
      </c>
      <c r="R16" s="3" t="n">
        <f aca="false">+B164</f>
        <v>18496.82</v>
      </c>
      <c r="S16" s="3" t="n">
        <f aca="false">+B165</f>
        <v>18543.07</v>
      </c>
      <c r="T16" s="3" t="n">
        <f aca="false">+B166</f>
        <v>18591.02</v>
      </c>
      <c r="U16" s="19" t="n">
        <f aca="false">+B167</f>
        <v>18632.31</v>
      </c>
      <c r="V16" s="19" t="n">
        <f aca="false">+B168</f>
        <v>18672.31</v>
      </c>
      <c r="W16" s="19" t="n">
        <f aca="false">+B169</f>
        <v>18712.55</v>
      </c>
      <c r="X16" s="3" t="n">
        <f aca="false">+B170</f>
        <v>18744.77</v>
      </c>
      <c r="Y16" s="19" t="n">
        <f aca="false">+B171</f>
        <v>18776.102</v>
      </c>
      <c r="Z16" s="3" t="n">
        <f aca="false">+B172</f>
        <v>18802.79</v>
      </c>
      <c r="AA16" s="19" t="n">
        <f aca="false">+B173</f>
        <v>18830.68</v>
      </c>
      <c r="AD16" s="21" t="n">
        <v>2020</v>
      </c>
      <c r="AE16" s="22" t="n">
        <f aca="false">+P17/AA16-1</f>
        <v>0.00165580849974623</v>
      </c>
      <c r="AF16" s="22" t="n">
        <f aca="false">+Q17/P17-1</f>
        <v>0.00137985861415579</v>
      </c>
      <c r="AG16" s="22" t="n">
        <f aca="false">+R17/Q17-1</f>
        <v>0.00110564513286726</v>
      </c>
      <c r="AH16" s="22" t="n">
        <f aca="false">+S17/R17-1</f>
        <v>0.00048443129828124</v>
      </c>
      <c r="AI16" s="22" t="n">
        <f aca="false">+T17/S17-1</f>
        <v>0.000386405912274901</v>
      </c>
      <c r="AJ16" s="22" t="n">
        <f aca="false">+U17/T17-1</f>
        <v>0.000390483819491916</v>
      </c>
      <c r="AK16" s="22" t="n">
        <f aca="false">+V17/U17-1</f>
        <v>0.000428360983128151</v>
      </c>
      <c r="AL16" s="22" t="n">
        <f aca="false">+W17/V17-1</f>
        <v>0.00041973016893726</v>
      </c>
      <c r="AM16" s="22" t="n">
        <f aca="false">+X17/W17-1</f>
        <v>0.000394750243948305</v>
      </c>
      <c r="AN16" s="22" t="n">
        <f aca="false">+Y17/X17-1</f>
        <v>0.000372438103266815</v>
      </c>
      <c r="AO16" s="22" t="n">
        <f aca="false">+Z17/Y17-1</f>
        <v>0.00032958520252091</v>
      </c>
      <c r="AP16" s="22" t="n">
        <f aca="false">+AA17/Z17-1</f>
        <v>0.000390100308495622</v>
      </c>
      <c r="AQ16" s="23" t="n">
        <f aca="false">+(AA17/AA16-1)/COUNTA(AE16:AP16)*12</f>
        <v>0.00776392567873274</v>
      </c>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P17" s="3" t="n">
        <f aca="false">+B174</f>
        <v>18861.86</v>
      </c>
      <c r="Q17" s="19" t="n">
        <f aca="false">+B175</f>
        <v>18887.8867</v>
      </c>
      <c r="R17" s="19" t="n">
        <f aca="false">+B176</f>
        <v>18908.77</v>
      </c>
      <c r="S17" s="19" t="n">
        <f aca="false">+B177</f>
        <v>18917.93</v>
      </c>
      <c r="T17" s="19" t="n">
        <f aca="false">+B178</f>
        <v>18925.24</v>
      </c>
      <c r="U17" s="19" t="n">
        <f aca="false">+B179</f>
        <v>18932.63</v>
      </c>
      <c r="V17" s="19" t="n">
        <f aca="false">+B180</f>
        <v>18940.74</v>
      </c>
      <c r="W17" s="19" t="n">
        <f aca="false">+B181</f>
        <v>18948.69</v>
      </c>
      <c r="X17" s="19" t="n">
        <f aca="false">+B182</f>
        <v>18956.17</v>
      </c>
      <c r="Y17" s="19" t="n">
        <f aca="false">+B183</f>
        <v>18963.23</v>
      </c>
      <c r="Z17" s="19" t="n">
        <f aca="false">+B184</f>
        <v>18969.48</v>
      </c>
      <c r="AA17" s="19" t="n">
        <f aca="false">+B185</f>
        <v>18976.88</v>
      </c>
      <c r="AD17" s="21" t="n">
        <v>2021</v>
      </c>
      <c r="AE17" s="22"/>
      <c r="AF17" s="22" t="n">
        <f aca="false">+C186</f>
        <v>0.000163145891210714</v>
      </c>
      <c r="AG17" s="22" t="n">
        <f aca="false">+R18/Q18-1</f>
        <v>0.000259130396311313</v>
      </c>
      <c r="AH17" s="22" t="n">
        <f aca="false">+S18/R18-1</f>
        <v>0.000294342205723552</v>
      </c>
      <c r="AI17" s="22" t="n">
        <f aca="false">+T18/S18-1</f>
        <v>0.000242668745581653</v>
      </c>
      <c r="AJ17" s="22" t="n">
        <f aca="false">+U18/T18-1</f>
        <v>0.000272607187777885</v>
      </c>
      <c r="AK17" s="22" t="n">
        <f aca="false">+V18/U18-1</f>
        <v>0.000501923514011571</v>
      </c>
      <c r="AL17" s="22" t="n">
        <f aca="false">+W18/V18-1</f>
        <v>0.00062893015614951</v>
      </c>
      <c r="AM17" s="22" t="n">
        <f aca="false">+X18/W18-1</f>
        <v>0.00124761014863051</v>
      </c>
      <c r="AN17" s="22" t="n">
        <f aca="false">+Y18/X18-1</f>
        <v>0.00207168546072567</v>
      </c>
      <c r="AO17" s="22" t="n">
        <f aca="false">+Z18/Y18-1</f>
        <v>0.00214125696183509</v>
      </c>
      <c r="AP17" s="22" t="n">
        <f aca="false">+AA18/Z18-1</f>
        <v>0.0031851611422884</v>
      </c>
      <c r="AQ17" s="23" t="n">
        <f aca="false">+(AA18/Q18-1)/COUNTA(AF17:AP17)*12</f>
        <v>0.0118838004144361</v>
      </c>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Q18" s="3" t="n">
        <f aca="false">+B187</f>
        <v>18986.58</v>
      </c>
      <c r="R18" s="19" t="n">
        <f aca="false">+B188</f>
        <v>18991.5</v>
      </c>
      <c r="S18" s="3" t="n">
        <f aca="false">+B189</f>
        <v>18997.09</v>
      </c>
      <c r="T18" s="3" t="n">
        <f aca="false">+B190</f>
        <v>19001.7</v>
      </c>
      <c r="U18" s="3" t="n">
        <f aca="false">+B191</f>
        <v>19006.88</v>
      </c>
      <c r="V18" s="3" t="n">
        <f aca="false">+B192</f>
        <v>19016.42</v>
      </c>
      <c r="W18" s="3" t="n">
        <f aca="false">+B193</f>
        <v>19028.38</v>
      </c>
      <c r="X18" s="3" t="n">
        <f aca="false">+B194</f>
        <v>19052.12</v>
      </c>
      <c r="Y18" s="3" t="n">
        <f aca="false">+B195</f>
        <v>19091.59</v>
      </c>
      <c r="Z18" s="3" t="n">
        <f aca="false">+B196</f>
        <v>19132.47</v>
      </c>
      <c r="AA18" s="3" t="n">
        <f aca="false">+B197</f>
        <v>19193.41</v>
      </c>
      <c r="AD18" s="21" t="n">
        <v>2022</v>
      </c>
      <c r="AE18" s="22" t="n">
        <f aca="false">+P19/AA18-1</f>
        <v>0.00343555418239894</v>
      </c>
      <c r="AF18" s="22" t="n">
        <f aca="false">+Q19/P19-1</f>
        <v>0.0042862298052635</v>
      </c>
      <c r="AG18" s="22" t="n">
        <f aca="false">+R19/Q19-1</f>
        <v>0.00483147984427568</v>
      </c>
      <c r="AH18" s="22" t="n">
        <f aca="false">+S19/R19-1</f>
        <v>0.00545243589644651</v>
      </c>
      <c r="AI18" s="22" t="n">
        <f aca="false">+T19/S19-1</f>
        <v>0.00711313258265056</v>
      </c>
      <c r="AJ18" s="22" t="n">
        <f aca="false">+U19/T19-1</f>
        <v>0.00735963642867588</v>
      </c>
      <c r="AK18" s="22" t="n">
        <f aca="false">+V19/U19-1</f>
        <v>0.00758934606328521</v>
      </c>
      <c r="AL18" s="22" t="n">
        <f aca="false">+W19/V19-1</f>
        <v>0.00897594167289917</v>
      </c>
      <c r="AM18" s="22" t="n">
        <f aca="false">+X19/W19-1</f>
        <v>0.00879983646672877</v>
      </c>
      <c r="AN18" s="22" t="n">
        <f aca="false">+Y19/X19-1</f>
        <v>0.00860306861798099</v>
      </c>
      <c r="AO18" s="22" t="n">
        <f aca="false">+Z19/Y19-1</f>
        <v>0.0103612389794803</v>
      </c>
      <c r="AP18" s="22" t="n">
        <f aca="false">+AA19/Z19-1</f>
        <v>0.00941665122241275</v>
      </c>
      <c r="AQ18" s="23" t="n">
        <f aca="false">+(AA19/AA18-1)/COUNTA(AE18:AP18)*12</f>
        <v>0.0896859911813484</v>
      </c>
      <c r="AR18" s="26"/>
      <c r="AS18" s="9"/>
      <c r="AV18" s="28"/>
      <c r="AW18" s="28"/>
      <c r="AX18" s="28" t="n">
        <v>-1</v>
      </c>
      <c r="AY18" s="28" t="n">
        <v>-3</v>
      </c>
      <c r="AZ18" s="28" t="n">
        <v>-6</v>
      </c>
      <c r="BA18" s="28" t="n">
        <v>-12</v>
      </c>
      <c r="BB18" s="28"/>
    </row>
    <row r="19" customFormat="false" ht="15" hidden="false" customHeight="false" outlineLevel="0" collapsed="false">
      <c r="A19" s="17" t="n">
        <v>39202</v>
      </c>
      <c r="B19" s="20" t="n">
        <v>11712.58</v>
      </c>
      <c r="C19" s="25" t="n">
        <f aca="false">(B19/B18-1)/(A19-A18)*30</f>
        <v>0.00423892793075653</v>
      </c>
      <c r="D19" s="19"/>
      <c r="E19" s="19"/>
      <c r="F19" s="19"/>
      <c r="O19" s="3" t="n">
        <v>2022</v>
      </c>
      <c r="P19" s="3" t="n">
        <f aca="false">+B198</f>
        <v>19259.35</v>
      </c>
      <c r="Q19" s="19" t="n">
        <f aca="false">+B199</f>
        <v>19341.9</v>
      </c>
      <c r="R19" s="3" t="n">
        <f aca="false">+B200</f>
        <v>19435.35</v>
      </c>
      <c r="S19" s="3" t="n">
        <f aca="false">+B201</f>
        <v>19541.32</v>
      </c>
      <c r="T19" s="3" t="n">
        <f aca="false">+B202</f>
        <v>19680.32</v>
      </c>
      <c r="U19" s="3" t="n">
        <f aca="false">+B203</f>
        <v>19825.16</v>
      </c>
      <c r="V19" s="3" t="n">
        <f aca="false">+B204</f>
        <v>19975.62</v>
      </c>
      <c r="W19" s="3" t="n">
        <f aca="false">+B205</f>
        <v>20154.92</v>
      </c>
      <c r="X19" s="3" t="n">
        <f aca="false">+B206</f>
        <v>20332.28</v>
      </c>
      <c r="Y19" s="3" t="n">
        <f aca="false">+B207</f>
        <v>20507.2</v>
      </c>
      <c r="Z19" s="3" t="n">
        <f aca="false">+B208</f>
        <v>20719.68</v>
      </c>
      <c r="AA19" s="3" t="n">
        <f aca="false">+B209</f>
        <v>20914.79</v>
      </c>
      <c r="AD19" s="21" t="n">
        <v>2023</v>
      </c>
      <c r="AE19" s="22" t="n">
        <f aca="false">+P20/AA19-1</f>
        <v>0.0100469572011002</v>
      </c>
      <c r="AF19" s="22" t="n">
        <f aca="false">+Q20/P20-1</f>
        <v>0.0087853587137845</v>
      </c>
      <c r="AG19" s="22" t="n">
        <f aca="false">+R20/Q20-1</f>
        <v>0.00973181777442234</v>
      </c>
      <c r="AH19" s="22" t="n">
        <f aca="false">+S20/R20-1</f>
        <v>0.00878524391320701</v>
      </c>
      <c r="AI19" s="22" t="n">
        <f aca="false">+T20/S20-1</f>
        <v>0.0103616631363057</v>
      </c>
      <c r="AJ19" s="22" t="n">
        <f aca="false">+U20/T20-1</f>
        <v>0.00941507013085063</v>
      </c>
      <c r="AK19" s="22" t="n">
        <f aca="false">+V20/U20-1</f>
        <v>0.00973152922417442</v>
      </c>
      <c r="AL19" s="22" t="n">
        <f aca="false">+W20/V20-1</f>
        <v>0.00886337395135217</v>
      </c>
      <c r="AM19" s="22" t="n">
        <f aca="false">+X20/W20-1</f>
        <v>0.00779534514134506</v>
      </c>
      <c r="AN19" s="22" t="n">
        <f aca="false">+Y20/X20-1</f>
        <v>0.00846015350417906</v>
      </c>
      <c r="AO19" s="22" t="n">
        <f aca="false">+Z20/Y20-1</f>
        <v>0.00752661431064561</v>
      </c>
      <c r="AP19" s="22" t="n">
        <f aca="false">+AA20/Z20-1</f>
        <v>0.00708194994827327</v>
      </c>
      <c r="AQ19" s="23" t="n">
        <f aca="false">+(AA20/P20-1)/COUNTA(AE19:AP19)*12</f>
        <v>0.100882275530511</v>
      </c>
      <c r="AR19" s="26"/>
      <c r="AS19" s="9"/>
      <c r="AV19" s="30" t="s">
        <v>25</v>
      </c>
      <c r="AW19" s="31" t="n">
        <v>46142</v>
      </c>
      <c r="AX19" s="32" t="n">
        <f aca="false">EOMONTH($AW19,AX18)+6</f>
        <v>46118</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P20" s="3" t="n">
        <f aca="false">+B210</f>
        <v>21124.92</v>
      </c>
      <c r="Q20" s="19" t="n">
        <f aca="false">+B211</f>
        <v>21310.51</v>
      </c>
      <c r="R20" s="3" t="n">
        <f aca="false">+B212</f>
        <v>21517.9</v>
      </c>
      <c r="S20" s="3" t="n">
        <f aca="false">+B213</f>
        <v>21706.94</v>
      </c>
      <c r="T20" s="3" t="n">
        <f aca="false">+B214</f>
        <v>21931.86</v>
      </c>
      <c r="U20" s="3" t="n">
        <f aca="false">+B215</f>
        <v>22138.35</v>
      </c>
      <c r="V20" s="3" t="n">
        <f aca="false">+B216</f>
        <v>22353.79</v>
      </c>
      <c r="W20" s="3" t="n">
        <f aca="false">+B217</f>
        <v>22551.92</v>
      </c>
      <c r="X20" s="3" t="n">
        <f aca="false">+B218</f>
        <v>22727.72</v>
      </c>
      <c r="Y20" s="19" t="n">
        <f aca="false">+B219</f>
        <v>22920</v>
      </c>
      <c r="Z20" s="3" t="n">
        <f aca="false">+B220</f>
        <v>23092.51</v>
      </c>
      <c r="AA20" s="3" t="n">
        <f aca="false">+B221</f>
        <v>23256.05</v>
      </c>
      <c r="AD20" s="21" t="n">
        <v>2024</v>
      </c>
      <c r="AE20" s="22" t="n">
        <f aca="false">+P21/AA20-1</f>
        <v>0.00735722532416316</v>
      </c>
      <c r="AF20" s="22" t="n">
        <f aca="false">+Q21/P21-1</f>
        <v>0.00611213912063557</v>
      </c>
      <c r="AG20" s="22" t="n">
        <f aca="false">+R21/Q21-1</f>
        <v>0.00564735171406094</v>
      </c>
      <c r="AH20" s="22" t="n">
        <f aca="false">+S21/R21-1</f>
        <v>0.00609278396182833</v>
      </c>
      <c r="AI20" s="22" t="n">
        <f aca="false">+T21/S21-1</f>
        <v>0.00551411929031809</v>
      </c>
      <c r="AJ20" s="22" t="n">
        <f aca="false">+U21/T21-1</f>
        <v>0.00461354906321554</v>
      </c>
      <c r="AK20" s="22" t="n">
        <f aca="false">+V21/U21-1</f>
        <v>0.00528435035284347</v>
      </c>
      <c r="AL20" s="22" t="n">
        <f aca="false">+W21/V21-1</f>
        <v>0.00480235203759283</v>
      </c>
      <c r="AM20" s="22" t="n">
        <f aca="false">+X21/W21-1</f>
        <v>0.00478104349541386</v>
      </c>
      <c r="AN20" s="22" t="n">
        <f aca="false">+Y21/X21-1</f>
        <v>0.00451044051641847</v>
      </c>
      <c r="AO20" s="22" t="n">
        <f aca="false">+Z21/Y21-1</f>
        <v>0.0043843255475724</v>
      </c>
      <c r="AP20" s="22" t="n">
        <f aca="false">+AA21/Z21-1</f>
        <v>0.00444626417327787</v>
      </c>
      <c r="AQ20" s="23" t="n">
        <f aca="false">+(AA21/AA20-1)/COUNTA(AE20:AP20)*12</f>
        <v>0.0654251259349719</v>
      </c>
      <c r="AR20" s="9"/>
      <c r="AS20" s="9"/>
      <c r="AV20" s="28" t="s">
        <v>3</v>
      </c>
      <c r="AW20" s="33" t="n">
        <f aca="false">LOOKUP(AW19,$A$3:$A$2973,$B$3:$B$2973)</f>
        <v>19916.8502383877</v>
      </c>
      <c r="AX20" s="33" t="n">
        <f aca="false">LOOKUP(AX19,$A$3:$A$2973,$B$3:$B$2973)</f>
        <v>26333.64</v>
      </c>
      <c r="AY20" s="33" t="n">
        <f aca="false">LOOKUP(AY19,$A$3:$A$2973,$B$3:$B$2973)</f>
        <v>26136.9</v>
      </c>
      <c r="AZ20" s="33" t="n">
        <f aca="false">LOOKUP(AZ19,$A$3:$A$2973,$B$3:$B$2973)</f>
        <v>25829.5</v>
      </c>
      <c r="BA20" s="33" t="n">
        <f aca="false">LOOKUP(BA19,$A$3:$A$2973,$B$3:$B$2973)</f>
        <v>25197.48</v>
      </c>
      <c r="BB20" s="33"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P21" s="3" t="n">
        <f aca="false">+B222</f>
        <v>23427.15</v>
      </c>
      <c r="Q21" s="19" t="n">
        <f aca="false">+B223</f>
        <v>23570.34</v>
      </c>
      <c r="R21" s="3" t="n">
        <f aca="false">+B224</f>
        <v>23703.45</v>
      </c>
      <c r="S21" s="3" t="n">
        <f aca="false">+B225</f>
        <v>23847.87</v>
      </c>
      <c r="T21" s="3" t="n">
        <f aca="false">+B226</f>
        <v>23979.37</v>
      </c>
      <c r="U21" s="19" t="n">
        <f aca="false">+B227</f>
        <v>24090</v>
      </c>
      <c r="V21" s="3" t="n">
        <f aca="false">+B228</f>
        <v>24217.3</v>
      </c>
      <c r="W21" s="3" t="n">
        <f aca="false">+B229</f>
        <v>24333.6</v>
      </c>
      <c r="X21" s="3" t="n">
        <f aca="false">+B230</f>
        <v>24449.94</v>
      </c>
      <c r="Y21" s="19" t="n">
        <f aca="false">+B231</f>
        <v>24560.22</v>
      </c>
      <c r="Z21" s="3" t="n">
        <f aca="false">+B232</f>
        <v>24667.9</v>
      </c>
      <c r="AA21" s="3" t="n">
        <f aca="false">+B233</f>
        <v>24777.58</v>
      </c>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28" t="s">
        <v>26</v>
      </c>
      <c r="AW21" s="33" t="n">
        <f aca="false">LOOKUP(AW19,$F$2:$F$2974,$K$2:$K$2974)</f>
        <v>0</v>
      </c>
      <c r="AX21" s="33" t="n">
        <f aca="false">LOOKUP(AX19,$F$2:$F$2974,$K$2:$K$2974)</f>
        <v>6335.4774</v>
      </c>
      <c r="AY21" s="33" t="n">
        <f aca="false">LOOKUP(AY19,$F$2:$F$2974,$K$2:$K$2974)</f>
        <v>6303.0823</v>
      </c>
      <c r="AZ21" s="33" t="n">
        <f aca="false">LOOKUP(AZ19,$F$2:$F$2974,$K$2:$K$2974)</f>
        <v>6250.6982</v>
      </c>
      <c r="BA21" s="33" t="n">
        <f aca="false">LOOKUP(BA19,$F$2:$F$2974,$K$2:$K$2974)</f>
        <v>6141.4105</v>
      </c>
      <c r="BB21" s="33" t="n">
        <f aca="false">LOOKUP(BB19,$F$2:$F$2974,$K$2:$K$2974)</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28" t="s">
        <v>27</v>
      </c>
      <c r="AW22" s="33" t="n">
        <f aca="false">LOOKUP(AW19,$F$2:$F$2972,$H$2:$H$2972)</f>
        <v>1204.874</v>
      </c>
      <c r="AX22" s="33" t="n">
        <f aca="false">LOOKUP(AX19,$F$2:$F$2972,$H$2:$H$2972)</f>
        <v>1198.136</v>
      </c>
      <c r="AY22" s="33" t="n">
        <f aca="false">LOOKUP(AY19,$F$2:$F$2972,$H$2:$H$2972)</f>
        <v>1184.6551</v>
      </c>
      <c r="AZ22" s="33" t="n">
        <f aca="false">LOOKUP(AZ19,$F$2:$F$2972,$H$2:$H$2972)</f>
        <v>1159.2854</v>
      </c>
      <c r="BA22" s="33" t="n">
        <f aca="false">LOOKUP(BA19,$F$2:$F$2972,$H$2:$H$2972)</f>
        <v>1117.0623</v>
      </c>
      <c r="BB22" s="33"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19916.8502383877</v>
      </c>
      <c r="U23" s="19"/>
      <c r="Y23" s="19"/>
      <c r="AD23" s="26"/>
      <c r="AE23" s="9"/>
      <c r="AF23" s="9"/>
      <c r="AG23" s="9"/>
      <c r="AH23" s="9"/>
      <c r="AI23" s="9"/>
      <c r="AJ23" s="9"/>
      <c r="AK23" s="9"/>
      <c r="AL23" s="9"/>
      <c r="AM23" s="9"/>
      <c r="AN23" s="9"/>
      <c r="AO23" s="9"/>
      <c r="AP23" s="9"/>
      <c r="AQ23" s="9"/>
      <c r="AV23" s="28"/>
      <c r="AW23" s="33"/>
      <c r="AX23" s="33"/>
      <c r="AY23" s="33"/>
      <c r="AZ23" s="33"/>
      <c r="BA23" s="33"/>
      <c r="BB23" s="33"/>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6" t="s">
        <v>28</v>
      </c>
      <c r="AV24" s="28"/>
      <c r="AW24" s="28"/>
      <c r="AX24" s="28"/>
      <c r="AY24" s="28"/>
      <c r="AZ24" s="28"/>
      <c r="BA24" s="28"/>
      <c r="BB24" s="28"/>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4"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5" t="n">
        <f aca="false">LOOKUP(DATE($O27,U$25,U$24),$A$2:$A$2943,$H$2:$H$2943)</f>
        <v>0</v>
      </c>
      <c r="V27" s="35" t="n">
        <f aca="false">LOOKUP(DATE($O27,V$25,V$24),$A$2:$A$2943,$H$2:$H$2943)</f>
        <v>0</v>
      </c>
      <c r="W27" s="35" t="n">
        <f aca="false">LOOKUP(DATE($O27,W$25,W$24),$A$2:$A$2943,$H$2:$H$2943)</f>
        <v>0</v>
      </c>
      <c r="X27" s="35" t="n">
        <f aca="false">LOOKUP(DATE($O27,X$25,X$24),$A$2:$A$2943,$H$2:$H$2943)</f>
        <v>0</v>
      </c>
      <c r="Y27" s="35" t="n">
        <f aca="false">LOOKUP(DATE($O27,Y$25,Y$24),$A$2:$A$2943,$H$2:$H$2943)</f>
        <v>0</v>
      </c>
      <c r="Z27" s="35" t="n">
        <f aca="false">LOOKUP(DATE($O27,Z$25,Z$24),$A$2:$A$2943,$H$2:$H$2943)</f>
        <v>0</v>
      </c>
      <c r="AA27" s="35" t="n">
        <f aca="false">LOOKUP(DATE($O27,AA$25,AA$24),$A$2:$A$2943,$H$2:$H$2943)</f>
        <v>0</v>
      </c>
      <c r="AD27" s="36"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5" t="n">
        <f aca="false">LOOKUP(DATE($O28,P$25,P$24),$A$2:$A$2943,$H$2:$H$2943)</f>
        <v>0</v>
      </c>
      <c r="Q28" s="35" t="n">
        <f aca="false">LOOKUP(DATE($O28,Q$25,Q$24),$A$2:$A$2943,$H$2:$H$2943)</f>
        <v>0</v>
      </c>
      <c r="R28" s="35" t="n">
        <f aca="false">LOOKUP(DATE($O28,R$25,R$24),$A$2:$A$2943,$H$2:$H$2943)</f>
        <v>0</v>
      </c>
      <c r="S28" s="35" t="n">
        <f aca="false">LOOKUP(DATE($O28,S$25,S$24),$A$2:$A$2943,$H$2:$H$2943)</f>
        <v>0</v>
      </c>
      <c r="T28" s="35" t="n">
        <f aca="false">LOOKUP(DATE($O28,T$25,T$24),$A$2:$A$2943,$H$2:$H$2943)</f>
        <v>0</v>
      </c>
      <c r="U28" s="35" t="n">
        <f aca="false">LOOKUP(DATE($O28,U$25,U$24),$A$2:$A$2943,$H$2:$H$2943)</f>
        <v>0</v>
      </c>
      <c r="V28" s="35" t="n">
        <f aca="false">LOOKUP(DATE($O28,V$25,V$24),$A$2:$A$2943,$H$2:$H$2943)</f>
        <v>0</v>
      </c>
      <c r="W28" s="35" t="n">
        <f aca="false">LOOKUP(DATE($O28,W$25,W$24),$A$2:$A$2943,$H$2:$H$2943)</f>
        <v>0</v>
      </c>
      <c r="X28" s="35" t="n">
        <f aca="false">LOOKUP(DATE($O28,X$25,X$24),$A$2:$A$2943,$H$2:$H$2943)</f>
        <v>0</v>
      </c>
      <c r="Y28" s="35" t="n">
        <f aca="false">LOOKUP(DATE($O28,Y$25,Y$24),$A$2:$A$2943,$H$2:$H$2943)</f>
        <v>0</v>
      </c>
      <c r="Z28" s="35" t="n">
        <f aca="false">LOOKUP(DATE($O28,Z$25,Z$24),$A$2:$A$2943,$H$2:$H$2943)</f>
        <v>0</v>
      </c>
      <c r="AA28" s="35" t="n">
        <f aca="false">LOOKUP(DATE($O28,AA$25,AA$24),$A$2:$A$2943,$H$2:$H$2943)</f>
        <v>0</v>
      </c>
      <c r="AD28" s="14" t="n">
        <v>2016</v>
      </c>
      <c r="AE28" s="15"/>
      <c r="AF28" s="15"/>
      <c r="AG28" s="15"/>
      <c r="AH28" s="15"/>
      <c r="AI28" s="15"/>
      <c r="AJ28" s="15"/>
      <c r="AK28" s="15"/>
      <c r="AL28" s="15"/>
      <c r="AM28" s="15"/>
      <c r="AN28" s="15"/>
      <c r="AO28" s="15"/>
      <c r="AP28" s="15"/>
      <c r="AQ28" s="16"/>
      <c r="AR28" s="9"/>
      <c r="AS28" s="9"/>
      <c r="AV28" s="37"/>
      <c r="AW28" s="38" t="s">
        <v>31</v>
      </c>
      <c r="AX28" s="38" t="s">
        <v>32</v>
      </c>
      <c r="AY28" s="38" t="s">
        <v>33</v>
      </c>
      <c r="AZ28" s="38" t="s">
        <v>34</v>
      </c>
      <c r="BA28" s="38" t="s">
        <v>35</v>
      </c>
      <c r="BB28" s="38" t="s">
        <v>36</v>
      </c>
      <c r="BC28" s="39"/>
      <c r="BD28" s="40"/>
    </row>
    <row r="29" customFormat="false" ht="15" hidden="false" customHeight="false" outlineLevel="0" collapsed="false">
      <c r="A29" s="17" t="n">
        <v>39478</v>
      </c>
      <c r="B29" s="20" t="n">
        <v>12223.14</v>
      </c>
      <c r="C29" s="25" t="n">
        <f aca="false">(B29/B28-1)/(A29-A28)*30</f>
        <v>0.0056172766427787</v>
      </c>
      <c r="D29" s="19"/>
      <c r="E29" s="19"/>
      <c r="F29" s="19"/>
      <c r="O29" s="3" t="n">
        <v>2018</v>
      </c>
      <c r="P29" s="35" t="n">
        <f aca="false">LOOKUP(DATE($O29,P$25,P$24),$A$2:$A$2943,$H$2:$H$2943)</f>
        <v>0</v>
      </c>
      <c r="Q29" s="35" t="n">
        <f aca="false">LOOKUP(DATE($O29,Q$25,Q$24),$A$2:$A$2943,$H$2:$H$2943)</f>
        <v>0</v>
      </c>
      <c r="R29" s="35" t="n">
        <f aca="false">LOOKUP(DATE($O29,R$25,R$24),$A$2:$A$2943,$H$2:$H$2943)</f>
        <v>0</v>
      </c>
      <c r="S29" s="35" t="n">
        <f aca="false">LOOKUP(DATE($O29,S$25,S$24),$A$2:$A$2943,$H$2:$H$2943)</f>
        <v>0</v>
      </c>
      <c r="T29" s="35" t="n">
        <f aca="false">LOOKUP(DATE($O29,T$25,T$24),$A$2:$A$2943,$H$2:$H$2943)</f>
        <v>0</v>
      </c>
      <c r="U29" s="35" t="n">
        <f aca="false">LOOKUP(DATE($O29,U$25,U$24),$A$2:$A$2943,$H$2:$H$2943)</f>
        <v>0</v>
      </c>
      <c r="V29" s="35" t="n">
        <f aca="false">LOOKUP(DATE($O29,V$25,V$24),$A$2:$A$2943,$H$2:$H$2943)</f>
        <v>0</v>
      </c>
      <c r="W29" s="35" t="n">
        <f aca="false">LOOKUP(DATE($O29,W$25,W$24),$A$2:$A$2943,$H$2:$H$2943)</f>
        <v>0</v>
      </c>
      <c r="X29" s="35" t="n">
        <f aca="false">LOOKUP(DATE($O29,X$25,X$24),$A$2:$A$2943,$H$2:$H$2943)</f>
        <v>0</v>
      </c>
      <c r="Y29" s="41" t="n">
        <f aca="false">LOOKUP(DATE($O29,Y$25,Y$24),$A$2:$A$2943,$H$2:$H$2943)</f>
        <v>0</v>
      </c>
      <c r="Z29" s="41" t="n">
        <f aca="false">LOOKUP(DATE($O29,Z$25,Z$24),$A$2:$A$2943,$H$2:$H$2943)</f>
        <v>0</v>
      </c>
      <c r="AA29" s="41"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2"/>
      <c r="AW29" s="38" t="s">
        <v>37</v>
      </c>
      <c r="AX29" s="43" t="n">
        <f aca="false">$AW20/AX20-1</f>
        <v>-0.243672722859896</v>
      </c>
      <c r="AY29" s="43" t="n">
        <f aca="false">$AW20/AY20-1</f>
        <v>-0.237979628862347</v>
      </c>
      <c r="AZ29" s="43" t="n">
        <f aca="false">$AW20/AZ20-1</f>
        <v>-0.228910732364632</v>
      </c>
      <c r="BA29" s="43" t="n">
        <f aca="false">$AW20/BA20-1</f>
        <v>-0.209569757039683</v>
      </c>
      <c r="BB29" s="43" t="n">
        <f aca="false">+AQ86</f>
        <v>-0.71393888658704</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5" t="n">
        <f aca="false">LOOKUP(DATE($O30,P$25,P$24),$A$2:$A$2943,$H$2:$H$2943)</f>
        <v>0</v>
      </c>
      <c r="Q30" s="35" t="n">
        <f aca="false">LOOKUP(DATE($O30,Q$25,Q$24),$A$2:$A$2943,$H$2:$H$2943)</f>
        <v>0</v>
      </c>
      <c r="R30" s="35" t="n">
        <f aca="false">LOOKUP(DATE($O30,R$25,R$24),$A$2:$A$2943,$H$2:$H$2943)</f>
        <v>0</v>
      </c>
      <c r="S30" s="35" t="n">
        <f aca="false">LOOKUP(DATE($O30,S$25,S$24),$A$2:$A$2943,$H$2:$H$2943)</f>
        <v>0</v>
      </c>
      <c r="T30" s="35" t="n">
        <f aca="false">LOOKUP(DATE($O30,T$25,T$24),$A$2:$A$2943,$H$2:$H$2943)</f>
        <v>0</v>
      </c>
      <c r="U30" s="35" t="n">
        <f aca="false">LOOKUP(DATE($O30,U$25,U$24),$A$2:$A$2943,$H$2:$H$2943)</f>
        <v>0</v>
      </c>
      <c r="V30" s="35" t="n">
        <f aca="false">LOOKUP(DATE($O30,V$25,V$24),$A$2:$A$2943,$H$2:$H$2943)</f>
        <v>0</v>
      </c>
      <c r="W30" s="35" t="n">
        <f aca="false">LOOKUP(DATE($O30,W$25,W$24),$A$2:$A$2943,$H$2:$H$2943)</f>
        <v>0</v>
      </c>
      <c r="X30" s="35" t="n">
        <f aca="false">LOOKUP(DATE($O30,X$25,X$24),$A$2:$A$2943,$H$2:$H$2943)</f>
        <v>0</v>
      </c>
      <c r="Y30" s="35" t="n">
        <f aca="false">LOOKUP(DATE($O30,Y$25,Y$24),$A$2:$A$2943,$H$2:$H$2943)</f>
        <v>0</v>
      </c>
      <c r="Z30" s="35" t="n">
        <f aca="false">LOOKUP(DATE($O30,Z$25,Z$24),$A$2:$A$2943,$H$2:$H$2943)</f>
        <v>0</v>
      </c>
      <c r="AA30" s="35" t="n">
        <f aca="false">LOOKUP(DATE($O30,AA$25,AA$24),$A$2:$A$2943,$H$2:$H$2943)</f>
        <v>0</v>
      </c>
      <c r="AD30" s="14" t="n">
        <v>2018</v>
      </c>
      <c r="AE30" s="15"/>
      <c r="AF30" s="15"/>
      <c r="AG30" s="15"/>
      <c r="AH30" s="15"/>
      <c r="AI30" s="15"/>
      <c r="AJ30" s="15"/>
      <c r="AK30" s="15"/>
      <c r="AL30" s="15"/>
      <c r="AM30" s="15"/>
      <c r="AN30" s="15"/>
      <c r="AO30" s="15"/>
      <c r="AP30" s="15"/>
      <c r="AQ30" s="16"/>
      <c r="AR30" s="26"/>
      <c r="AS30" s="9"/>
      <c r="AV30" s="42"/>
      <c r="AW30" s="38" t="s">
        <v>26</v>
      </c>
      <c r="AX30" s="43" t="n">
        <f aca="false">$AW21/AX21-1</f>
        <v>-1</v>
      </c>
      <c r="AY30" s="43" t="n">
        <f aca="false">$AW21/AY21-1</f>
        <v>-1</v>
      </c>
      <c r="AZ30" s="43" t="n">
        <f aca="false">$AW21/AZ21-1</f>
        <v>-1</v>
      </c>
      <c r="BA30" s="43" t="n">
        <f aca="false">$AW21/BA21-1</f>
        <v>-1</v>
      </c>
      <c r="BB30" s="43"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5" t="n">
        <f aca="false">LOOKUP(DATE($O31,P$25,P$24),$A$2:$A$2943,$H$2:$H$2943)</f>
        <v>0</v>
      </c>
      <c r="Q31" s="35" t="n">
        <f aca="false">LOOKUP(DATE($O31,Q$25,Q$24)+1,$A$2:$A$2943,$H$2:$H$2943)</f>
        <v>0</v>
      </c>
      <c r="R31" s="35" t="n">
        <f aca="false">LOOKUP(DATE($O31,R$25,R$24)+1,$A$2:$A$2943,$H$2:$H$2943)</f>
        <v>0</v>
      </c>
      <c r="S31" s="35" t="n">
        <f aca="false">LOOKUP(DATE($O31,S$25,S$24)+1,$A$2:$A$2943,$H$2:$H$2943)</f>
        <v>0</v>
      </c>
      <c r="T31" s="35" t="n">
        <f aca="false">LOOKUP(DATE($O31,T$25,T$24)+1,$A$2:$A$2943,$H$2:$H$2943)</f>
        <v>0</v>
      </c>
      <c r="U31" s="35" t="n">
        <f aca="false">LOOKUP(DATE($O31,U$25,U$24)+1,$A$2:$A$2943,$H$2:$H$2943)</f>
        <v>0</v>
      </c>
      <c r="V31" s="35" t="n">
        <f aca="false">LOOKUP(DATE($O31,V$25,V$24)+1,$A$2:$A$2943,$H$2:$H$2943)</f>
        <v>0</v>
      </c>
      <c r="W31" s="35" t="n">
        <f aca="false">LOOKUP(DATE($O31,W$25,W$24)+1,$A$2:$A$2943,$H$2:$H$2943)</f>
        <v>0</v>
      </c>
      <c r="X31" s="35" t="n">
        <f aca="false">LOOKUP(DATE($O31,X$25,X$24)+1,$A$2:$A$2943,$H$2:$H$2943)</f>
        <v>0</v>
      </c>
      <c r="Y31" s="35" t="n">
        <f aca="false">+H183</f>
        <v>0</v>
      </c>
      <c r="Z31" s="35" t="n">
        <f aca="false">+H184</f>
        <v>0</v>
      </c>
      <c r="AA31" s="35" t="n">
        <f aca="false">+H185</f>
        <v>0</v>
      </c>
      <c r="AD31" s="21" t="n">
        <v>2019</v>
      </c>
      <c r="AE31" s="22"/>
      <c r="AF31" s="22"/>
      <c r="AG31" s="22"/>
      <c r="AH31" s="22"/>
      <c r="AI31" s="22"/>
      <c r="AJ31" s="22"/>
      <c r="AK31" s="22"/>
      <c r="AL31" s="22"/>
      <c r="AM31" s="22"/>
      <c r="AN31" s="22"/>
      <c r="AO31" s="22"/>
      <c r="AP31" s="22"/>
      <c r="AQ31" s="23"/>
      <c r="AR31" s="9"/>
      <c r="AS31" s="9"/>
      <c r="AV31" s="9"/>
      <c r="AW31" s="38" t="s">
        <v>38</v>
      </c>
      <c r="AX31" s="43" t="n">
        <f aca="false">$AW22/AX22-1</f>
        <v>0.0056237355358657</v>
      </c>
      <c r="AY31" s="43" t="n">
        <f aca="false">$AW22/AY22-1</f>
        <v>0.0170673303985269</v>
      </c>
      <c r="AZ31" s="43" t="n">
        <f aca="false">$AW22/AZ22-1</f>
        <v>0.0393247426388705</v>
      </c>
      <c r="BA31" s="43" t="n">
        <f aca="false">$AW22/BA22-1</f>
        <v>0.0786094920578737</v>
      </c>
      <c r="BB31" s="43" t="n">
        <f aca="false">+AQ88</f>
        <v>0.0512019911955808</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t="n">
        <f aca="false">+G190</f>
        <v>0</v>
      </c>
      <c r="U32" s="20" t="n">
        <f aca="false">+G191</f>
        <v>0</v>
      </c>
      <c r="V32" s="20" t="n">
        <f aca="false">+G192</f>
        <v>0</v>
      </c>
      <c r="W32" s="20" t="n">
        <f aca="false">+G193</f>
        <v>0</v>
      </c>
      <c r="X32" s="20" t="n">
        <f aca="false">+G194</f>
        <v>0</v>
      </c>
      <c r="Y32" s="20" t="n">
        <f aca="false">+G195</f>
        <v>0</v>
      </c>
      <c r="Z32" s="20" t="n">
        <f aca="false">+G196</f>
        <v>0</v>
      </c>
      <c r="AA32" s="20" t="n">
        <f aca="false">+G197+S156</f>
        <v>0</v>
      </c>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t="n">
        <f aca="false">+G202+S156</f>
        <v>0</v>
      </c>
      <c r="U33" s="20" t="n">
        <f aca="false">+G203+S156</f>
        <v>0</v>
      </c>
      <c r="V33" s="20" t="n">
        <f aca="false">+G204+S156</f>
        <v>0</v>
      </c>
      <c r="W33" s="20" t="n">
        <f aca="false">+G205+S156</f>
        <v>0</v>
      </c>
      <c r="X33" s="20" t="n">
        <f aca="false">+G206+S156</f>
        <v>0</v>
      </c>
      <c r="Y33" s="20" t="n">
        <f aca="false">+G207+S156</f>
        <v>0</v>
      </c>
      <c r="Z33" s="20" t="n">
        <f aca="false">+G208+S156</f>
        <v>0</v>
      </c>
      <c r="AA33" s="20" t="n">
        <f aca="false">+G209+S156</f>
        <v>0</v>
      </c>
      <c r="AD33" s="21" t="n">
        <v>2021</v>
      </c>
      <c r="AE33" s="22"/>
      <c r="AF33" s="22"/>
      <c r="AG33" s="22"/>
      <c r="AH33" s="22"/>
      <c r="AI33" s="22"/>
      <c r="AJ33" s="22"/>
      <c r="AK33" s="22"/>
      <c r="AL33" s="22"/>
      <c r="AM33" s="22"/>
      <c r="AN33" s="22"/>
      <c r="AO33" s="22"/>
      <c r="AP33" s="22"/>
      <c r="AQ33" s="23"/>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c r="Q34" s="20"/>
      <c r="R34" s="20"/>
      <c r="S34" s="20"/>
      <c r="T34" s="20"/>
      <c r="U34" s="20"/>
      <c r="V34" s="20"/>
      <c r="W34" s="20" t="n">
        <f aca="false">+H217</f>
        <v>1002.08</v>
      </c>
      <c r="X34" s="20" t="n">
        <f aca="false">+H218</f>
        <v>1008.847</v>
      </c>
      <c r="Y34" s="20" t="n">
        <f aca="false">+H219</f>
        <v>1017.881</v>
      </c>
      <c r="Z34" s="20" t="n">
        <f aca="false">+H220</f>
        <v>1025.2228</v>
      </c>
      <c r="AA34" s="20" t="n">
        <f aca="false">+H221</f>
        <v>1032.4835</v>
      </c>
      <c r="AD34" s="21" t="n">
        <v>2022</v>
      </c>
      <c r="AE34" s="22"/>
      <c r="AF34" s="22"/>
      <c r="AG34" s="22"/>
      <c r="AH34" s="22"/>
      <c r="AI34" s="22"/>
      <c r="AJ34" s="22"/>
      <c r="AK34" s="22"/>
      <c r="AL34" s="22"/>
      <c r="AM34" s="22"/>
      <c r="AN34" s="22"/>
      <c r="AO34" s="22"/>
      <c r="AP34" s="22"/>
      <c r="AQ34" s="23"/>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t="n">
        <f aca="false">+H222</f>
        <v>1040.0453</v>
      </c>
      <c r="Q35" s="20" t="n">
        <f aca="false">+H223</f>
        <v>1045.603</v>
      </c>
      <c r="R35" s="20" t="n">
        <f aca="false">+H224</f>
        <v>1052.2081</v>
      </c>
      <c r="S35" s="20" t="n">
        <f aca="false">+H225</f>
        <v>1059.1515</v>
      </c>
      <c r="T35" s="20" t="n">
        <f aca="false">+H226</f>
        <v>1065.01</v>
      </c>
      <c r="U35" s="20" t="n">
        <f aca="false">+H227</f>
        <v>1070.0413</v>
      </c>
      <c r="V35" s="20" t="n">
        <f aca="false">+H228</f>
        <v>1074.2936</v>
      </c>
      <c r="W35" s="20" t="n">
        <f aca="false">+H229</f>
        <v>1079.3056</v>
      </c>
      <c r="X35" s="20" t="n">
        <f aca="false">+H230</f>
        <v>1085.2371</v>
      </c>
      <c r="Y35" s="20" t="n">
        <f aca="false">+H231</f>
        <v>1090.15</v>
      </c>
      <c r="Z35" s="20" t="n">
        <f aca="false">+H232</f>
        <v>1093.1926</v>
      </c>
      <c r="AA35" s="20" t="n">
        <f aca="false">+H233</f>
        <v>1097.7631</v>
      </c>
      <c r="AD35" s="21" t="n">
        <v>2023</v>
      </c>
      <c r="AE35" s="22"/>
      <c r="AF35" s="22"/>
      <c r="AG35" s="22"/>
      <c r="AH35" s="22"/>
      <c r="AI35" s="22"/>
      <c r="AJ35" s="22"/>
      <c r="AK35" s="22"/>
      <c r="AL35" s="22"/>
      <c r="AM35" s="22" t="n">
        <f aca="false">+(X34/W34-1)</f>
        <v>0.00675295385597963</v>
      </c>
      <c r="AN35" s="22" t="n">
        <f aca="false">+(Y34/X34-1)</f>
        <v>0.00895477708711034</v>
      </c>
      <c r="AO35" s="22" t="n">
        <f aca="false">+(Z34/Y34-1)</f>
        <v>0.00721282743267615</v>
      </c>
      <c r="AP35" s="22" t="n">
        <f aca="false">+(AA34/Z34-1)</f>
        <v>0.00708207035582875</v>
      </c>
      <c r="AQ35" s="23" t="n">
        <f aca="false">+(AA34/W34-1)/COUNTA(AE35:AP35)*12</f>
        <v>0.0910211759540149</v>
      </c>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+H234</f>
        <v>1101.4991</v>
      </c>
      <c r="Q36" s="20" t="n">
        <f aca="false">+H235</f>
        <v>1105.8274</v>
      </c>
      <c r="R36" s="20" t="n">
        <f aca="false">+H236</f>
        <v>1111.4563</v>
      </c>
      <c r="S36" s="20" t="n">
        <f aca="false">+H237</f>
        <v>1117.0623</v>
      </c>
      <c r="T36" s="20" t="n">
        <f aca="false">+H238</f>
        <v>1123.6482</v>
      </c>
      <c r="U36" s="20" t="n">
        <f aca="false">+H239</f>
        <v>1130.1311</v>
      </c>
      <c r="V36" s="20" t="n">
        <f aca="false">+H240</f>
        <v>1138.1065</v>
      </c>
      <c r="W36" s="20" t="n">
        <f aca="false">+H241</f>
        <v>1145.6664</v>
      </c>
      <c r="X36" s="20" t="n">
        <f aca="false">+H242</f>
        <v>1152.5794</v>
      </c>
      <c r="Y36" s="20" t="n">
        <f aca="false">+H243</f>
        <v>1159.2854</v>
      </c>
      <c r="Z36" s="20" t="n">
        <f aca="false">+H244</f>
        <v>1168.4548</v>
      </c>
      <c r="AA36" s="20" t="n">
        <f aca="false">+H245</f>
        <v>1176.212</v>
      </c>
      <c r="AD36" s="21" t="n">
        <v>2024</v>
      </c>
      <c r="AE36" s="22" t="n">
        <f aca="false">+(P35/AA34-1)</f>
        <v>0.00732389428015079</v>
      </c>
      <c r="AF36" s="22" t="n">
        <f aca="false">+(Q35/P35-1)</f>
        <v>0.00534370954803598</v>
      </c>
      <c r="AG36" s="22" t="n">
        <f aca="false">+(R35/Q35-1)</f>
        <v>0.00631702472161999</v>
      </c>
      <c r="AH36" s="22" t="n">
        <f aca="false">+(S35/R35-1)</f>
        <v>0.00659888476433523</v>
      </c>
      <c r="AI36" s="22" t="n">
        <f aca="false">+(T35/S35-1)</f>
        <v>0.00553131445312594</v>
      </c>
      <c r="AJ36" s="22" t="n">
        <f aca="false">+(U35/T35-1)</f>
        <v>0.00472418099360561</v>
      </c>
      <c r="AK36" s="22" t="n">
        <f aca="false">+(V35/U35-1)</f>
        <v>0.00397395876215256</v>
      </c>
      <c r="AL36" s="22" t="n">
        <f aca="false">+(W35/V35-1)</f>
        <v>0.00466539128595755</v>
      </c>
      <c r="AM36" s="22" t="n">
        <f aca="false">+(X35/W35-1)</f>
        <v>0.00549566313748384</v>
      </c>
      <c r="AN36" s="22" t="n">
        <f aca="false">+(Y35/X35-1)</f>
        <v>0.00452702916256742</v>
      </c>
      <c r="AO36" s="22" t="n">
        <f aca="false">+(Z35/Y35-1)</f>
        <v>0.00279099206531219</v>
      </c>
      <c r="AP36" s="22" t="n">
        <f aca="false">+(AA35/Z35-1)</f>
        <v>0.00418087352585439</v>
      </c>
      <c r="AQ36" s="23" t="n">
        <f aca="false">+(AA35/AA34-1)/COUNTA(AE36:AP36)*12</f>
        <v>0.0632258045770224</v>
      </c>
      <c r="AR36" s="9"/>
      <c r="AS36" s="9"/>
    </row>
    <row r="37" customFormat="false" ht="15" hidden="false" customHeight="false" outlineLevel="0" collapsed="false">
      <c r="A37" s="17"/>
      <c r="B37" s="20"/>
      <c r="C37" s="25"/>
      <c r="D37" s="19"/>
      <c r="E37" s="19"/>
      <c r="F37" s="19"/>
      <c r="O37" s="3" t="n">
        <v>2026</v>
      </c>
      <c r="P37" s="20" t="n">
        <f aca="false">+H246</f>
        <v>1184.6551</v>
      </c>
      <c r="Q37" s="20" t="n">
        <f aca="false">+H247</f>
        <v>1191.3238</v>
      </c>
      <c r="R37" s="20" t="n">
        <f aca="false">+H248</f>
        <v>1198.136</v>
      </c>
      <c r="S37" s="20" t="n">
        <f aca="false">+H249</f>
        <v>1204.874</v>
      </c>
      <c r="T37" s="20"/>
      <c r="U37" s="20"/>
      <c r="V37" s="20"/>
      <c r="W37" s="20"/>
      <c r="X37" s="20"/>
      <c r="Y37" s="20"/>
      <c r="Z37" s="20"/>
      <c r="AA37" s="20"/>
      <c r="AD37" s="21" t="n">
        <v>2025</v>
      </c>
      <c r="AE37" s="22" t="n">
        <f aca="false">+(P36/AA35-1)</f>
        <v>0.00340328436982462</v>
      </c>
      <c r="AF37" s="22" t="n">
        <f aca="false">+(Q36/P36-1)</f>
        <v>0.00392946303814501</v>
      </c>
      <c r="AG37" s="22" t="n">
        <f aca="false">+(R36/Q36-1)</f>
        <v>0.00509021570635704</v>
      </c>
      <c r="AH37" s="22" t="n">
        <f aca="false">+(S36/R36-1)</f>
        <v>0.00504383303239186</v>
      </c>
      <c r="AI37" s="22" t="n">
        <f aca="false">+(T36/S36-1)</f>
        <v>0.00589573204645788</v>
      </c>
      <c r="AJ37" s="22" t="n">
        <f aca="false">+(U36/T36-1)</f>
        <v>0.00576951042150031</v>
      </c>
      <c r="AK37" s="22" t="n">
        <f aca="false">+(V36/U36-1)</f>
        <v>0.00705705736263695</v>
      </c>
      <c r="AL37" s="22" t="n">
        <f aca="false">+(W36/V36-1)</f>
        <v>0.00664252422774148</v>
      </c>
      <c r="AM37" s="22" t="n">
        <f aca="false">+(X36/W36-1)</f>
        <v>0.00603404271959107</v>
      </c>
      <c r="AN37" s="22" t="n">
        <f aca="false">+(Y36/X36-1)</f>
        <v>0.0058182542564964</v>
      </c>
      <c r="AO37" s="22" t="n">
        <f aca="false">+(Z36/Y36-1)</f>
        <v>0.00790952771422804</v>
      </c>
      <c r="AP37" s="22" t="n">
        <f aca="false">+(AA36/Z36-1)</f>
        <v>0.00663885329582281</v>
      </c>
      <c r="AQ37" s="23" t="n">
        <f aca="false">+(AA36/P36-1)/COUNTA(AE37:AP37)*12</f>
        <v>0.0678283804317226</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0.00717821277116704</v>
      </c>
      <c r="AF38" s="22" t="n">
        <f aca="false">+(Q37/P37-1)</f>
        <v>0.00562923335239085</v>
      </c>
      <c r="AG38" s="22" t="n">
        <f aca="false">+(R37/Q37-1)</f>
        <v>0.00571817670393227</v>
      </c>
      <c r="AH38" s="22" t="n">
        <f aca="false">+(S37/R37-1)</f>
        <v>0.0056237355358657</v>
      </c>
      <c r="AQ38" s="23" t="n">
        <f aca="false">+(S37/P37-1)/COUNTA(AE38:AP38)*12</f>
        <v>0.0512019911955808</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4"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40"/>
      <c r="BF40" s="40"/>
      <c r="BG40" s="40"/>
      <c r="BH40" s="40"/>
      <c r="BI40" s="40"/>
      <c r="BJ40" s="40"/>
    </row>
    <row r="41" customFormat="false" ht="15" hidden="false" customHeight="true" outlineLevel="0" collapsed="false">
      <c r="A41" s="17" t="n">
        <v>39813</v>
      </c>
      <c r="B41" s="20" t="n">
        <v>13066.33</v>
      </c>
      <c r="C41" s="25" t="n">
        <f aca="false">(B41/B40-1)/(A41-A40)*30</f>
        <v>0.00668628022256474</v>
      </c>
      <c r="D41" s="19"/>
      <c r="E41" s="19"/>
      <c r="F41" s="19"/>
      <c r="O41" s="3" t="n">
        <v>2016</v>
      </c>
      <c r="P41" s="20" t="n">
        <f aca="false">+K126</f>
        <v>999.91</v>
      </c>
      <c r="Q41" s="20" t="n">
        <f aca="false">+K127</f>
        <v>1003.0557</v>
      </c>
      <c r="R41" s="20" t="n">
        <f aca="false">+K128</f>
        <v>1006.748</v>
      </c>
      <c r="S41" s="20" t="n">
        <f aca="false">+K129</f>
        <v>1010.1901</v>
      </c>
      <c r="T41" s="20" t="n">
        <f aca="false">+K130</f>
        <v>1013.6123</v>
      </c>
      <c r="U41" s="35" t="n">
        <f aca="false">+K131</f>
        <v>1016.7787</v>
      </c>
      <c r="V41" s="35" t="n">
        <f aca="false">+K132</f>
        <v>1020.0427</v>
      </c>
      <c r="W41" s="35" t="n">
        <f aca="false">+K133</f>
        <v>1023.2554</v>
      </c>
      <c r="X41" s="35" t="n">
        <f aca="false">+K134</f>
        <v>1026.3402</v>
      </c>
      <c r="Y41" s="35" t="n">
        <f aca="false">+K135</f>
        <v>1029.5221</v>
      </c>
      <c r="Z41" s="35" t="n">
        <f aca="false">+K136</f>
        <v>1032.6171</v>
      </c>
      <c r="AA41" s="35" t="n">
        <f aca="false">+K137</f>
        <v>1035.8294</v>
      </c>
      <c r="AD41" s="14" t="n">
        <v>2016</v>
      </c>
      <c r="AE41" s="15"/>
      <c r="AF41" s="15" t="n">
        <f aca="false">+Q41/P41-1</f>
        <v>0.00314598313848258</v>
      </c>
      <c r="AG41" s="15" t="n">
        <f aca="false">+R41/Q41-1</f>
        <v>0.00368105180998435</v>
      </c>
      <c r="AH41" s="15" t="n">
        <f aca="false">+S41/R41-1</f>
        <v>0.00341902839638131</v>
      </c>
      <c r="AI41" s="15" t="n">
        <f aca="false">+T41/S41-1</f>
        <v>0.00338767921008132</v>
      </c>
      <c r="AJ41" s="15" t="n">
        <f aca="false">+U41/T41-1</f>
        <v>0.00312387685113924</v>
      </c>
      <c r="AK41" s="15" t="n">
        <f aca="false">+V41/U41-1</f>
        <v>0.00321013805658987</v>
      </c>
      <c r="AL41" s="15" t="n">
        <f aca="false">+W41/V41-1</f>
        <v>0.00314957403253802</v>
      </c>
      <c r="AM41" s="15" t="n">
        <f aca="false">+X41/W41-1</f>
        <v>0.00301469212867089</v>
      </c>
      <c r="AN41" s="15" t="n">
        <f aca="false">+Y41/X41-1</f>
        <v>0.00310023908251855</v>
      </c>
      <c r="AO41" s="15" t="n">
        <f aca="false">+Z41/Y41-1</f>
        <v>0.00300624921019188</v>
      </c>
      <c r="AP41" s="15" t="n">
        <f aca="false">+AA41/Z41-1</f>
        <v>0.00311083362845732</v>
      </c>
      <c r="AQ41" s="16" t="n">
        <f aca="false">+AA41/P41-1</f>
        <v>0.0359226330369735</v>
      </c>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5" t="n">
        <f aca="false">+K138</f>
        <v>1039.2621</v>
      </c>
      <c r="Q42" s="35" t="n">
        <f aca="false">+K139</f>
        <v>1042.1611</v>
      </c>
      <c r="R42" s="35" t="n">
        <f aca="false">+K140</f>
        <v>1045.2075</v>
      </c>
      <c r="S42" s="35" t="n">
        <f aca="false">+K141</f>
        <v>1047.9294</v>
      </c>
      <c r="T42" s="35" t="n">
        <f aca="false">+K142</f>
        <v>1050.5427</v>
      </c>
      <c r="U42" s="4" t="n">
        <f aca="false">+$K143</f>
        <v>1052.9694</v>
      </c>
      <c r="V42" s="4" t="n">
        <f aca="false">+$K144</f>
        <v>1055.2846</v>
      </c>
      <c r="W42" s="4" t="n">
        <f aca="false">+$K145</f>
        <v>1057.4719</v>
      </c>
      <c r="X42" s="4" t="n">
        <f aca="false">+$K146</f>
        <v>1059.5996</v>
      </c>
      <c r="Y42" s="4" t="n">
        <f aca="false">+$K147</f>
        <v>1061.7911</v>
      </c>
      <c r="Z42" s="4" t="n">
        <f aca="false">+$K148</f>
        <v>1063.8688</v>
      </c>
      <c r="AA42" s="4" t="n">
        <f aca="false">+K149</f>
        <v>1066.0204</v>
      </c>
      <c r="AD42" s="21" t="n">
        <v>2017</v>
      </c>
      <c r="AE42" s="22" t="n">
        <f aca="false">+P42/AA41-1</f>
        <v>0.00331396270466922</v>
      </c>
      <c r="AF42" s="22" t="n">
        <f aca="false">+Q42/P42-1</f>
        <v>0.00278947918912853</v>
      </c>
      <c r="AG42" s="22" t="n">
        <f aca="false">+R42/Q42-1</f>
        <v>0.00292315650622532</v>
      </c>
      <c r="AH42" s="22" t="n">
        <f aca="false">+S42/R42-1</f>
        <v>0.0026041718988814</v>
      </c>
      <c r="AI42" s="22" t="n">
        <f aca="false">+T42/S42-1</f>
        <v>0.00249377486689473</v>
      </c>
      <c r="AJ42" s="22" t="n">
        <f aca="false">+U42/T42-1</f>
        <v>0.00230994894353165</v>
      </c>
      <c r="AK42" s="22" t="n">
        <f aca="false">+V42/U42-1</f>
        <v>0.0021987343601817</v>
      </c>
      <c r="AL42" s="22" t="n">
        <f aca="false">+W42/V42-1</f>
        <v>0.00207271100137341</v>
      </c>
      <c r="AM42" s="22" t="n">
        <f aca="false">+X42/W42-1</f>
        <v>0.00201206292101008</v>
      </c>
      <c r="AN42" s="22" t="n">
        <f aca="false">+Y42/X42-1</f>
        <v>0.00206823407634338</v>
      </c>
      <c r="AO42" s="22" t="n">
        <f aca="false">+Z42/Y42-1</f>
        <v>0.00195678792184273</v>
      </c>
      <c r="AP42" s="22" t="n">
        <f aca="false">+AA42/Z42-1</f>
        <v>0.00202242983345324</v>
      </c>
      <c r="AQ42" s="23" t="n">
        <f aca="false">+AA42/AA41-1</f>
        <v>0.0291466915304779</v>
      </c>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5" t="n">
        <f aca="false">+K150</f>
        <v>1068.2126</v>
      </c>
      <c r="Q43" s="35" t="n">
        <f aca="false">+K151</f>
        <v>1070.2119</v>
      </c>
      <c r="R43" s="35" t="n">
        <f aca="false">+K152</f>
        <v>1072.548</v>
      </c>
      <c r="S43" s="35" t="n">
        <f aca="false">+K153</f>
        <v>1074.6551</v>
      </c>
      <c r="T43" s="20" t="n">
        <f aca="false">+K154</f>
        <v>1076.9917</v>
      </c>
      <c r="U43" s="20" t="n">
        <f aca="false">+K155</f>
        <v>1079.3907</v>
      </c>
      <c r="V43" s="20" t="n">
        <f aca="false">+K156</f>
        <v>1081.8116</v>
      </c>
      <c r="W43" s="20" t="n">
        <f aca="false">+K157</f>
        <v>1084.2472</v>
      </c>
      <c r="X43" s="20" t="n">
        <f aca="false">+K158</f>
        <v>1086.6424</v>
      </c>
      <c r="Y43" s="20" t="n">
        <f aca="false">+K159</f>
        <v>4807.6121</v>
      </c>
      <c r="Z43" s="20" t="n">
        <f aca="false">+K160</f>
        <v>4812.5415</v>
      </c>
      <c r="AA43" s="20" t="n">
        <f aca="false">+K161</f>
        <v>4819.2415</v>
      </c>
      <c r="AD43" s="14" t="n">
        <v>2018</v>
      </c>
      <c r="AE43" s="15" t="n">
        <f aca="false">+P43/AA42-1</f>
        <v>0.00205643344161133</v>
      </c>
      <c r="AF43" s="15" t="n">
        <f aca="false">+Q43/P43-1</f>
        <v>0.00187163117154765</v>
      </c>
      <c r="AG43" s="15" t="n">
        <f aca="false">+R43/Q43-1</f>
        <v>0.00218283874436453</v>
      </c>
      <c r="AH43" s="15" t="n">
        <f aca="false">+S43/R43-1</f>
        <v>0.0019645740796681</v>
      </c>
      <c r="AI43" s="15" t="n">
        <f aca="false">+T43/S43-1</f>
        <v>0.0021742789849506</v>
      </c>
      <c r="AJ43" s="15" t="n">
        <f aca="false">+U43/T43-1</f>
        <v>0.00222750091760204</v>
      </c>
      <c r="AK43" s="27" t="n">
        <f aca="false">+V43/U43-1</f>
        <v>0.00224283940930747</v>
      </c>
      <c r="AL43" s="27" t="n">
        <f aca="false">+W43/V43-1</f>
        <v>0.00225140865562912</v>
      </c>
      <c r="AM43" s="27" t="n">
        <f aca="false">+X43/W43-1</f>
        <v>0.00220909032552719</v>
      </c>
      <c r="AN43" s="15" t="n">
        <f aca="false">+Y43/X43-1</f>
        <v>3.4242817140211</v>
      </c>
      <c r="AO43" s="15" t="n">
        <f aca="false">+Z43/Y43-1</f>
        <v>0.00102533230582402</v>
      </c>
      <c r="AP43" s="15" t="n">
        <f aca="false">+AA43/Z43-1</f>
        <v>0.00139219578677907</v>
      </c>
      <c r="AQ43" s="16" t="n">
        <f aca="false">+AA43/AA42-1</f>
        <v>3.5207779325799</v>
      </c>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P44" s="3" t="n">
        <f aca="false">+K162</f>
        <v>4825.82</v>
      </c>
      <c r="Q44" s="3" t="n">
        <f aca="false">+K163</f>
        <v>4832.1058</v>
      </c>
      <c r="R44" s="18" t="n">
        <f aca="false">+K164</f>
        <v>4839.1073</v>
      </c>
      <c r="S44" s="18" t="n">
        <f aca="false">+K165</f>
        <v>4845.9628</v>
      </c>
      <c r="T44" s="18" t="n">
        <f aca="false">+K166</f>
        <v>4852.5891</v>
      </c>
      <c r="U44" s="3" t="n">
        <f aca="false">+K167</f>
        <v>4858.4077</v>
      </c>
      <c r="V44" s="3" t="n">
        <f aca="false">+K168</f>
        <v>4863.4466</v>
      </c>
      <c r="W44" s="3" t="n">
        <f aca="false">+K169</f>
        <v>4868.1253</v>
      </c>
      <c r="X44" s="48" t="n">
        <f aca="false">+K170</f>
        <v>4873.326</v>
      </c>
      <c r="Y44" s="48" t="n">
        <f aca="false">+K171</f>
        <v>4876.4951</v>
      </c>
      <c r="Z44" s="3" t="n">
        <f aca="false">+K172</f>
        <v>4879.8683</v>
      </c>
      <c r="AA44" s="3" t="n">
        <f aca="false">+K173</f>
        <v>4882.8959</v>
      </c>
      <c r="AD44" s="21" t="n">
        <v>2019</v>
      </c>
      <c r="AE44" s="22" t="n">
        <f aca="false">+P44/AA43-1</f>
        <v>0.00136504883600441</v>
      </c>
      <c r="AF44" s="22" t="n">
        <f aca="false">+Q44/P44-1</f>
        <v>0.00130253511320366</v>
      </c>
      <c r="AG44" s="22" t="n">
        <f aca="false">+R44/Q44-1</f>
        <v>0.00144895420129232</v>
      </c>
      <c r="AH44" s="22" t="n">
        <f aca="false">+S44/R44-1</f>
        <v>0.0014166869166139</v>
      </c>
      <c r="AI44" s="22" t="n">
        <f aca="false">+T44/S44-1</f>
        <v>0.0013673856514127</v>
      </c>
      <c r="AJ44" s="22" t="n">
        <f aca="false">+U44/T44-1</f>
        <v>0.00119907123395202</v>
      </c>
      <c r="AK44" s="22" t="n">
        <f aca="false">+V44/U44-1</f>
        <v>0.00103715050509257</v>
      </c>
      <c r="AL44" s="22" t="n">
        <f aca="false">+W44/V44-1</f>
        <v>0.000962013235634052</v>
      </c>
      <c r="AM44" s="22" t="n">
        <f aca="false">+X44/W44-1</f>
        <v>0.00106831679127084</v>
      </c>
      <c r="AN44" s="22" t="n">
        <f aca="false">+Y44/X44-1</f>
        <v>0.000650295096203291</v>
      </c>
      <c r="AO44" s="22" t="n">
        <f aca="false">+Z44/Y44-1</f>
        <v>0.000691726317945118</v>
      </c>
      <c r="AP44" s="22" t="n">
        <f aca="false">+AA44/Z44-1</f>
        <v>0.000620426579955202</v>
      </c>
      <c r="AQ44" s="23" t="n">
        <f aca="false">+(AA44/AA43-1)/COUNTA(AE44:AP44)*12</f>
        <v>0.013208385593459</v>
      </c>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P45" s="3" t="n">
        <f aca="false">+K174</f>
        <v>4885.3887</v>
      </c>
      <c r="Q45" s="3" t="n">
        <f aca="false">+K175</f>
        <v>4887.7164</v>
      </c>
      <c r="R45" s="3" t="n">
        <f aca="false">+K176</f>
        <v>4892.3528</v>
      </c>
      <c r="S45" s="3" t="n">
        <f aca="false">+K177</f>
        <v>4903.1164</v>
      </c>
      <c r="T45" s="3" t="n">
        <f aca="false">+K178</f>
        <v>4903.90225</v>
      </c>
      <c r="U45" s="3" t="n">
        <f aca="false">+K179</f>
        <v>4904.6881</v>
      </c>
      <c r="V45" s="3" t="n">
        <f aca="false">+K180</f>
        <v>4905.1791</v>
      </c>
      <c r="W45" s="3" t="n">
        <f aca="false">+K181</f>
        <v>4906.1183</v>
      </c>
      <c r="X45" s="3" t="n">
        <f aca="false">+K182</f>
        <v>4906.466</v>
      </c>
      <c r="Y45" s="3" t="n">
        <f aca="false">+K183</f>
        <v>4906.7963</v>
      </c>
      <c r="Z45" s="3" t="n">
        <f aca="false">+K184</f>
        <v>4907.0953</v>
      </c>
      <c r="AA45" s="3" t="n">
        <f aca="false">+K185</f>
        <v>4907.3928</v>
      </c>
      <c r="AD45" s="21" t="n">
        <v>2020</v>
      </c>
      <c r="AE45" s="22" t="n">
        <f aca="false">+(P45/AA44-1)</f>
        <v>0.000510516720211074</v>
      </c>
      <c r="AF45" s="22" t="n">
        <f aca="false">+(Q45/P45-1)</f>
        <v>0.000476461576127907</v>
      </c>
      <c r="AG45" s="22" t="n">
        <f aca="false">+(R45/Q45-1)</f>
        <v>0.00094858204129844</v>
      </c>
      <c r="AH45" s="22" t="n">
        <f aca="false">+(S45/R45-1)</f>
        <v>0.00220008663316351</v>
      </c>
      <c r="AI45" s="22" t="n">
        <f aca="false">+(T45/S45-1)</f>
        <v>0.000160275615728844</v>
      </c>
      <c r="AJ45" s="22" t="n">
        <f aca="false">+(U45/T45-1)</f>
        <v>0.000160249931572487</v>
      </c>
      <c r="AK45" s="22" t="n">
        <f aca="false">+(V45/U45-1)</f>
        <v>0.000100108302503399</v>
      </c>
      <c r="AL45" s="22" t="n">
        <f aca="false">+(W45/V45-1)</f>
        <v>0.000191471092258366</v>
      </c>
      <c r="AM45" s="22" t="n">
        <f aca="false">+(X45/W45-1)</f>
        <v>7.08706922130098E-005</v>
      </c>
      <c r="AN45" s="22" t="n">
        <f aca="false">+(Y45/X45-1)</f>
        <v>6.73193292279883E-005</v>
      </c>
      <c r="AO45" s="22" t="n">
        <f aca="false">+(Z45/Y45-1)</f>
        <v>6.09358900838242E-005</v>
      </c>
      <c r="AP45" s="22" t="n">
        <f aca="false">+(AA45/Z45-1)</f>
        <v>6.06264973088688E-005</v>
      </c>
      <c r="AQ45" s="23" t="n">
        <f aca="false">+(AA45/AA44-1)/COUNTA(AE45:AP45)*12</f>
        <v>0.00501687943009377</v>
      </c>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Q46" s="3" t="n">
        <f aca="false">+K187</f>
        <v>4907.9052</v>
      </c>
      <c r="R46" s="3" t="n">
        <f aca="false">+K188</f>
        <v>4908.1704</v>
      </c>
      <c r="S46" s="3" t="n">
        <f aca="false">+K189</f>
        <v>4908.4956</v>
      </c>
      <c r="T46" s="3" t="n">
        <f aca="false">+K190</f>
        <v>4908.7905</v>
      </c>
      <c r="U46" s="3" t="n">
        <f aca="false">+K191</f>
        <v>4909.0847</v>
      </c>
      <c r="V46" s="3" t="n">
        <f aca="false">+K192</f>
        <v>4909.3885</v>
      </c>
      <c r="W46" s="3" t="n">
        <f aca="false">+K193</f>
        <v>4909.6931</v>
      </c>
      <c r="X46" s="18" t="n">
        <f aca="false">+K194</f>
        <v>4909.1149</v>
      </c>
      <c r="Y46" s="3" t="n">
        <f aca="false">+K195</f>
        <v>4914.1336</v>
      </c>
      <c r="Z46" s="18" t="n">
        <f aca="false">+K196</f>
        <v>4920.3216</v>
      </c>
      <c r="AA46" s="3" t="n">
        <f aca="false">+K197</f>
        <v>4929.2918</v>
      </c>
      <c r="AD46" s="21" t="n">
        <v>2021</v>
      </c>
      <c r="AE46" s="22"/>
      <c r="AF46" s="22" t="n">
        <f aca="false">+L187</f>
        <v>6.66195152189254E-005</v>
      </c>
      <c r="AG46" s="22" t="n">
        <f aca="false">+(R46/Q46-1)</f>
        <v>5.40352735418637E-005</v>
      </c>
      <c r="AH46" s="22" t="n">
        <f aca="false">+(S46/R46-1)</f>
        <v>6.6256868343384E-005</v>
      </c>
      <c r="AI46" s="22" t="n">
        <f aca="false">+(T46/S46-1)</f>
        <v>6.00795078637972E-005</v>
      </c>
      <c r="AJ46" s="22" t="n">
        <f aca="false">+(U46/T46-1)</f>
        <v>5.99332972144318E-005</v>
      </c>
      <c r="AK46" s="22" t="n">
        <f aca="false">+(V46/U46-1)</f>
        <v>6.18852634586276E-005</v>
      </c>
      <c r="AL46" s="22" t="n">
        <f aca="false">+(W46/V46-1)</f>
        <v>6.20443869945309E-005</v>
      </c>
      <c r="AM46" s="22" t="n">
        <f aca="false">+(X46/W46-1)</f>
        <v>-0.000117767035173966</v>
      </c>
      <c r="AN46" s="22" t="n">
        <f aca="false">+(Y46/X46-1)</f>
        <v>0.0010223227816486</v>
      </c>
      <c r="AO46" s="22" t="n">
        <f aca="false">+(Z46/Y46-1)</f>
        <v>0.00125922502391873</v>
      </c>
      <c r="AP46" s="22" t="n">
        <f aca="false">+(AA46/Z46-1)</f>
        <v>0.0018230922141349</v>
      </c>
      <c r="AQ46" s="23" t="n">
        <f aca="false">+(AA46/Q46-1)/COUNTA(AF46:AP46)*12</f>
        <v>0.00475372596105483</v>
      </c>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P47" s="3" t="n">
        <f aca="false">+K198</f>
        <v>4941.9683</v>
      </c>
      <c r="Q47" s="3" t="n">
        <f aca="false">+K199</f>
        <v>4958.2785</v>
      </c>
      <c r="R47" s="3" t="n">
        <f aca="false">+K200</f>
        <v>4977.0833</v>
      </c>
      <c r="S47" s="3" t="n">
        <f aca="false">+K201</f>
        <v>4999.8366</v>
      </c>
      <c r="T47" s="3" t="n">
        <f aca="false">+K202</f>
        <v>5027.3885</v>
      </c>
      <c r="U47" s="18" t="n">
        <f aca="false">+K203</f>
        <v>5056.9676</v>
      </c>
      <c r="V47" s="3" t="n">
        <f aca="false">+K204</f>
        <v>5089.8979</v>
      </c>
      <c r="W47" s="18" t="n">
        <f aca="false">+K205</f>
        <v>5125.6822</v>
      </c>
      <c r="X47" s="18" t="n">
        <f aca="false">+K206</f>
        <v>5163.2829</v>
      </c>
      <c r="Y47" s="18" t="n">
        <f aca="false">+K207</f>
        <v>5200.6767</v>
      </c>
      <c r="Z47" s="18" t="n">
        <f aca="false">+K208</f>
        <v>5246.14</v>
      </c>
      <c r="AA47" s="3" t="n">
        <f aca="false">+K209</f>
        <v>5287.7323</v>
      </c>
      <c r="AD47" s="21" t="n">
        <v>2022</v>
      </c>
      <c r="AE47" s="22" t="n">
        <f aca="false">+(P47/AA46-1)</f>
        <v>0.00257166759736172</v>
      </c>
      <c r="AF47" s="22" t="n">
        <f aca="false">+(Q47/P47-1)</f>
        <v>0.00330034492532061</v>
      </c>
      <c r="AG47" s="22" t="n">
        <f aca="false">+(R47/Q47-1)</f>
        <v>0.00379260664764991</v>
      </c>
      <c r="AH47" s="22" t="n">
        <f aca="false">+(S47/R47-1)</f>
        <v>0.00457161325790945</v>
      </c>
      <c r="AI47" s="22" t="n">
        <f aca="false">+(T47/S47-1)</f>
        <v>0.00551056008510376</v>
      </c>
      <c r="AJ47" s="22" t="n">
        <f aca="false">+(U47/T47-1)</f>
        <v>0.00588359145110817</v>
      </c>
      <c r="AK47" s="22" t="n">
        <f aca="false">+(V47/U47-1)</f>
        <v>0.00651186691407713</v>
      </c>
      <c r="AL47" s="22" t="n">
        <f aca="false">+(W47/V47-1)</f>
        <v>0.00703045536532287</v>
      </c>
      <c r="AM47" s="22" t="n">
        <f aca="false">+(X47/W47-1)</f>
        <v>0.00733574547403659</v>
      </c>
      <c r="AN47" s="22" t="n">
        <f aca="false">+(Y47/X47-1)</f>
        <v>0.00724225279230772</v>
      </c>
      <c r="AO47" s="22" t="n">
        <f aca="false">+(Z47/Y47-1)</f>
        <v>0.00874180469630037</v>
      </c>
      <c r="AP47" s="22" t="n">
        <f aca="false">+(AA47/Z47-1)</f>
        <v>0.00792817195118678</v>
      </c>
      <c r="AQ47" s="23" t="n">
        <f aca="false">+(AA47/AA46-1)/COUNTA(AE47:AP47)*12</f>
        <v>0.0727164295690508</v>
      </c>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P48" s="3" t="n">
        <f aca="false">+K210</f>
        <v>5332.3677</v>
      </c>
      <c r="Q48" s="3" t="n">
        <f aca="false">+K211</f>
        <v>5371.762</v>
      </c>
      <c r="R48" s="3" t="n">
        <f aca="false">+K212</f>
        <v>5415.8662</v>
      </c>
      <c r="S48" s="3" t="n">
        <f aca="false">+K213</f>
        <v>5456.2587</v>
      </c>
      <c r="T48" s="18" t="n">
        <f aca="false">+K214</f>
        <v>5504.4106</v>
      </c>
      <c r="U48" s="3" t="n">
        <f aca="false">+K215</f>
        <v>5548.4618</v>
      </c>
      <c r="V48" s="3" t="n">
        <f aca="false">+K216</f>
        <v>5593.984</v>
      </c>
      <c r="W48" s="18" t="n">
        <f aca="false">+K217</f>
        <v>5636.4775</v>
      </c>
      <c r="X48" s="18" t="n">
        <f aca="false">+K218</f>
        <v>5674.7198</v>
      </c>
      <c r="Y48" s="3" t="n">
        <f aca="false">+K219</f>
        <v>5712.6049</v>
      </c>
      <c r="Z48" s="18" t="n">
        <f aca="false">+K220</f>
        <v>5747.8492</v>
      </c>
      <c r="AA48" s="3" t="n">
        <f aca="false">+K221</f>
        <v>5782.92</v>
      </c>
      <c r="AD48" s="21" t="n">
        <v>2023</v>
      </c>
      <c r="AE48" s="22" t="n">
        <f aca="false">+(P48/AA47-1)</f>
        <v>0.00844131235614931</v>
      </c>
      <c r="AF48" s="22" t="n">
        <f aca="false">+(Q48/P48-1)</f>
        <v>0.0073877688517241</v>
      </c>
      <c r="AG48" s="22" t="n">
        <f aca="false">+(R48/Q48-1)</f>
        <v>0.00821037864298546</v>
      </c>
      <c r="AH48" s="22" t="n">
        <f aca="false">+(S48/R48-1)</f>
        <v>0.00745817908130753</v>
      </c>
      <c r="AI48" s="22" t="n">
        <f aca="false">+(T48/S48-1)</f>
        <v>0.00882507642095476</v>
      </c>
      <c r="AJ48" s="22" t="n">
        <f aca="false">+(U48/T48-1)</f>
        <v>0.00800289135407151</v>
      </c>
      <c r="AK48" s="22" t="n">
        <f aca="false">+(V48/U48-1)</f>
        <v>0.00820447209350883</v>
      </c>
      <c r="AL48" s="22" t="n">
        <f aca="false">+(W48/V48-1)</f>
        <v>0.00759628558108139</v>
      </c>
      <c r="AM48" s="22" t="n">
        <f aca="false">+(X48/W48-1)</f>
        <v>0.00678478712990516</v>
      </c>
      <c r="AN48" s="22" t="n">
        <f aca="false">+(Y48/X48-1)</f>
        <v>0.00667611817591429</v>
      </c>
      <c r="AO48" s="22" t="n">
        <f aca="false">+(Z48/Y48-1)</f>
        <v>0.00616956723192952</v>
      </c>
      <c r="AP48" s="22" t="n">
        <f aca="false">+(AA48/Z48-1)</f>
        <v>0.00610155186395645</v>
      </c>
      <c r="AQ48" s="23" t="n">
        <f aca="false">+(AA48/P48-1)/COUNTA(AE48:AP48)*12</f>
        <v>0.0844938543904241</v>
      </c>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3" t="n">
        <f aca="false">+K222</f>
        <v>5816.8769</v>
      </c>
      <c r="Q49" s="3" t="n">
        <f aca="false">+K223</f>
        <v>5846.4552</v>
      </c>
      <c r="R49" s="3" t="n">
        <f aca="false">+K224</f>
        <v>5872.4728</v>
      </c>
      <c r="S49" s="3" t="n">
        <f aca="false">+K225</f>
        <v>5900.1916</v>
      </c>
      <c r="T49" s="3" t="n">
        <f aca="false">+K226</f>
        <v>5924.7824</v>
      </c>
      <c r="U49" s="3" t="n">
        <f aca="false">+K227</f>
        <v>5946.409</v>
      </c>
      <c r="V49" s="3" t="n">
        <f aca="false">+K228</f>
        <v>5968.019</v>
      </c>
      <c r="W49" s="3" t="n">
        <f aca="false">+K229</f>
        <v>5989.669</v>
      </c>
      <c r="X49" s="3" t="n">
        <f aca="false">+K230</f>
        <v>6009.8868</v>
      </c>
      <c r="Y49" s="3" t="n">
        <f aca="false">+K231</f>
        <v>6030.3854</v>
      </c>
      <c r="Z49" s="3" t="n">
        <f aca="false">+K232</f>
        <v>6049.8055</v>
      </c>
      <c r="AA49" s="3" t="n">
        <f aca="false">+K233</f>
        <v>6069.3455</v>
      </c>
      <c r="AD49" s="21" t="n">
        <v>2024</v>
      </c>
      <c r="AE49" s="22" t="n">
        <f aca="false">+(P49/AA48-1)</f>
        <v>0.00587192975175177</v>
      </c>
      <c r="AF49" s="22" t="n">
        <f aca="false">+(Q49/P49-1)</f>
        <v>0.00508491077058904</v>
      </c>
      <c r="AG49" s="22" t="n">
        <f aca="false">+(R49/Q49-1)</f>
        <v>0.0044501495538698</v>
      </c>
      <c r="AH49" s="22" t="n">
        <f aca="false">+(S49/R49-1)</f>
        <v>0.00472012403360989</v>
      </c>
      <c r="AI49" s="22" t="n">
        <f aca="false">+(T49/S49-1)</f>
        <v>0.00416779685595303</v>
      </c>
      <c r="AJ49" s="22" t="n">
        <f aca="false">+(U49/T49-1)</f>
        <v>0.00365019312776771</v>
      </c>
      <c r="AK49" s="22" t="n">
        <f aca="false">+(V49/U49-1)</f>
        <v>0.00363412607508162</v>
      </c>
      <c r="AL49" s="22" t="n">
        <f aca="false">+(W49/V49-1)</f>
        <v>0.00362766941593184</v>
      </c>
      <c r="AM49" s="22" t="n">
        <f aca="false">+(X49/W49-1)</f>
        <v>0.0033754452875443</v>
      </c>
      <c r="AN49" s="22" t="n">
        <f aca="false">+(Y49/X49-1)</f>
        <v>0.00341081299567914</v>
      </c>
      <c r="AO49" s="22" t="n">
        <f aca="false">+(Z49/Y49-1)</f>
        <v>0.00322037460491331</v>
      </c>
      <c r="AP49" s="22" t="n">
        <f aca="false">+(AA49/Z49-1)</f>
        <v>0.003229855901979</v>
      </c>
      <c r="AQ49" s="23" t="n">
        <f aca="false">+(AA49/AA48-1)/COUNTA(AE49:AP49)*12</f>
        <v>0.0495295629197707</v>
      </c>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4" t="n">
        <f aca="false">+K237</f>
        <v>6141.4105</v>
      </c>
      <c r="T50" s="3" t="n">
        <f aca="false">+K238</f>
        <v>6160.386</v>
      </c>
      <c r="U50" s="3" t="n">
        <f aca="false">+K239</f>
        <v>6178.849</v>
      </c>
      <c r="V50" s="3" t="n">
        <f aca="false">+K240</f>
        <v>6197.08</v>
      </c>
      <c r="W50" s="3" t="n">
        <f aca="false">+K241</f>
        <v>6215.6746</v>
      </c>
      <c r="X50" s="3" t="n">
        <f aca="false">+K242</f>
        <v>6232.8399</v>
      </c>
      <c r="Y50" s="3" t="n">
        <f aca="false">+K243</f>
        <v>6250.6982</v>
      </c>
      <c r="Z50" s="3" t="n">
        <f aca="false">+K244</f>
        <v>6268.169</v>
      </c>
      <c r="AA50" s="3" t="n">
        <f aca="false">+K245</f>
        <v>6285.9566</v>
      </c>
      <c r="AD50" s="21" t="n">
        <v>2025</v>
      </c>
      <c r="AE50" s="22" t="n">
        <f aca="false">+(P50/AA49-1)</f>
        <v>0.00302021033404665</v>
      </c>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0.00295054952791363</v>
      </c>
      <c r="AL50" s="22" t="n">
        <f aca="false">+(W50/V50-1)</f>
        <v>0.00300054219083834</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0.0325707862057447</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49"/>
    </row>
    <row r="52" customFormat="false" ht="15" hidden="false" customHeight="false" outlineLevel="0" collapsed="false">
      <c r="A52" s="17" t="n">
        <v>40147</v>
      </c>
      <c r="B52" s="20" t="n">
        <v>13324.51</v>
      </c>
      <c r="C52" s="25" t="n">
        <f aca="false">(B52/B51-1)/(A52-A51)*30</f>
        <v>0.000346562998396176</v>
      </c>
      <c r="D52" s="19"/>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7"/>
      <c r="BK52" s="49"/>
    </row>
    <row r="53" customFormat="false" ht="15" hidden="false" customHeight="false" outlineLevel="0" collapsed="false">
      <c r="A53" s="17" t="n">
        <v>40178</v>
      </c>
      <c r="B53" s="20" t="n">
        <v>13329.5</v>
      </c>
      <c r="C53" s="25" t="n">
        <f aca="false">(B53/B52-1)/(A53-A52)*30</f>
        <v>0.000362417248969413</v>
      </c>
      <c r="D53" s="19"/>
      <c r="E53" s="19"/>
      <c r="F53" s="19"/>
      <c r="AD53" s="26" t="s">
        <v>28</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0" t="s">
        <v>39</v>
      </c>
      <c r="AD54" s="51" t="s">
        <v>40</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7" t="n">
        <v>40235</v>
      </c>
      <c r="B55" s="20" t="n">
        <v>13338.53</v>
      </c>
      <c r="C55" s="25" t="n">
        <f aca="false">(B55/B54-1)/(A55-A54)*30</f>
        <v>0.000343904927964735</v>
      </c>
      <c r="D55" s="19"/>
      <c r="E55" s="19"/>
      <c r="F55" s="19"/>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7" t="n">
        <v>40268</v>
      </c>
      <c r="B56" s="20" t="n">
        <v>13343.79</v>
      </c>
      <c r="C56" s="25" t="n">
        <f aca="false">(B56/B55-1)/(A56-A55)*30</f>
        <v>0.000358496639571185</v>
      </c>
      <c r="D56" s="19"/>
      <c r="E56" s="19"/>
      <c r="F56" s="19"/>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7" t="n">
        <v>40298</v>
      </c>
      <c r="B57" s="20" t="n">
        <v>13348.63</v>
      </c>
      <c r="C57" s="25" t="n">
        <f aca="false">(B57/B56-1)/(A57-A56)*30</f>
        <v>0.000362715540337399</v>
      </c>
      <c r="D57" s="19"/>
      <c r="E57" s="19"/>
      <c r="F57" s="19"/>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7" t="n">
        <v>40329</v>
      </c>
      <c r="B58" s="20" t="n">
        <v>13353.5</v>
      </c>
      <c r="C58" s="25" t="n">
        <f aca="false">(B58/B57-1)/(A58-A57)*30</f>
        <v>0.00035306269076351</v>
      </c>
      <c r="D58" s="19"/>
      <c r="E58" s="19"/>
      <c r="F58" s="19"/>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7" t="n">
        <v>40359</v>
      </c>
      <c r="B59" s="20" t="n">
        <v>13360.9</v>
      </c>
      <c r="C59" s="25" t="n">
        <f aca="false">(B59/B58-1)/(A59-A58)*30</f>
        <v>0.000554161830231825</v>
      </c>
      <c r="D59" s="19"/>
      <c r="E59" s="19"/>
      <c r="F59" s="19"/>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7" t="n">
        <v>40389</v>
      </c>
      <c r="B60" s="20" t="n">
        <v>13373.99</v>
      </c>
      <c r="C60" s="25" t="n">
        <f aca="false">(B60/B59-1)/(A60-A59)*30</f>
        <v>0.00097972441976224</v>
      </c>
      <c r="D60" s="19"/>
      <c r="E60" s="19"/>
      <c r="F60" s="19"/>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7" t="n">
        <v>40421</v>
      </c>
      <c r="B61" s="20" t="n">
        <v>13395.21</v>
      </c>
      <c r="C61" s="25" t="n">
        <f aca="false">(B61/B60-1)/(A61-A60)*30</f>
        <v>0.00148749550433341</v>
      </c>
      <c r="D61" s="19"/>
      <c r="E61" s="19"/>
      <c r="F61" s="19"/>
      <c r="AC61" s="58"/>
      <c r="AD61" s="53" t="s">
        <v>27</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7" t="n">
        <v>40451</v>
      </c>
      <c r="B62" s="20" t="n">
        <v>13419.79</v>
      </c>
      <c r="C62" s="25" t="n">
        <f aca="false">(B62/B61-1)/(A62-A61)*30</f>
        <v>0.00183498429662565</v>
      </c>
      <c r="D62" s="19"/>
      <c r="E62" s="19"/>
      <c r="F62" s="19"/>
      <c r="AC62" s="59" t="n">
        <v>2018</v>
      </c>
      <c r="AD62" s="56"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7" t="n">
        <v>40480</v>
      </c>
      <c r="B63" s="20" t="n">
        <v>13448.69</v>
      </c>
      <c r="C63" s="25" t="n">
        <f aca="false">(B63/B62-1)/(A63-A62)*30</f>
        <v>0.00222779579443021</v>
      </c>
      <c r="D63" s="19"/>
      <c r="E63" s="19"/>
      <c r="F63" s="19"/>
      <c r="AC63" s="59"/>
      <c r="AD63" s="56"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7" t="n">
        <v>40512</v>
      </c>
      <c r="B64" s="20" t="n">
        <v>13483.02</v>
      </c>
      <c r="C64" s="25" t="n">
        <f aca="false">(B64/B63-1)/(A64-A63)*30</f>
        <v>0.00239312341945575</v>
      </c>
      <c r="D64" s="19"/>
      <c r="E64" s="19"/>
      <c r="F64" s="19"/>
      <c r="AC64" s="59"/>
      <c r="AD64" s="53" t="s">
        <v>27</v>
      </c>
      <c r="AE64" s="57"/>
      <c r="AF64" s="57"/>
      <c r="AG64" s="57"/>
      <c r="AH64" s="57"/>
      <c r="AI64" s="57"/>
      <c r="AJ64" s="57"/>
      <c r="AK64" s="57"/>
      <c r="AL64" s="57"/>
      <c r="AM64" s="57"/>
      <c r="AN64" s="57"/>
      <c r="AO64" s="57"/>
      <c r="AP64" s="57"/>
      <c r="AQ64" s="55"/>
    </row>
    <row r="65" customFormat="false" ht="15" hidden="false" customHeight="false" outlineLevel="0" collapsed="false">
      <c r="A65" s="17" t="n">
        <v>40543</v>
      </c>
      <c r="B65" s="20" t="n">
        <v>13522.93</v>
      </c>
      <c r="C65" s="25" t="n">
        <f aca="false">(B65/B64-1)/(A65-A64)*30</f>
        <v>0.00286453484791705</v>
      </c>
      <c r="D65" s="19"/>
      <c r="E65" s="19"/>
      <c r="F65" s="19"/>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7" t="n">
        <v>40574</v>
      </c>
      <c r="B66" s="20" t="n">
        <v>13557.12</v>
      </c>
      <c r="C66" s="25" t="n">
        <f aca="false">(B66/B65-1)/(A66-A65)*30</f>
        <v>0.00244674022376755</v>
      </c>
      <c r="D66" s="19"/>
      <c r="E66" s="19"/>
      <c r="F66" s="19"/>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8"/>
      <c r="AD67" s="53" t="s">
        <v>27</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8"/>
      <c r="AD70" s="53" t="s">
        <v>27</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9" t="n">
        <v>2021</v>
      </c>
      <c r="AD71" s="56" t="s">
        <v>3</v>
      </c>
      <c r="AE71" s="60"/>
      <c r="AF71" s="60"/>
      <c r="AG71" s="60"/>
      <c r="AH71" s="60"/>
      <c r="AI71" s="60"/>
      <c r="AJ71" s="60"/>
      <c r="AK71" s="60"/>
      <c r="AL71" s="60"/>
      <c r="AM71" s="60"/>
      <c r="AN71" s="60"/>
      <c r="AO71" s="60"/>
      <c r="AP71" s="60"/>
      <c r="AQ71" s="60"/>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9"/>
      <c r="AD72" s="56" t="s">
        <v>26</v>
      </c>
      <c r="AE72" s="60"/>
      <c r="AF72" s="60"/>
      <c r="AG72" s="60"/>
      <c r="AH72" s="60"/>
      <c r="AI72" s="60"/>
      <c r="AJ72" s="60"/>
      <c r="AK72" s="60"/>
      <c r="AL72" s="60"/>
      <c r="AM72" s="60"/>
      <c r="AN72" s="60"/>
      <c r="AO72" s="60"/>
      <c r="AP72" s="60"/>
      <c r="AQ72" s="60"/>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9"/>
      <c r="AD73" s="53" t="s">
        <v>27</v>
      </c>
      <c r="AE73" s="60"/>
      <c r="AF73" s="60"/>
      <c r="AG73" s="60"/>
      <c r="AH73" s="60"/>
      <c r="AI73" s="60"/>
      <c r="AJ73" s="60"/>
      <c r="AK73" s="60"/>
      <c r="AL73" s="60"/>
      <c r="AM73" s="60"/>
      <c r="AN73" s="60"/>
      <c r="AO73" s="60"/>
      <c r="AP73" s="60"/>
      <c r="AQ73" s="60"/>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1" t="n">
        <v>2022</v>
      </c>
      <c r="AD74" s="56" t="s">
        <v>3</v>
      </c>
      <c r="AE74" s="60"/>
      <c r="AF74" s="60"/>
      <c r="AG74" s="60"/>
      <c r="AH74" s="60"/>
      <c r="AI74" s="60"/>
      <c r="AJ74" s="60"/>
      <c r="AK74" s="60"/>
      <c r="AL74" s="60"/>
      <c r="AM74" s="60"/>
      <c r="AN74" s="60"/>
      <c r="AO74" s="60"/>
      <c r="AP74" s="60"/>
      <c r="AQ74" s="60"/>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1"/>
      <c r="AD75" s="56" t="s">
        <v>26</v>
      </c>
      <c r="AE75" s="60"/>
      <c r="AF75" s="60"/>
      <c r="AG75" s="60"/>
      <c r="AH75" s="60"/>
      <c r="AI75" s="60"/>
      <c r="AJ75" s="60"/>
      <c r="AK75" s="60"/>
      <c r="AL75" s="60"/>
      <c r="AM75" s="60"/>
      <c r="AN75" s="60"/>
      <c r="AO75" s="60"/>
      <c r="AP75" s="60"/>
      <c r="AQ75" s="60"/>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1"/>
      <c r="AD76" s="53" t="s">
        <v>27</v>
      </c>
      <c r="AE76" s="60"/>
      <c r="AF76" s="60"/>
      <c r="AG76" s="60"/>
      <c r="AH76" s="60"/>
      <c r="AI76" s="60"/>
      <c r="AJ76" s="60"/>
      <c r="AK76" s="60"/>
      <c r="AL76" s="60"/>
      <c r="AM76" s="60"/>
      <c r="AN76" s="60"/>
      <c r="AO76" s="60"/>
      <c r="AP76" s="60"/>
      <c r="AQ76" s="60"/>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1" t="n">
        <v>2023</v>
      </c>
      <c r="AD77" s="56" t="s">
        <v>3</v>
      </c>
      <c r="AE77" s="60"/>
      <c r="AF77" s="60"/>
      <c r="AG77" s="60"/>
      <c r="AH77" s="60"/>
      <c r="AI77" s="60"/>
      <c r="AJ77" s="60"/>
      <c r="AK77" s="60"/>
      <c r="AL77" s="60"/>
      <c r="AM77" s="60" t="n">
        <f aca="false">+AM19</f>
        <v>0.00779534514134506</v>
      </c>
      <c r="AN77" s="60" t="n">
        <f aca="false">+AN19</f>
        <v>0.00846015350417906</v>
      </c>
      <c r="AO77" s="60" t="n">
        <f aca="false">+AO19</f>
        <v>0.00752661431064561</v>
      </c>
      <c r="AP77" s="60" t="n">
        <f aca="false">+AP19</f>
        <v>0.00708194994827327</v>
      </c>
      <c r="AQ77" s="60" t="n">
        <f aca="false">+AQ19</f>
        <v>0.100882275530511</v>
      </c>
    </row>
    <row r="78" s="4" customFormat="true" ht="15" hidden="false" customHeight="false" outlineLevel="0" collapsed="false">
      <c r="A78" s="17" t="n">
        <v>40939</v>
      </c>
      <c r="B78" s="20" t="n">
        <v>14236.38</v>
      </c>
      <c r="C78" s="25" t="n">
        <f aca="false">(B78/B77-1)/(A78-A77)*30</f>
        <v>0.00421697490162375</v>
      </c>
      <c r="D78" s="19"/>
      <c r="E78" s="19"/>
      <c r="F78" s="19"/>
      <c r="I78" s="5"/>
      <c r="AC78" s="61"/>
      <c r="AD78" s="56" t="s">
        <v>26</v>
      </c>
      <c r="AE78" s="60"/>
      <c r="AF78" s="60"/>
      <c r="AG78" s="60"/>
      <c r="AH78" s="60"/>
      <c r="AI78" s="60"/>
      <c r="AJ78" s="60"/>
      <c r="AK78" s="60"/>
      <c r="AL78" s="60"/>
      <c r="AM78" s="60" t="n">
        <f aca="false">+AM48</f>
        <v>0.00678478712990516</v>
      </c>
      <c r="AN78" s="60" t="n">
        <f aca="false">+AN48</f>
        <v>0.00667611817591429</v>
      </c>
      <c r="AO78" s="60" t="n">
        <f aca="false">+AO48</f>
        <v>0.00616956723192952</v>
      </c>
      <c r="AP78" s="60" t="n">
        <f aca="false">+AP48</f>
        <v>0.00610155186395645</v>
      </c>
      <c r="AQ78" s="60" t="n">
        <f aca="false">+AQ48</f>
        <v>0.0844938543904241</v>
      </c>
    </row>
    <row r="79" s="4" customFormat="true" ht="15" hidden="false" customHeight="false" outlineLevel="0" collapsed="false">
      <c r="A79" s="17" t="n">
        <v>40968</v>
      </c>
      <c r="B79" s="20" t="n">
        <v>14293.67</v>
      </c>
      <c r="C79" s="25" t="n">
        <f aca="false">(B79/B78-1)/(A79-A78)*30</f>
        <v>0.00416296258187693</v>
      </c>
      <c r="D79" s="19"/>
      <c r="E79" s="19"/>
      <c r="F79" s="19"/>
      <c r="I79" s="5"/>
      <c r="AC79" s="61"/>
      <c r="AD79" s="53" t="s">
        <v>27</v>
      </c>
      <c r="AE79" s="60"/>
      <c r="AF79" s="60"/>
      <c r="AG79" s="60"/>
      <c r="AH79" s="60"/>
      <c r="AI79" s="60"/>
      <c r="AJ79" s="60"/>
      <c r="AK79" s="60"/>
      <c r="AL79" s="60"/>
      <c r="AM79" s="60" t="n">
        <f aca="false">+AM35</f>
        <v>0.00675295385597963</v>
      </c>
      <c r="AN79" s="60" t="n">
        <f aca="false">+AN35</f>
        <v>0.00895477708711034</v>
      </c>
      <c r="AO79" s="60" t="n">
        <f aca="false">+AO35</f>
        <v>0.00721282743267615</v>
      </c>
      <c r="AP79" s="60" t="n">
        <f aca="false">+AP35</f>
        <v>0.00708207035582875</v>
      </c>
      <c r="AQ79" s="60" t="n">
        <f aca="false">+AQ35</f>
        <v>0.0910211759540149</v>
      </c>
    </row>
    <row r="80" s="4" customFormat="true" ht="15" hidden="false" customHeight="false" outlineLevel="0" collapsed="false">
      <c r="A80" s="17" t="n">
        <v>40998</v>
      </c>
      <c r="B80" s="20" t="n">
        <v>14353.34</v>
      </c>
      <c r="C80" s="25" t="n">
        <f aca="false">(B80/B79-1)/(A80-A79)*30</f>
        <v>0.00417457517908271</v>
      </c>
      <c r="D80" s="19"/>
      <c r="E80" s="19"/>
      <c r="F80" s="19"/>
      <c r="I80" s="5"/>
      <c r="AC80" s="61" t="n">
        <v>2024</v>
      </c>
      <c r="AD80" s="56" t="s">
        <v>3</v>
      </c>
      <c r="AE80" s="60" t="n">
        <f aca="false">+AE20</f>
        <v>0.00735722532416316</v>
      </c>
      <c r="AF80" s="60" t="n">
        <f aca="false">+AF20</f>
        <v>0.00611213912063557</v>
      </c>
      <c r="AG80" s="60" t="n">
        <f aca="false">+AG20</f>
        <v>0.00564735171406094</v>
      </c>
      <c r="AH80" s="60" t="n">
        <f aca="false">+AH20</f>
        <v>0.00609278396182833</v>
      </c>
      <c r="AI80" s="60" t="n">
        <f aca="false">+AI20</f>
        <v>0.00551411929031809</v>
      </c>
      <c r="AJ80" s="60" t="n">
        <f aca="false">+AJ20</f>
        <v>0.00461354906321554</v>
      </c>
      <c r="AK80" s="60" t="n">
        <f aca="false">+AK20</f>
        <v>0.00528435035284347</v>
      </c>
      <c r="AL80" s="60" t="n">
        <f aca="false">+AL20</f>
        <v>0.00480235203759283</v>
      </c>
      <c r="AM80" s="60" t="n">
        <f aca="false">+AM20</f>
        <v>0.00478104349541386</v>
      </c>
      <c r="AN80" s="60" t="n">
        <f aca="false">+AN20</f>
        <v>0.00451044051641847</v>
      </c>
      <c r="AO80" s="60" t="n">
        <f aca="false">+AO20</f>
        <v>0.0043843255475724</v>
      </c>
      <c r="AP80" s="60" t="n">
        <f aca="false">+AP20</f>
        <v>0.00444626417327787</v>
      </c>
      <c r="AQ80" s="60" t="n">
        <f aca="false">+AQ20</f>
        <v>0.0654251259349719</v>
      </c>
    </row>
    <row r="81" s="4" customFormat="true" ht="15" hidden="false" customHeight="false" outlineLevel="0" collapsed="false">
      <c r="A81" s="17" t="n">
        <v>41029</v>
      </c>
      <c r="B81" s="20" t="n">
        <v>14415.21</v>
      </c>
      <c r="C81" s="25" t="n">
        <f aca="false">(B81/B80-1)/(A81-A80)*30</f>
        <v>0.00417144675374423</v>
      </c>
      <c r="D81" s="19"/>
      <c r="E81" s="19"/>
      <c r="F81" s="19"/>
      <c r="I81" s="5"/>
      <c r="AC81" s="61"/>
      <c r="AD81" s="56" t="s">
        <v>26</v>
      </c>
      <c r="AE81" s="60" t="n">
        <f aca="false">+AE49</f>
        <v>0.00587192975175177</v>
      </c>
      <c r="AF81" s="60" t="n">
        <f aca="false">+AF49</f>
        <v>0.00508491077058904</v>
      </c>
      <c r="AG81" s="60" t="n">
        <f aca="false">+AG49</f>
        <v>0.0044501495538698</v>
      </c>
      <c r="AH81" s="60" t="n">
        <f aca="false">+AH49</f>
        <v>0.00472012403360989</v>
      </c>
      <c r="AI81" s="60" t="n">
        <f aca="false">+AI49</f>
        <v>0.00416779685595303</v>
      </c>
      <c r="AJ81" s="60" t="n">
        <f aca="false">+AJ49</f>
        <v>0.00365019312776771</v>
      </c>
      <c r="AK81" s="60" t="n">
        <f aca="false">+AK49</f>
        <v>0.00363412607508162</v>
      </c>
      <c r="AL81" s="60" t="n">
        <f aca="false">+AL49</f>
        <v>0.00362766941593184</v>
      </c>
      <c r="AM81" s="60" t="n">
        <f aca="false">+AM49</f>
        <v>0.0033754452875443</v>
      </c>
      <c r="AN81" s="60" t="n">
        <f aca="false">+AN49</f>
        <v>0.00341081299567914</v>
      </c>
      <c r="AO81" s="60" t="n">
        <f aca="false">+AO49</f>
        <v>0.00322037460491331</v>
      </c>
      <c r="AP81" s="60" t="n">
        <f aca="false">+AP49</f>
        <v>0.003229855901979</v>
      </c>
      <c r="AQ81" s="60" t="n">
        <f aca="false">+AQ49</f>
        <v>0.0495295629197707</v>
      </c>
    </row>
    <row r="82" s="4" customFormat="true" ht="15" hidden="false" customHeight="false" outlineLevel="0" collapsed="false">
      <c r="A82" s="17" t="n">
        <v>41060</v>
      </c>
      <c r="B82" s="20" t="n">
        <v>14477.55</v>
      </c>
      <c r="C82" s="25" t="n">
        <f aca="false">(B82/B81-1)/(A82-A81)*30</f>
        <v>0.00418509562178174</v>
      </c>
      <c r="D82" s="19"/>
      <c r="E82" s="19"/>
      <c r="F82" s="19"/>
      <c r="I82" s="5"/>
      <c r="AC82" s="61"/>
      <c r="AD82" s="53" t="s">
        <v>27</v>
      </c>
      <c r="AE82" s="60" t="n">
        <f aca="false">+AE36</f>
        <v>0.00732389428015079</v>
      </c>
      <c r="AF82" s="60" t="n">
        <f aca="false">+AF36</f>
        <v>0.00534370954803598</v>
      </c>
      <c r="AG82" s="60" t="n">
        <f aca="false">+AG36</f>
        <v>0.00631702472161999</v>
      </c>
      <c r="AH82" s="60" t="n">
        <f aca="false">+AH36</f>
        <v>0.00659888476433523</v>
      </c>
      <c r="AI82" s="60" t="n">
        <f aca="false">+AI36</f>
        <v>0.00553131445312594</v>
      </c>
      <c r="AJ82" s="60" t="n">
        <f aca="false">+AJ36</f>
        <v>0.00472418099360561</v>
      </c>
      <c r="AK82" s="60" t="n">
        <f aca="false">+AK36</f>
        <v>0.00397395876215256</v>
      </c>
      <c r="AL82" s="60" t="n">
        <f aca="false">+AL36</f>
        <v>0.00466539128595755</v>
      </c>
      <c r="AM82" s="60" t="n">
        <f aca="false">+AM36</f>
        <v>0.00549566313748384</v>
      </c>
      <c r="AN82" s="60" t="n">
        <f aca="false">+AN36</f>
        <v>0.00452702916256742</v>
      </c>
      <c r="AO82" s="60" t="n">
        <f aca="false">+AO36</f>
        <v>0.00279099206531219</v>
      </c>
      <c r="AP82" s="60" t="n">
        <f aca="false">+AP36</f>
        <v>0.00418087352585439</v>
      </c>
      <c r="AQ82" s="60" t="n">
        <f aca="false">+AQ36</f>
        <v>0.0632258045770224</v>
      </c>
    </row>
    <row r="83" s="4" customFormat="true" ht="15" hidden="false" customHeight="false" outlineLevel="0" collapsed="false">
      <c r="A83" s="17" t="n">
        <v>41089</v>
      </c>
      <c r="B83" s="20" t="n">
        <v>14536.13</v>
      </c>
      <c r="C83" s="25" t="n">
        <f aca="false">(B83/B82-1)/(A83-A82)*30</f>
        <v>0.00418579110415774</v>
      </c>
      <c r="D83" s="19"/>
      <c r="E83" s="19"/>
      <c r="F83" s="19"/>
      <c r="I83" s="5"/>
      <c r="AC83" s="61" t="n">
        <v>2025</v>
      </c>
      <c r="AD83" s="56" t="s">
        <v>3</v>
      </c>
      <c r="AE83" s="60" t="n">
        <f aca="false">+AE21</f>
        <v>0.00445443017437541</v>
      </c>
      <c r="AF83" s="60" t="n">
        <f aca="false">+AF21</f>
        <v>0.00389626305099444</v>
      </c>
      <c r="AG83" s="60" t="n">
        <f aca="false">+AG21</f>
        <v>0.0043138020854181</v>
      </c>
      <c r="AH83" s="60" t="n">
        <f aca="false">+AH21</f>
        <v>0.00417571644342774</v>
      </c>
      <c r="AI83" s="60" t="n">
        <f aca="false">+AI21</f>
        <v>0.00417422694650416</v>
      </c>
      <c r="AJ83" s="60" t="n">
        <f aca="false">+AJ21</f>
        <v>0.00431456613652492</v>
      </c>
      <c r="AK83" s="60" t="n">
        <f aca="false">+AK21</f>
        <v>0.00430626208344687</v>
      </c>
      <c r="AL83" s="60" t="n">
        <f aca="false">+AL21</f>
        <v>0.00383327468941586</v>
      </c>
      <c r="AM83" s="60" t="n">
        <f aca="false">+AM21</f>
        <v>0.00423004876441735</v>
      </c>
      <c r="AN83" s="60" t="n">
        <f aca="false">+AN21</f>
        <v>0.00396619021077105</v>
      </c>
      <c r="AO83" s="60" t="n">
        <f aca="false">+AO21</f>
        <v>0.00383243965233548</v>
      </c>
      <c r="AP83" s="60" t="n">
        <f aca="false">+AP21</f>
        <v>0.00413946203577598</v>
      </c>
      <c r="AQ83" s="60"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1"/>
      <c r="AD84" s="56" t="s">
        <v>26</v>
      </c>
      <c r="AE84" s="60" t="n">
        <f aca="false">+AE50</f>
        <v>0.00302021033404665</v>
      </c>
      <c r="AF84" s="60" t="n">
        <f aca="false">+AF50</f>
        <v>0.00276213771028111</v>
      </c>
      <c r="AG84" s="60" t="n">
        <f aca="false">+AG50</f>
        <v>0.00306282692323312</v>
      </c>
      <c r="AH84" s="60" t="n">
        <f aca="false">+AH50</f>
        <v>0.00297594968581905</v>
      </c>
      <c r="AI84" s="60" t="n">
        <f aca="false">+AI50</f>
        <v>0.00308976252279503</v>
      </c>
      <c r="AJ84" s="60" t="n">
        <f aca="false">+AJ50</f>
        <v>0.00299705245742721</v>
      </c>
      <c r="AK84" s="60" t="n">
        <f aca="false">+AK50</f>
        <v>0.00295054952791363</v>
      </c>
      <c r="AL84" s="60" t="n">
        <f aca="false">+AL50</f>
        <v>0.00300054219083834</v>
      </c>
      <c r="AM84" s="60" t="n">
        <f aca="false">+AM50</f>
        <v>0.00276161496613736</v>
      </c>
      <c r="AN84" s="60" t="n">
        <f aca="false">+AN50</f>
        <v>0.00286519472447866</v>
      </c>
      <c r="AO84" s="60" t="n">
        <f aca="false">+AO50</f>
        <v>0.00279501576319907</v>
      </c>
      <c r="AP84" s="60" t="n">
        <f aca="false">+AP50</f>
        <v>0.00283776649927603</v>
      </c>
      <c r="AQ84" s="60" t="n">
        <f aca="false">+AQ50</f>
        <v>0.0325707862057447</v>
      </c>
    </row>
    <row r="85" s="4" customFormat="true" ht="15" hidden="false" customHeight="false" outlineLevel="0" collapsed="false">
      <c r="A85" s="17" t="n">
        <v>41152</v>
      </c>
      <c r="B85" s="20" t="n">
        <v>14663.33</v>
      </c>
      <c r="C85" s="25" t="n">
        <f aca="false">(B85/B84-1)/(A85-A84)*30</f>
        <v>0.0041571396122181</v>
      </c>
      <c r="D85" s="19"/>
      <c r="E85" s="19"/>
      <c r="F85" s="19"/>
      <c r="I85" s="5"/>
      <c r="AC85" s="61"/>
      <c r="AD85" s="53" t="s">
        <v>27</v>
      </c>
      <c r="AE85" s="60" t="n">
        <f aca="false">+AE37</f>
        <v>0.00340328436982462</v>
      </c>
      <c r="AF85" s="60" t="n">
        <f aca="false">+AF37</f>
        <v>0.00392946303814501</v>
      </c>
      <c r="AG85" s="60" t="n">
        <f aca="false">+AG37</f>
        <v>0.00509021570635704</v>
      </c>
      <c r="AH85" s="60" t="n">
        <f aca="false">+AH37</f>
        <v>0.00504383303239186</v>
      </c>
      <c r="AI85" s="60" t="n">
        <f aca="false">+AI37</f>
        <v>0.00589573204645788</v>
      </c>
      <c r="AJ85" s="60" t="n">
        <f aca="false">+AJ37</f>
        <v>0.00576951042150031</v>
      </c>
      <c r="AK85" s="60" t="n">
        <f aca="false">+AK37</f>
        <v>0.00705705736263695</v>
      </c>
      <c r="AL85" s="60" t="n">
        <f aca="false">+AL37</f>
        <v>0.00664252422774148</v>
      </c>
      <c r="AM85" s="60" t="n">
        <f aca="false">+AM37</f>
        <v>0.00603404271959107</v>
      </c>
      <c r="AN85" s="60" t="n">
        <f aca="false">+AN37</f>
        <v>0.0058182542564964</v>
      </c>
      <c r="AO85" s="60" t="n">
        <f aca="false">+AO37</f>
        <v>0.00790952771422804</v>
      </c>
      <c r="AP85" s="60" t="n">
        <f aca="false">+AP37</f>
        <v>0.00663885329582281</v>
      </c>
      <c r="AQ85" s="60" t="n">
        <f aca="false">+AQ37</f>
        <v>0.0678283804317226</v>
      </c>
    </row>
    <row r="86" s="4" customFormat="true" ht="15" hidden="false" customHeight="false" outlineLevel="0" collapsed="false">
      <c r="A86" s="17" t="n">
        <v>41180</v>
      </c>
      <c r="B86" s="20" t="n">
        <v>14720.68</v>
      </c>
      <c r="C86" s="25" t="n">
        <f aca="false">(B86/B85-1)/(A86-A85)*30</f>
        <v>0.0041904825555607</v>
      </c>
      <c r="D86" s="19"/>
      <c r="E86" s="19"/>
      <c r="F86" s="19"/>
      <c r="I86" s="5"/>
      <c r="AC86" s="61" t="n">
        <v>2026</v>
      </c>
      <c r="AD86" s="56" t="s">
        <v>3</v>
      </c>
      <c r="AE86" s="60" t="n">
        <f aca="false">+AE22</f>
        <v>0.00388234363273376</v>
      </c>
      <c r="AF86" s="60" t="n">
        <f aca="false">+AF22</f>
        <v>0.00363126461056962</v>
      </c>
      <c r="AG86" s="60" t="n">
        <f aca="false">+AG22</f>
        <v>0.0038819280865483</v>
      </c>
      <c r="AH86" s="60" t="n">
        <f aca="false">+AH22</f>
        <v>-0.243672722859896</v>
      </c>
      <c r="AI86" s="60"/>
      <c r="AJ86" s="60"/>
      <c r="AK86" s="60"/>
      <c r="AL86" s="60"/>
      <c r="AM86" s="60"/>
      <c r="AN86" s="60"/>
      <c r="AO86" s="60"/>
      <c r="AP86" s="60"/>
      <c r="AQ86" s="60" t="n">
        <f aca="false">+AQ22</f>
        <v>-0.71393888658704</v>
      </c>
    </row>
    <row r="87" s="4" customFormat="true" ht="15" hidden="false" customHeight="false" outlineLevel="0" collapsed="false">
      <c r="A87" s="17" t="n">
        <v>41213</v>
      </c>
      <c r="B87" s="20" t="n">
        <v>14788.56</v>
      </c>
      <c r="C87" s="25" t="n">
        <f aca="false">(B87/B86-1)/(A87-A86)*30</f>
        <v>0.0041920000237142</v>
      </c>
      <c r="D87" s="19"/>
      <c r="E87" s="19"/>
      <c r="F87" s="19"/>
      <c r="I87" s="5"/>
      <c r="AC87" s="61"/>
      <c r="AD87" s="56" t="s">
        <v>26</v>
      </c>
      <c r="AE87" s="60" t="n">
        <f aca="false">+AE51</f>
        <v>0.00272443815472734</v>
      </c>
      <c r="AF87" s="60" t="n">
        <f aca="false">+AF51</f>
        <v>0.00244521636660222</v>
      </c>
      <c r="AG87" s="60" t="n">
        <f aca="false">+AG51</f>
        <v>0.00268777625151762</v>
      </c>
      <c r="AH87" s="60" t="n">
        <f aca="false">+AH51</f>
        <v>-1</v>
      </c>
      <c r="AI87" s="60"/>
      <c r="AJ87" s="60"/>
      <c r="AK87" s="60"/>
      <c r="AL87" s="60"/>
      <c r="AM87" s="60"/>
      <c r="AN87" s="60"/>
      <c r="AO87" s="60"/>
      <c r="AP87" s="60"/>
      <c r="AQ87" s="60"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1"/>
      <c r="AD88" s="53" t="s">
        <v>27</v>
      </c>
      <c r="AE88" s="60" t="n">
        <f aca="false">+AE38</f>
        <v>0.00717821277116704</v>
      </c>
      <c r="AF88" s="60" t="n">
        <f aca="false">+AF38</f>
        <v>0.00562923335239085</v>
      </c>
      <c r="AG88" s="60" t="n">
        <f aca="false">+AG38</f>
        <v>0.00571817670393227</v>
      </c>
      <c r="AH88" s="60" t="n">
        <f aca="false">+AH38</f>
        <v>0.0056237355358657</v>
      </c>
      <c r="AI88" s="60"/>
      <c r="AJ88" s="60"/>
      <c r="AK88" s="60"/>
      <c r="AL88" s="60"/>
      <c r="AM88" s="60"/>
      <c r="AN88" s="60"/>
      <c r="AO88" s="60"/>
      <c r="AP88" s="60"/>
      <c r="AQ88" s="60" t="n">
        <f aca="false">+AQ38</f>
        <v>0.0512019911955808</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D94" s="17" t="n">
        <v>43008</v>
      </c>
      <c r="AE94" s="62" t="n">
        <v>0.00311210000000006</v>
      </c>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D95" s="17" t="n">
        <v>43039</v>
      </c>
      <c r="AE95" s="62" t="n">
        <v>0.00266354947734888</v>
      </c>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D96" s="17" t="n">
        <v>43069</v>
      </c>
      <c r="AE96" s="62" t="n">
        <v>0.00270401929468234</v>
      </c>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C97" s="3"/>
      <c r="AD97" s="17" t="n">
        <v>43100</v>
      </c>
      <c r="AE97" s="62" t="n">
        <v>0.00300965446914445</v>
      </c>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D98" s="17" t="n">
        <v>43131</v>
      </c>
      <c r="AE98" s="62" t="n">
        <v>0.00473727239934226</v>
      </c>
      <c r="AF98" s="3"/>
      <c r="AG98" s="3"/>
      <c r="AH98" s="3"/>
      <c r="AI98" s="3"/>
      <c r="AJ98" s="3"/>
      <c r="AK98" s="3"/>
      <c r="AL98" s="3"/>
      <c r="AM98" s="3"/>
      <c r="AN98" s="3"/>
      <c r="AO98" s="3"/>
      <c r="AP98" s="3"/>
      <c r="AQ98" s="3"/>
    </row>
    <row r="99" s="4" customFormat="true" ht="15" hidden="false" customHeight="false" outlineLevel="0" collapsed="false">
      <c r="A99" s="17" t="n">
        <v>41578</v>
      </c>
      <c r="B99" s="20" t="n">
        <v>15554.36</v>
      </c>
      <c r="C99" s="25" t="n">
        <f aca="false">(B99/B98-1)/(A99-A98)*30</f>
        <v>0.00395880485699199</v>
      </c>
      <c r="D99" s="19"/>
      <c r="E99" s="19"/>
      <c r="F99" s="19"/>
      <c r="I99" s="5"/>
      <c r="AD99" s="17" t="n">
        <v>43159</v>
      </c>
      <c r="AE99" s="62" t="n">
        <v>0.00378152301954046</v>
      </c>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43190</v>
      </c>
      <c r="AE100" s="62" t="n">
        <v>0.00300527511908573</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43220</v>
      </c>
      <c r="AE101" s="62" t="n">
        <v>0.00316130254575997</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43251</v>
      </c>
      <c r="AE102" s="62" t="n">
        <v>0.00310067866389014</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43281</v>
      </c>
      <c r="AE103" s="62" t="n">
        <v>0.00287709140845549</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43312</v>
      </c>
      <c r="AE104" s="62" t="n">
        <v>0.00279025405786912</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43343</v>
      </c>
      <c r="AE105" s="62" t="n">
        <v>0.00269722002207049</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43373</v>
      </c>
      <c r="AE106" s="62" t="n">
        <v>0.00294678677406712</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43404</v>
      </c>
      <c r="AE107" s="62" t="n">
        <v>0.00273411579812808</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43434</v>
      </c>
      <c r="AE108" s="62" t="n">
        <v>0.00284409288655185</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43465</v>
      </c>
      <c r="AE109" s="62" t="n">
        <v>0.00262659891580654</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43496</v>
      </c>
      <c r="AE110" s="62" t="n">
        <v>0.00281430328228941</v>
      </c>
    </row>
    <row r="111" s="4" customFormat="true" ht="15" hidden="false" customHeight="false" outlineLevel="0" collapsed="false">
      <c r="A111" s="17" t="n">
        <v>41943</v>
      </c>
      <c r="B111" s="20" t="n">
        <v>16200.86</v>
      </c>
      <c r="C111" s="25" t="n">
        <f aca="false">(B111/B110-1)/(A111-A110)*30</f>
        <v>0.00254477121384836</v>
      </c>
      <c r="D111" s="19"/>
      <c r="E111" s="19"/>
      <c r="F111" s="19"/>
      <c r="I111" s="5"/>
      <c r="AD111" s="17" t="n">
        <v>43524</v>
      </c>
      <c r="AE111" s="62" t="n">
        <v>0.00282360638687196</v>
      </c>
    </row>
    <row r="112" s="4" customFormat="true" ht="15" hidden="false" customHeight="false" outlineLevel="0" collapsed="false">
      <c r="A112" s="17" t="n">
        <v>41971</v>
      </c>
      <c r="B112" s="20" t="n">
        <v>16240.11</v>
      </c>
      <c r="C112" s="25" t="n">
        <f aca="false">(B112/B111-1)/(A112-A111)*30</f>
        <v>0.00259576167120579</v>
      </c>
      <c r="D112" s="19"/>
      <c r="E112" s="19"/>
      <c r="F112" s="19"/>
      <c r="I112" s="5"/>
      <c r="AD112" s="17" t="n">
        <v>43555</v>
      </c>
      <c r="AE112" s="62" t="n">
        <v>0.00286536279403882</v>
      </c>
    </row>
    <row r="113" s="4" customFormat="true" ht="15" hidden="false" customHeight="false" outlineLevel="0" collapsed="false">
      <c r="A113" s="17" t="n">
        <v>42004</v>
      </c>
      <c r="B113" s="20" t="n">
        <v>16283.49</v>
      </c>
      <c r="C113" s="25" t="n">
        <f aca="false">(B113/B112-1)/(A113-A112)*30</f>
        <v>0.00242833106649904</v>
      </c>
      <c r="D113" s="19"/>
      <c r="E113" s="19"/>
      <c r="F113" s="19"/>
      <c r="I113" s="5"/>
      <c r="AD113" s="17" t="n">
        <v>43585</v>
      </c>
      <c r="AE113" s="62" t="n">
        <v>0.00293240905161363</v>
      </c>
    </row>
    <row r="114" s="4" customFormat="true" ht="15" hidden="false" customHeight="false" outlineLevel="0" collapsed="false">
      <c r="A114" s="17" t="n">
        <v>42034</v>
      </c>
      <c r="B114" s="20" t="n">
        <v>16325.65</v>
      </c>
      <c r="C114" s="25" t="n">
        <f aca="false">(B114/B113-1)/(A114-A113)*30</f>
        <v>0.00258912554986668</v>
      </c>
      <c r="D114" s="19"/>
      <c r="E114" s="19"/>
      <c r="F114" s="19"/>
      <c r="I114" s="5"/>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3"/>
      <c r="H130" s="63"/>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3"/>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4" t="n">
        <v>17149.23</v>
      </c>
      <c r="C132" s="25" t="n">
        <f aca="false">(B132/B131-1)/(A132-A131)*30</f>
        <v>0.00289846803993268</v>
      </c>
      <c r="D132" s="19"/>
      <c r="F132" s="17" t="n">
        <f aca="false">+A132</f>
        <v>42582</v>
      </c>
      <c r="H132" s="63"/>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3"/>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3"/>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3"/>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3"/>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3"/>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c r="AD146" s="4"/>
      <c r="AE146" s="4"/>
      <c r="AF146" s="4"/>
      <c r="AG146" s="4"/>
      <c r="AH146" s="4"/>
      <c r="AI146" s="4"/>
      <c r="AJ146" s="4"/>
      <c r="AK146" s="4"/>
      <c r="AL146" s="4"/>
      <c r="AM146" s="4"/>
      <c r="AN146" s="4"/>
      <c r="AO146" s="4"/>
      <c r="AP146" s="4"/>
      <c r="AQ146" s="4"/>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41</v>
      </c>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t="n">
        <v>1063.8688</v>
      </c>
      <c r="L148" s="25" t="n">
        <f aca="false">+(K148/K147-1)/(F148-F147)*30</f>
        <v>0.00195678792184273</v>
      </c>
      <c r="M148" s="19"/>
      <c r="S148" s="3" t="n">
        <v>2.08</v>
      </c>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2.08</v>
      </c>
      <c r="S149" s="3" t="s">
        <v>42</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43</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43</v>
      </c>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44</v>
      </c>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0</v>
      </c>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45</v>
      </c>
      <c r="AR157" s="65"/>
    </row>
    <row r="158" customFormat="false" ht="15" hidden="false" customHeight="false" outlineLevel="0" collapsed="false">
      <c r="A158" s="17" t="n">
        <v>43373</v>
      </c>
      <c r="B158" s="35" t="n">
        <v>18235.9</v>
      </c>
      <c r="C158" s="25" t="n">
        <f aca="false">(B158/B157-1)/(A158-A157)*30</f>
        <v>0.00204850697470471</v>
      </c>
      <c r="D158" s="19"/>
      <c r="F158" s="17" t="n">
        <v>43373</v>
      </c>
      <c r="I158" s="25"/>
      <c r="J158" s="18"/>
      <c r="K158" s="3" t="n">
        <v>1086.6424</v>
      </c>
      <c r="L158" s="25" t="n">
        <f aca="false">+(K158/K157-1)/(F158-F157)*30</f>
        <v>0.00220909032552719</v>
      </c>
      <c r="M158" s="19"/>
      <c r="S158" s="3" t="n">
        <v>0</v>
      </c>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B172" s="3" t="n">
        <v>18802.79</v>
      </c>
      <c r="C172" s="25" t="n">
        <f aca="false">(B172/B171-1)/(A172-A171)*30</f>
        <v>0.00142138128563651</v>
      </c>
      <c r="D172" s="19"/>
      <c r="F172" s="17" t="n">
        <v>43799</v>
      </c>
      <c r="I172" s="25"/>
      <c r="J172" s="18"/>
      <c r="K172" s="3" t="n">
        <v>4879.8683</v>
      </c>
      <c r="L172" s="25" t="n">
        <f aca="false">+(K172/K171-1)/(F172-F171)*30</f>
        <v>0.000691726317945118</v>
      </c>
      <c r="M172" s="19"/>
    </row>
    <row r="173" customFormat="false" ht="15" hidden="false" customHeight="false" outlineLevel="0" collapsed="false">
      <c r="A173" s="17" t="n">
        <v>43830</v>
      </c>
      <c r="B173" s="19" t="n">
        <v>18830.68</v>
      </c>
      <c r="C173" s="25" t="n">
        <f aca="false">(B173/B172-1)/(A173-A172)*30</f>
        <v>0.00143544243065221</v>
      </c>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B174" s="3" t="n">
        <v>18861.86</v>
      </c>
      <c r="C174" s="25" t="n">
        <f aca="false">(B174/B173-1)/(A174-A173)*30</f>
        <v>0.00160239532233506</v>
      </c>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t="n">
        <v>18887.8867</v>
      </c>
      <c r="C175" s="25" t="n">
        <f aca="false">(B175/B174-1)/(A175-A174)*30</f>
        <v>0.00142743994567841</v>
      </c>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B176" s="3" t="n">
        <v>18908.77</v>
      </c>
      <c r="C176" s="25" t="n">
        <f aca="false">(B176/B175-1)/(A176-A175)*30</f>
        <v>0.00106997916083929</v>
      </c>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t="n">
        <v>18917.93</v>
      </c>
      <c r="C177" s="25" t="n">
        <f aca="false">(B177/B176-1)/(A177-A176)*30</f>
        <v>0.00048443129828124</v>
      </c>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t="n">
        <v>18925.24</v>
      </c>
      <c r="C178" s="25" t="n">
        <f aca="false">(B178/B177-1)/(A178-A177)*30</f>
        <v>0.000373941205427323</v>
      </c>
      <c r="D178" s="19"/>
      <c r="F178" s="17" t="n">
        <v>43982</v>
      </c>
      <c r="I178" s="25"/>
      <c r="J178" s="18"/>
      <c r="K178" s="3" t="n">
        <v>4903.90225</v>
      </c>
      <c r="L178" s="25" t="n">
        <f aca="false">+(K178/K177-1)/(F178-F177)*30</f>
        <v>0.000155105434576301</v>
      </c>
      <c r="M178" s="19"/>
    </row>
    <row r="179" customFormat="false" ht="15" hidden="false" customHeight="false" outlineLevel="0" collapsed="false">
      <c r="A179" s="17" t="n">
        <v>44012</v>
      </c>
      <c r="B179" s="19" t="n">
        <v>18932.63</v>
      </c>
      <c r="C179" s="25" t="n">
        <f aca="false">(B179/B178-1)/(A179-A178)*30</f>
        <v>0.000390483819491916</v>
      </c>
      <c r="D179" s="19"/>
      <c r="F179" s="17" t="n">
        <v>44012</v>
      </c>
      <c r="I179" s="25"/>
      <c r="J179" s="18"/>
      <c r="K179" s="3" t="n">
        <v>4904.6881</v>
      </c>
      <c r="L179" s="25" t="n">
        <f aca="false">+(K179/K178-1)/(F179-F178)*30</f>
        <v>0.000160249931572487</v>
      </c>
      <c r="M179" s="19"/>
      <c r="AD179" s="65"/>
      <c r="AE179" s="65"/>
      <c r="AF179" s="65"/>
      <c r="AG179" s="65"/>
      <c r="AH179" s="65"/>
      <c r="AI179" s="65"/>
      <c r="AJ179" s="65"/>
      <c r="AK179" s="65"/>
      <c r="AL179" s="65"/>
      <c r="AM179" s="65"/>
      <c r="AN179" s="65"/>
      <c r="AO179" s="65"/>
      <c r="AP179" s="65"/>
      <c r="AQ179" s="65"/>
    </row>
    <row r="180" customFormat="false" ht="15" hidden="false" customHeight="false" outlineLevel="0" collapsed="false">
      <c r="A180" s="17" t="n">
        <v>44043</v>
      </c>
      <c r="B180" s="3" t="n">
        <v>18940.74</v>
      </c>
      <c r="C180" s="25" t="n">
        <f aca="false">(B180/B179-1)/(A180-A179)*30</f>
        <v>0.000414542886898211</v>
      </c>
      <c r="D180" s="19"/>
      <c r="F180" s="17" t="n">
        <v>44043</v>
      </c>
      <c r="I180" s="25"/>
      <c r="J180" s="18"/>
      <c r="K180" s="3" t="n">
        <v>4905.1791</v>
      </c>
      <c r="L180" s="25" t="n">
        <f aca="false">+(K180/K179-1)/(F180-F179)*30</f>
        <v>9.68790024226441E-005</v>
      </c>
      <c r="M180" s="19"/>
    </row>
    <row r="181" customFormat="false" ht="15" hidden="false" customHeight="false" outlineLevel="0" collapsed="false">
      <c r="A181" s="17" t="n">
        <v>44074</v>
      </c>
      <c r="B181" s="3" t="n">
        <v>18948.69</v>
      </c>
      <c r="C181" s="25" t="n">
        <f aca="false">(B181/B180-1)/(A181-A180)*30</f>
        <v>0.000406190486068316</v>
      </c>
      <c r="D181" s="19"/>
      <c r="F181" s="17" t="n">
        <v>44074</v>
      </c>
      <c r="I181" s="25"/>
      <c r="J181" s="18"/>
      <c r="K181" s="3" t="n">
        <v>4906.1183</v>
      </c>
      <c r="L181" s="25" t="n">
        <f aca="false">+(K181/K180-1)/(F181-F180)*30</f>
        <v>0.000185294605411322</v>
      </c>
      <c r="M181" s="19"/>
    </row>
    <row r="182" customFormat="false" ht="15" hidden="false" customHeight="false" outlineLevel="0" collapsed="false">
      <c r="A182" s="17" t="n">
        <v>44104</v>
      </c>
      <c r="B182" s="3" t="n">
        <v>18956.17</v>
      </c>
      <c r="C182" s="25" t="n">
        <f aca="false">(B182/B181-1)/(A182-A181)*30</f>
        <v>0.000394750243948305</v>
      </c>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B183" s="3" t="n">
        <v>18963.23</v>
      </c>
      <c r="C183" s="25" t="n">
        <f aca="false">(B183/B182-1)/(A183-A182)*30</f>
        <v>0.000360423970903369</v>
      </c>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B184" s="3" t="n">
        <v>18969.48</v>
      </c>
      <c r="C184" s="25" t="n">
        <f aca="false">(B184/B183-1)/(A184-A183)*30</f>
        <v>0.00032958520252091</v>
      </c>
      <c r="D184" s="19"/>
      <c r="F184" s="17" t="n">
        <v>44165</v>
      </c>
      <c r="I184" s="25"/>
      <c r="J184" s="18"/>
      <c r="K184" s="3" t="n">
        <v>4907.0953</v>
      </c>
      <c r="L184" s="25" t="n">
        <f aca="false">+(K184/K183-1)/(F184-F183)*30</f>
        <v>6.09358900838242E-005</v>
      </c>
      <c r="M184" s="19"/>
    </row>
    <row r="185" customFormat="false" ht="15" hidden="false" customHeight="false" outlineLevel="0" collapsed="false">
      <c r="A185" s="17" t="n">
        <v>44196</v>
      </c>
      <c r="B185" s="3" t="n">
        <v>18976.88</v>
      </c>
      <c r="C185" s="25" t="n">
        <f aca="false">(B185/B184-1)/(A185-A184)*30</f>
        <v>0.000377516427576409</v>
      </c>
      <c r="D185" s="19"/>
      <c r="F185" s="17" t="n">
        <v>44196</v>
      </c>
      <c r="I185" s="25"/>
      <c r="J185" s="18"/>
      <c r="K185" s="3" t="n">
        <v>4907.3928</v>
      </c>
      <c r="L185" s="25" t="n">
        <f aca="false">+(K185/K184-1)/(F185-F184)*30</f>
        <v>5.86708038472924E-005</v>
      </c>
      <c r="M185" s="19"/>
    </row>
    <row r="186" customFormat="false" ht="15" hidden="false" customHeight="false" outlineLevel="0" collapsed="false">
      <c r="A186" s="17" t="n">
        <v>44246</v>
      </c>
      <c r="B186" s="3" t="n">
        <v>18982.04</v>
      </c>
      <c r="C186" s="25" t="n">
        <f aca="false">(B186/B185-1)/(A186-A185)*30</f>
        <v>0.000163145891210714</v>
      </c>
      <c r="D186" s="19" t="n">
        <v>100</v>
      </c>
      <c r="F186" s="17" t="n">
        <v>44246</v>
      </c>
      <c r="I186" s="25"/>
      <c r="J186" s="18"/>
      <c r="K186" s="3" t="n">
        <v>4907.6377</v>
      </c>
      <c r="L186" s="25" t="n">
        <f aca="false">+(K186/K185-1)/(F186-F185)*30</f>
        <v>2.99425796932873E-005</v>
      </c>
      <c r="M186" s="19"/>
    </row>
    <row r="187" customFormat="false" ht="15" hidden="false" customHeight="false" outlineLevel="0" collapsed="false">
      <c r="A187" s="17" t="n">
        <v>44255</v>
      </c>
      <c r="B187" s="3" t="n">
        <v>18986.58</v>
      </c>
      <c r="C187" s="25" t="n">
        <f aca="false">(B187/B186-1)/(A187-A186)*11</f>
        <v>0.000292323105888029</v>
      </c>
      <c r="D187" s="19" t="n">
        <f aca="false">+D186*(1+C187)</f>
        <v>100.029232310589</v>
      </c>
      <c r="F187" s="17" t="n">
        <v>44255</v>
      </c>
      <c r="I187" s="25"/>
      <c r="J187" s="18"/>
      <c r="K187" s="3" t="n">
        <v>4907.9052</v>
      </c>
      <c r="L187" s="25" t="n">
        <f aca="false">+(K187/K186-1)/(F187-F186)*11</f>
        <v>6.66195152189254E-005</v>
      </c>
      <c r="M187" s="19" t="n">
        <v>100</v>
      </c>
      <c r="Q187" s="17"/>
    </row>
    <row r="188" customFormat="false" ht="15" hidden="false" customHeight="false" outlineLevel="0" collapsed="false">
      <c r="A188" s="17" t="n">
        <v>44286</v>
      </c>
      <c r="B188" s="19" t="n">
        <v>18991.5</v>
      </c>
      <c r="C188" s="25" t="n">
        <f aca="false">(B188/B187-1)/(A188-A187)*30</f>
        <v>0.000250771351269013</v>
      </c>
      <c r="D188" s="19" t="n">
        <f aca="false">+D187*(1+C188)</f>
        <v>100.054316776342</v>
      </c>
      <c r="F188" s="17" t="n">
        <v>44286</v>
      </c>
      <c r="I188" s="25"/>
      <c r="J188" s="18"/>
      <c r="K188" s="3" t="n">
        <v>4908.1704</v>
      </c>
      <c r="L188" s="25" t="n">
        <f aca="false">+(K188/K187-1)/(F188-F187)*30</f>
        <v>5.22922002018035E-005</v>
      </c>
      <c r="M188" s="19" t="n">
        <f aca="false">+M187*(1+L188)</f>
        <v>100.00522922002</v>
      </c>
      <c r="Q188" s="17"/>
      <c r="R188" s="66"/>
    </row>
    <row r="189" customFormat="false" ht="15" hidden="false" customHeight="false" outlineLevel="0" collapsed="false">
      <c r="A189" s="17" t="n">
        <v>44316</v>
      </c>
      <c r="B189" s="3" t="n">
        <v>18997.09</v>
      </c>
      <c r="C189" s="25" t="n">
        <f aca="false">(B189/B188-1)/(A189-A188)*30</f>
        <v>0.000294342205723552</v>
      </c>
      <c r="D189" s="19" t="n">
        <f aca="false">+D188*(1+C189)</f>
        <v>100.083766984634</v>
      </c>
      <c r="F189" s="17" t="n">
        <v>44316</v>
      </c>
      <c r="I189" s="25"/>
      <c r="J189" s="18"/>
      <c r="K189" s="3" t="n">
        <v>4908.4956</v>
      </c>
      <c r="L189" s="25" t="n">
        <f aca="false">+(K189/K188-1)/(F189-F188)*30</f>
        <v>6.6256868343384E-005</v>
      </c>
      <c r="M189" s="19" t="n">
        <f aca="false">+M188*(1+L189)</f>
        <v>100.011855253326</v>
      </c>
      <c r="Q189" s="67"/>
    </row>
    <row r="190" customFormat="false" ht="15" hidden="false" customHeight="false" outlineLevel="0" collapsed="false">
      <c r="A190" s="17" t="n">
        <v>44347</v>
      </c>
      <c r="B190" s="3" t="n">
        <v>19001.7</v>
      </c>
      <c r="C190" s="25" t="n">
        <f aca="false">(B190/B189-1)/(A190-A189)*30</f>
        <v>0.000234840721530632</v>
      </c>
      <c r="D190" s="19" t="n">
        <f aca="false">+D189*(1+C190)</f>
        <v>100.107270728686</v>
      </c>
      <c r="F190" s="17" t="n">
        <v>44347</v>
      </c>
      <c r="I190" s="25"/>
      <c r="J190" s="18"/>
      <c r="K190" s="3" t="n">
        <v>4908.7905</v>
      </c>
      <c r="L190" s="25" t="n">
        <f aca="false">+(K190/K189-1)/(F190-F189)*30</f>
        <v>5.81414592230296E-005</v>
      </c>
      <c r="M190" s="19" t="n">
        <v>100</v>
      </c>
      <c r="Q190" s="67"/>
    </row>
    <row r="191" customFormat="false" ht="15" hidden="false" customHeight="false" outlineLevel="0" collapsed="false">
      <c r="A191" s="17" t="n">
        <v>44377</v>
      </c>
      <c r="B191" s="3" t="n">
        <v>19006.88</v>
      </c>
      <c r="C191" s="25" t="n">
        <f aca="false">(B191/B190-1)/(A191-A190)*30</f>
        <v>0.000272607187777885</v>
      </c>
      <c r="D191" s="19" t="n">
        <f aca="false">+D190*(1+C191)</f>
        <v>100.134560690235</v>
      </c>
      <c r="F191" s="17" t="n">
        <v>44377</v>
      </c>
      <c r="I191" s="25"/>
      <c r="J191" s="18"/>
      <c r="K191" s="3" t="n">
        <v>4909.0847</v>
      </c>
      <c r="L191" s="25" t="n">
        <f aca="false">+(K191/K190-1)/(F191-F190)*30</f>
        <v>5.99332972144318E-005</v>
      </c>
      <c r="M191" s="19" t="n">
        <f aca="false">+M190*(1+L191)</f>
        <v>100.005993329721</v>
      </c>
    </row>
    <row r="192" customFormat="false" ht="15" hidden="false" customHeight="false" outlineLevel="0" collapsed="false">
      <c r="A192" s="17" t="n">
        <v>44408</v>
      </c>
      <c r="B192" s="3" t="n">
        <v>19016.42</v>
      </c>
      <c r="C192" s="25" t="n">
        <f aca="false">(B192/B191-1)/(A192-A191)*30</f>
        <v>0.000485732432914423</v>
      </c>
      <c r="D192" s="19" t="n">
        <f aca="false">+D191*(1+C192)</f>
        <v>100.183199294018</v>
      </c>
      <c r="F192" s="17" t="n">
        <v>44408</v>
      </c>
      <c r="I192" s="25"/>
      <c r="J192" s="18"/>
      <c r="K192" s="3" t="n">
        <v>4909.3885</v>
      </c>
      <c r="L192" s="25" t="n">
        <f aca="false">+(K192/K191-1)/(F192-F191)*30</f>
        <v>5.98889646373815E-005</v>
      </c>
      <c r="M192" s="19" t="n">
        <f aca="false">+M191*(1+L192)</f>
        <v>100.01198258512</v>
      </c>
    </row>
    <row r="193" customFormat="false" ht="15" hidden="false" customHeight="false" outlineLevel="0" collapsed="false">
      <c r="A193" s="17" t="n">
        <v>44439</v>
      </c>
      <c r="B193" s="3" t="n">
        <v>19028.38</v>
      </c>
      <c r="C193" s="25" t="n">
        <f aca="false">(B193/B192-1)/(A193-A192)*30</f>
        <v>0.0006086420865963</v>
      </c>
      <c r="D193" s="19" t="n">
        <f aca="false">+D192*(1+C193)</f>
        <v>100.244175005479</v>
      </c>
      <c r="F193" s="17" t="n">
        <v>44439</v>
      </c>
      <c r="I193" s="25"/>
      <c r="J193" s="18"/>
      <c r="K193" s="3" t="n">
        <v>4909.6931</v>
      </c>
      <c r="L193" s="25" t="n">
        <f aca="false">+(K193/K192-1)/(F193-F192)*30</f>
        <v>6.00429551559976E-005</v>
      </c>
      <c r="M193" s="19" t="n">
        <f aca="false">+M192*(1+L193)</f>
        <v>100.017987600105</v>
      </c>
    </row>
    <row r="194" customFormat="false" ht="15" hidden="false" customHeight="false" outlineLevel="0" collapsed="false">
      <c r="A194" s="17" t="n">
        <v>44469</v>
      </c>
      <c r="B194" s="3" t="n">
        <v>19052.12</v>
      </c>
      <c r="C194" s="25" t="n">
        <f aca="false">(B194/B193-1)/(A194-A193)*30</f>
        <v>0.00124761014863051</v>
      </c>
      <c r="D194" s="19" t="n">
        <f aca="false">+D193*(1+C194)</f>
        <v>100.369240655557</v>
      </c>
      <c r="F194" s="17" t="n">
        <v>44469</v>
      </c>
      <c r="I194" s="25"/>
      <c r="J194" s="18"/>
      <c r="K194" s="18" t="n">
        <v>4909.1149</v>
      </c>
      <c r="L194" s="25" t="n">
        <f aca="false">+(K194/K193-1)/(F194-F193)*30</f>
        <v>-0.000117767035173966</v>
      </c>
      <c r="M194" s="19" t="n">
        <f aca="false">+M193*(1+L194)</f>
        <v>100.006208778241</v>
      </c>
    </row>
    <row r="195" customFormat="false" ht="15" hidden="false" customHeight="false" outlineLevel="0" collapsed="false">
      <c r="A195" s="17" t="n">
        <v>44500</v>
      </c>
      <c r="B195" s="3" t="n">
        <v>19091.59</v>
      </c>
      <c r="C195" s="25" t="n">
        <f aca="false">(B195/B194-1)/(A195-A194)*30</f>
        <v>0.00200485689747645</v>
      </c>
      <c r="D195" s="19" t="n">
        <f aca="false">+D194*(1+C195)</f>
        <v>100.570466619979</v>
      </c>
      <c r="F195" s="17" t="n">
        <v>44500</v>
      </c>
      <c r="I195" s="25"/>
      <c r="J195" s="18"/>
      <c r="K195" s="3" t="n">
        <v>4914.1336</v>
      </c>
      <c r="L195" s="25" t="n">
        <f aca="false">+(K195/K194-1)/(F195-F194)*30</f>
        <v>0.00098934462740187</v>
      </c>
      <c r="M195" s="19" t="n">
        <f aca="false">+M194*(1+L195)</f>
        <v>100.105149383603</v>
      </c>
    </row>
    <row r="196" customFormat="false" ht="15" hidden="false" customHeight="false" outlineLevel="0" collapsed="false">
      <c r="A196" s="17" t="n">
        <v>44530</v>
      </c>
      <c r="B196" s="3" t="n">
        <v>19132.47</v>
      </c>
      <c r="C196" s="25" t="n">
        <f aca="false">(B196/B195-1)/(A196-A195)*30</f>
        <v>0.00214125696183509</v>
      </c>
      <c r="D196" s="19" t="n">
        <f aca="false">+D195*(1+C196)</f>
        <v>100.785813831784</v>
      </c>
      <c r="F196" s="17" t="n">
        <v>44530</v>
      </c>
      <c r="I196" s="25"/>
      <c r="J196" s="18"/>
      <c r="K196" s="18" t="n">
        <v>4920.3216</v>
      </c>
      <c r="L196" s="25" t="n">
        <f aca="false">+(K196/K195-1)/(F196-F195)*30</f>
        <v>0.00125922502391873</v>
      </c>
      <c r="M196" s="19" t="n">
        <f aca="false">+M195*(1+L196)</f>
        <v>100.23120429273</v>
      </c>
    </row>
    <row r="197" customFormat="false" ht="15" hidden="false" customHeight="false" outlineLevel="0" collapsed="false">
      <c r="A197" s="17" t="n">
        <v>44561</v>
      </c>
      <c r="B197" s="3" t="n">
        <v>19193.41</v>
      </c>
      <c r="C197" s="25" t="n">
        <f aca="false">(B197/B196-1)/(A197-A196)*30</f>
        <v>0.00308241400866619</v>
      </c>
      <c r="D197" s="19" t="n">
        <f aca="false">+D196*(1+C197)</f>
        <v>101.096477436214</v>
      </c>
      <c r="F197" s="17" t="n">
        <v>44561</v>
      </c>
      <c r="I197" s="25"/>
      <c r="J197" s="18"/>
      <c r="K197" s="3" t="n">
        <v>4929.2918</v>
      </c>
      <c r="L197" s="25" t="n">
        <f aca="false">+(K197/K196-1)/(F197-F196)*30</f>
        <v>0.00176428278787249</v>
      </c>
      <c r="M197" s="19" t="n">
        <f aca="false">+M196*(1+L197)</f>
        <v>100.408040481271</v>
      </c>
    </row>
    <row r="198" customFormat="false" ht="15" hidden="false" customHeight="false" outlineLevel="0" collapsed="false">
      <c r="A198" s="17" t="n">
        <v>44592</v>
      </c>
      <c r="B198" s="3" t="n">
        <v>19259.35</v>
      </c>
      <c r="C198" s="25" t="n">
        <f aca="false">(B198/B197-1)/(A198-A197)*30</f>
        <v>0.00332472985393446</v>
      </c>
      <c r="D198" s="19" t="n">
        <f aca="false">+D197*(1+C198)</f>
        <v>101.432595912874</v>
      </c>
      <c r="F198" s="17" t="n">
        <v>44592</v>
      </c>
      <c r="I198" s="25"/>
      <c r="J198" s="18"/>
      <c r="K198" s="3" t="n">
        <v>4941.9683</v>
      </c>
      <c r="L198" s="25" t="n">
        <f aca="false">+(K198/K197-1)/(F198-F197)*30</f>
        <v>0.00248871057809198</v>
      </c>
      <c r="M198" s="19" t="n">
        <f aca="false">+M197*(1+L198)</f>
        <v>100.657927033742</v>
      </c>
    </row>
    <row r="199" customFormat="false" ht="15" hidden="false" customHeight="false" outlineLevel="0" collapsed="false">
      <c r="A199" s="17" t="n">
        <v>44620</v>
      </c>
      <c r="B199" s="19" t="n">
        <v>19341.9</v>
      </c>
      <c r="C199" s="25" t="n">
        <f aca="false">(B199/B198-1)/(A199-A198)*30</f>
        <v>0.00459238907706803</v>
      </c>
      <c r="D199" s="19" t="n">
        <f aca="false">+D198*(1+C199)</f>
        <v>101.898413858403</v>
      </c>
      <c r="F199" s="17" t="n">
        <v>44620</v>
      </c>
      <c r="I199" s="25"/>
      <c r="J199" s="18"/>
      <c r="K199" s="3" t="n">
        <v>4958.2785</v>
      </c>
      <c r="L199" s="25" t="n">
        <f aca="false">+(K199/K198-1)/(F199-F198)*30</f>
        <v>0.00353608384855779</v>
      </c>
      <c r="M199" s="19" t="n">
        <f aca="false">+M198*(1+L199)</f>
        <v>101.013861903756</v>
      </c>
    </row>
    <row r="200" customFormat="false" ht="15" hidden="false" customHeight="false" outlineLevel="0" collapsed="false">
      <c r="A200" s="17" t="n">
        <v>44651</v>
      </c>
      <c r="B200" s="3" t="n">
        <v>19435.35</v>
      </c>
      <c r="C200" s="25" t="n">
        <f aca="false">(B200/B199-1)/(A200-A199)*30</f>
        <v>0.00467562565575065</v>
      </c>
      <c r="D200" s="19" t="n">
        <f aca="false">+D199*(1+C200)</f>
        <v>102.37485269652</v>
      </c>
      <c r="F200" s="17" t="n">
        <v>44651</v>
      </c>
      <c r="I200" s="25"/>
      <c r="J200" s="18"/>
      <c r="K200" s="3" t="n">
        <v>4977.0833</v>
      </c>
      <c r="L200" s="25" t="n">
        <f aca="false">+(K200/K199-1)/(F200-F199)*30</f>
        <v>0.00367026449772572</v>
      </c>
      <c r="M200" s="19" t="n">
        <f aca="false">+M199*(1+L200)</f>
        <v>101.384609494879</v>
      </c>
    </row>
    <row r="201" customFormat="false" ht="15" hidden="false" customHeight="false" outlineLevel="0" collapsed="false">
      <c r="A201" s="17" t="n">
        <v>44681</v>
      </c>
      <c r="B201" s="3" t="n">
        <v>19541.32</v>
      </c>
      <c r="C201" s="25" t="n">
        <f aca="false">(B201/B200-1)/(A201-A200)*30</f>
        <v>0.00545243589644651</v>
      </c>
      <c r="D201" s="19" t="n">
        <f aca="false">+D200*(1+C201)</f>
        <v>102.933045018256</v>
      </c>
      <c r="F201" s="17" t="n">
        <v>44681</v>
      </c>
      <c r="I201" s="25"/>
      <c r="J201" s="18"/>
      <c r="K201" s="3" t="n">
        <v>4999.8366</v>
      </c>
      <c r="L201" s="25" t="n">
        <f aca="false">+(K201/K200-1)/(F201-F200)*30</f>
        <v>0.00457161325790945</v>
      </c>
      <c r="M201" s="19" t="n">
        <f aca="false">+M200*(1+L201)</f>
        <v>101.848100719794</v>
      </c>
    </row>
    <row r="202" customFormat="false" ht="15" hidden="false" customHeight="false" outlineLevel="0" collapsed="false">
      <c r="A202" s="17" t="n">
        <v>44712</v>
      </c>
      <c r="B202" s="3" t="n">
        <v>19680.32</v>
      </c>
      <c r="C202" s="25" t="n">
        <f aca="false">(B202/B201-1)/(A202-A201)*30</f>
        <v>0.00688367669288764</v>
      </c>
      <c r="D202" s="19" t="n">
        <f aca="false">+D201*(1+C202)</f>
        <v>103.641602821176</v>
      </c>
      <c r="F202" s="17" t="n">
        <v>44735</v>
      </c>
      <c r="I202" s="25"/>
      <c r="J202" s="18"/>
      <c r="K202" s="3" t="n">
        <v>5027.3885</v>
      </c>
      <c r="L202" s="25" t="n">
        <f aca="false">+(K202/K201-1)/(F202-F201)*30</f>
        <v>0.00306142226950209</v>
      </c>
      <c r="M202" s="19" t="n">
        <f aca="false">+M201*(1+L202)</f>
        <v>102.159900763444</v>
      </c>
    </row>
    <row r="203" customFormat="false" ht="15" hidden="false" customHeight="false" outlineLevel="0" collapsed="false">
      <c r="A203" s="17" t="n">
        <v>44742</v>
      </c>
      <c r="B203" s="3" t="n">
        <v>19825.16</v>
      </c>
      <c r="C203" s="25" t="n">
        <f aca="false">(B203/B202-1)/(A203-A202)*30</f>
        <v>0.00735963642867587</v>
      </c>
      <c r="D203" s="19" t="n">
        <f aca="false">+D202*(1+C203)</f>
        <v>104.404367336825</v>
      </c>
      <c r="F203" s="17" t="n">
        <v>44742</v>
      </c>
      <c r="I203" s="25"/>
      <c r="J203" s="18"/>
      <c r="K203" s="18" t="n">
        <v>5056.9676</v>
      </c>
      <c r="L203" s="68" t="n">
        <f aca="false">+(K203/K202-1)/(F203-A202)*30</f>
        <v>0.00588359145110817</v>
      </c>
      <c r="M203" s="19" t="n">
        <f aca="false">+M202*(1+L203)</f>
        <v>102.760967882222</v>
      </c>
    </row>
    <row r="204" customFormat="false" ht="15" hidden="false" customHeight="false" outlineLevel="0" collapsed="false">
      <c r="A204" s="17" t="n">
        <v>44773</v>
      </c>
      <c r="B204" s="3" t="n">
        <v>19975.62</v>
      </c>
      <c r="C204" s="25" t="n">
        <f aca="false">(B204/B203-1)/(A204-A203)*30</f>
        <v>0.00734452844834052</v>
      </c>
      <c r="D204" s="19" t="n">
        <f aca="false">+D203*(1+C204)</f>
        <v>105.171168182861</v>
      </c>
      <c r="F204" s="17" t="n">
        <v>44773</v>
      </c>
      <c r="I204" s="25"/>
      <c r="J204" s="18"/>
      <c r="K204" s="3" t="n">
        <v>5089.8979</v>
      </c>
      <c r="L204" s="68" t="n">
        <f aca="false">+(K204/K203-1)/(F204-A203)*30</f>
        <v>0.00630180669104238</v>
      </c>
      <c r="M204" s="19" t="n">
        <f aca="false">+M203*(1+L204)</f>
        <v>103.4085476372</v>
      </c>
    </row>
    <row r="205" customFormat="false" ht="15" hidden="false" customHeight="false" outlineLevel="0" collapsed="false">
      <c r="A205" s="17" t="n">
        <v>44804</v>
      </c>
      <c r="B205" s="3" t="n">
        <v>20154.92</v>
      </c>
      <c r="C205" s="25" t="n">
        <f aca="false">(B205/B204-1)/(A205-A204)*30</f>
        <v>0.00868639516732178</v>
      </c>
      <c r="D205" s="19" t="n">
        <f aca="false">+D204*(1+C205)</f>
        <v>106.084726509906</v>
      </c>
      <c r="F205" s="17" t="n">
        <v>44804</v>
      </c>
      <c r="I205" s="25"/>
      <c r="J205" s="18"/>
      <c r="K205" s="18" t="n">
        <v>5125.6822</v>
      </c>
      <c r="L205" s="68" t="n">
        <f aca="false">+(K205/K204-1)/(F205-A204)*30</f>
        <v>0.00680366648257052</v>
      </c>
      <c r="M205" s="19" t="n">
        <f aca="false">+M204*(1+L205)</f>
        <v>104.112104906771</v>
      </c>
    </row>
    <row r="206" customFormat="false" ht="15" hidden="false" customHeight="false" outlineLevel="0" collapsed="false">
      <c r="A206" s="17" t="n">
        <v>44834</v>
      </c>
      <c r="B206" s="3" t="n">
        <v>20332.28</v>
      </c>
      <c r="C206" s="25" t="n">
        <f aca="false">(B206/B205-1)/(A206-A205)*30</f>
        <v>0.00879983646672877</v>
      </c>
      <c r="D206" s="19" t="n">
        <f aca="false">+D205*(1+C206)</f>
        <v>107.018254754811</v>
      </c>
      <c r="F206" s="17" t="n">
        <v>44834</v>
      </c>
      <c r="I206" s="25"/>
      <c r="J206" s="18"/>
      <c r="K206" s="18" t="n">
        <v>5163.2829</v>
      </c>
      <c r="L206" s="68" t="n">
        <f aca="false">+(K206/K205-1)/(F206-A205)*30</f>
        <v>0.00733574547403659</v>
      </c>
      <c r="M206" s="19" t="n">
        <f aca="false">+M205*(1+L206)</f>
        <v>104.875844809133</v>
      </c>
    </row>
    <row r="207" customFormat="false" ht="15" hidden="false" customHeight="false" outlineLevel="0" collapsed="false">
      <c r="A207" s="17" t="n">
        <v>44862</v>
      </c>
      <c r="B207" s="3" t="n">
        <v>20507.2</v>
      </c>
      <c r="C207" s="25" t="n">
        <f aca="false">(B207/B206-1)/(A207-A206)*30</f>
        <v>0.00921757351926535</v>
      </c>
      <c r="D207" s="19" t="n">
        <f aca="false">+D206*(1+C207)</f>
        <v>108.004703385917</v>
      </c>
      <c r="F207" s="17" t="n">
        <v>44862</v>
      </c>
      <c r="I207" s="25"/>
      <c r="J207" s="18"/>
      <c r="K207" s="18" t="n">
        <v>5200.6767</v>
      </c>
      <c r="L207" s="68" t="n">
        <f aca="false">+(K207/K206-1)/(F207-A206)*30</f>
        <v>0.00775955656318685</v>
      </c>
      <c r="M207" s="19" t="n">
        <f aca="false">+M206*(1+L207)</f>
        <v>105.689634859041</v>
      </c>
    </row>
    <row r="208" customFormat="false" ht="15" hidden="false" customHeight="false" outlineLevel="0" collapsed="false">
      <c r="A208" s="17" t="n">
        <v>44895</v>
      </c>
      <c r="B208" s="3" t="n">
        <v>20719.68</v>
      </c>
      <c r="C208" s="25" t="n">
        <f aca="false">(B208/B207-1)/(A208-A207)*30</f>
        <v>0.00941930816316388</v>
      </c>
      <c r="D208" s="19" t="n">
        <f aca="false">+D207*(1+C208)</f>
        <v>109.02203297018</v>
      </c>
      <c r="F208" s="17" t="n">
        <v>44895</v>
      </c>
      <c r="I208" s="25"/>
      <c r="J208" s="18"/>
      <c r="K208" s="3" t="n">
        <v>5246.14</v>
      </c>
      <c r="L208" s="68" t="n">
        <f aca="false">+(K208/K207-1)/(F208-A207)*30</f>
        <v>0.00794709517845488</v>
      </c>
      <c r="M208" s="19" t="n">
        <f aca="false">+M207*(1+L208)</f>
        <v>106.529560446642</v>
      </c>
    </row>
    <row r="209" customFormat="false" ht="15" hidden="false" customHeight="false" outlineLevel="0" collapsed="false">
      <c r="A209" s="17" t="n">
        <v>44925</v>
      </c>
      <c r="B209" s="3" t="n">
        <v>20914.79</v>
      </c>
      <c r="C209" s="25" t="n">
        <f aca="false">(B209/B208-1)/(A209-A208)*30</f>
        <v>0.00941665122241275</v>
      </c>
      <c r="D209" s="19" t="n">
        <f aca="false">+D208*(1+C209)</f>
        <v>110.048655430219</v>
      </c>
      <c r="F209" s="17" t="n">
        <v>44925</v>
      </c>
      <c r="I209" s="25"/>
      <c r="J209" s="18"/>
      <c r="K209" s="3" t="n">
        <v>5287.7323</v>
      </c>
      <c r="L209" s="68" t="n">
        <f aca="false">+(K209/K208-1)/(F209-A208)*30</f>
        <v>0.00792817195118678</v>
      </c>
      <c r="M209" s="19" t="n">
        <f aca="false">+M208*(1+L209)</f>
        <v>107.374145119748</v>
      </c>
    </row>
    <row r="210" customFormat="false" ht="15" hidden="false" customHeight="false" outlineLevel="0" collapsed="false">
      <c r="A210" s="17" t="n">
        <v>44957</v>
      </c>
      <c r="B210" s="3" t="n">
        <v>21124.92</v>
      </c>
      <c r="C210" s="25" t="n">
        <f aca="false">(B210/B209-1)/(A210-A209)*30</f>
        <v>0.0094190223760314</v>
      </c>
      <c r="D210" s="19" t="n">
        <f aca="false">+D209*(1+C210)</f>
        <v>111.085206178168</v>
      </c>
      <c r="F210" s="17" t="n">
        <v>44957</v>
      </c>
      <c r="I210" s="25"/>
      <c r="J210" s="18"/>
      <c r="K210" s="3" t="n">
        <v>5332.3677</v>
      </c>
      <c r="L210" s="68" t="n">
        <f aca="false">+(K210/K209-1)/(F210-A209)*30</f>
        <v>0.00791373033388998</v>
      </c>
      <c r="M210" s="19" t="n">
        <f aca="false">+M209*(1+L210)</f>
        <v>108.223875149057</v>
      </c>
    </row>
    <row r="211" customFormat="false" ht="15" hidden="false" customHeight="false" outlineLevel="0" collapsed="false">
      <c r="A211" s="17" t="n">
        <v>44985</v>
      </c>
      <c r="B211" s="3" t="n">
        <v>21310.51</v>
      </c>
      <c r="C211" s="25" t="n">
        <f aca="false">(B211/B210-1)/(A211-A210)*30</f>
        <v>0.00941288433619768</v>
      </c>
      <c r="D211" s="19" t="n">
        <f aca="false">+D210*(1+C211)</f>
        <v>112.130838375386</v>
      </c>
      <c r="F211" s="17" t="n">
        <v>45014</v>
      </c>
      <c r="I211" s="25"/>
      <c r="J211" s="18"/>
      <c r="K211" s="3" t="n">
        <v>5371.762</v>
      </c>
      <c r="L211" s="68" t="n">
        <f aca="false">+(K211/K210-1)/(F211-A210)*30</f>
        <v>0.00388829939564426</v>
      </c>
      <c r="M211" s="19" t="n">
        <f aca="false">+M210*(1+L211)</f>
        <v>108.644681977394</v>
      </c>
    </row>
    <row r="212" customFormat="false" ht="15" hidden="false" customHeight="false" outlineLevel="0" collapsed="false">
      <c r="A212" s="17" t="n">
        <v>45016</v>
      </c>
      <c r="B212" s="3" t="n">
        <v>21517.9</v>
      </c>
      <c r="C212" s="25" t="n">
        <f aca="false">(B212/B211-1)/(A212-A211)*30</f>
        <v>0.00941788816879581</v>
      </c>
      <c r="D212" s="19" t="n">
        <f aca="false">+D211*(1+C212)</f>
        <v>113.186874071478</v>
      </c>
      <c r="F212" s="17" t="n">
        <v>45016</v>
      </c>
      <c r="I212" s="25"/>
      <c r="J212" s="18"/>
      <c r="K212" s="3" t="n">
        <v>5415.8662</v>
      </c>
      <c r="L212" s="68" t="n">
        <f aca="false">+(K212/K211-1)/(F212-A211)*30</f>
        <v>0.00794552771901819</v>
      </c>
      <c r="M212" s="19" t="n">
        <f aca="false">+M211*(1+L212)</f>
        <v>109.507921309569</v>
      </c>
    </row>
    <row r="213" customFormat="false" ht="15" hidden="false" customHeight="false" outlineLevel="0" collapsed="false">
      <c r="A213" s="17" t="n">
        <v>45044</v>
      </c>
      <c r="B213" s="3" t="n">
        <v>21706.94</v>
      </c>
      <c r="C213" s="25" t="n">
        <f aca="false">(B213/B212-1)/(A213-A212)*30</f>
        <v>0.00941276133557894</v>
      </c>
      <c r="D213" s="19" t="n">
        <f aca="false">+D212*(1+C213)</f>
        <v>114.252275103434</v>
      </c>
      <c r="F213" s="17" t="n">
        <v>45044</v>
      </c>
      <c r="I213" s="25"/>
      <c r="J213" s="18"/>
      <c r="K213" s="3" t="n">
        <v>5456.2587</v>
      </c>
      <c r="L213" s="68" t="n">
        <f aca="false">+(K213/K212-1)/(F213-A212)*30</f>
        <v>0.00799090615854378</v>
      </c>
      <c r="M213" s="19" t="n">
        <f aca="false">+M212*(1+L213)</f>
        <v>110.382988832371</v>
      </c>
    </row>
    <row r="214" customFormat="false" ht="15" hidden="false" customHeight="false" outlineLevel="0" collapsed="false">
      <c r="A214" s="17" t="n">
        <v>45077</v>
      </c>
      <c r="B214" s="3" t="n">
        <v>21931.86</v>
      </c>
      <c r="C214" s="25" t="n">
        <f aca="false">(B214/B213-1)/(A214-A213)*30</f>
        <v>0.00941969376027792</v>
      </c>
      <c r="D214" s="19" t="n">
        <f aca="false">+D213*(1+C214)</f>
        <v>115.328496546323</v>
      </c>
      <c r="F214" s="17" t="n">
        <v>45077</v>
      </c>
      <c r="I214" s="25"/>
      <c r="J214" s="18"/>
      <c r="K214" s="18" t="n">
        <v>5504.4106</v>
      </c>
      <c r="L214" s="68" t="n">
        <f aca="false">+(K214/K213-1)/(F214-A213)*30</f>
        <v>0.00802279674632251</v>
      </c>
      <c r="M214" s="19" t="n">
        <f aca="false">+M213*(1+L214)</f>
        <v>111.268569116025</v>
      </c>
    </row>
    <row r="215" customFormat="false" ht="15" hidden="false" customHeight="false" outlineLevel="0" collapsed="false">
      <c r="A215" s="17" t="n">
        <v>45107</v>
      </c>
      <c r="B215" s="3" t="n">
        <v>22138.35</v>
      </c>
      <c r="C215" s="25" t="n">
        <f aca="false">(B215/B214-1)/(A215-A214)*30</f>
        <v>0.00941507013085063</v>
      </c>
      <c r="D215" s="19" t="n">
        <f aca="false">+D214*(1+C215)</f>
        <v>116.414322429392</v>
      </c>
      <c r="F215" s="17" t="n">
        <v>45107</v>
      </c>
      <c r="I215" s="25"/>
      <c r="J215" s="18"/>
      <c r="K215" s="3" t="n">
        <v>5548.4618</v>
      </c>
      <c r="L215" s="68" t="n">
        <f aca="false">+(K215/K214-1)/(F215-A214)*30</f>
        <v>0.00800289135407151</v>
      </c>
      <c r="M215" s="19" t="n">
        <f aca="false">+M214*(1+L215)</f>
        <v>112.159039385783</v>
      </c>
    </row>
    <row r="216" customFormat="false" ht="15" hidden="false" customHeight="false" outlineLevel="0" collapsed="false">
      <c r="A216" s="17" t="n">
        <v>45138</v>
      </c>
      <c r="B216" s="3" t="n">
        <v>22353.79</v>
      </c>
      <c r="C216" s="25" t="n">
        <f aca="false">(B216/B215-1)/(A216-A215)*30</f>
        <v>0.00941760892662041</v>
      </c>
      <c r="D216" s="19" t="n">
        <f aca="false">+D215*(1+C216)</f>
        <v>117.51066699149</v>
      </c>
      <c r="F216" s="17" t="n">
        <v>45138</v>
      </c>
      <c r="I216" s="25"/>
      <c r="J216" s="18"/>
      <c r="K216" s="3" t="n">
        <v>5593.984</v>
      </c>
      <c r="L216" s="68" t="n">
        <f aca="false">+(K216/K215-1)/(F216-A215)*30</f>
        <v>0.00793981170339564</v>
      </c>
      <c r="M216" s="19" t="n">
        <f aca="false">+M215*(1+L216)</f>
        <v>113.04956103934</v>
      </c>
    </row>
    <row r="217" customFormat="false" ht="15" hidden="false" customHeight="false" outlineLevel="0" collapsed="false">
      <c r="A217" s="17" t="n">
        <v>45169</v>
      </c>
      <c r="B217" s="3" t="n">
        <v>22551.92</v>
      </c>
      <c r="C217" s="25" t="n">
        <f aca="false">(B217/B216-1)/(A217-A216)*30</f>
        <v>0.00857745866259888</v>
      </c>
      <c r="D217" s="19" t="n">
        <v>100</v>
      </c>
      <c r="F217" s="17" t="n">
        <v>45175</v>
      </c>
      <c r="G217" s="4" t="n">
        <v>1000</v>
      </c>
      <c r="H217" s="4" t="n">
        <f aca="false">+G217+$S$148+$S$150+$S$152+$S$154+$S$156+$S$158</f>
        <v>1002.08</v>
      </c>
      <c r="I217" s="25" t="n">
        <v>0</v>
      </c>
      <c r="J217" s="18" t="n">
        <v>100</v>
      </c>
      <c r="K217" s="18" t="n">
        <v>5636.4775</v>
      </c>
      <c r="L217" s="68" t="n">
        <f aca="false">+(K217/K216-1)/(F217-A216)*30</f>
        <v>0.00615915047114707</v>
      </c>
      <c r="M217" s="19" t="n">
        <v>100</v>
      </c>
    </row>
    <row r="218" customFormat="false" ht="15" hidden="false" customHeight="false" outlineLevel="0" collapsed="false">
      <c r="A218" s="17" t="n">
        <v>45199</v>
      </c>
      <c r="B218" s="3" t="n">
        <v>22727.72</v>
      </c>
      <c r="C218" s="25" t="n">
        <f aca="false">(B218/B217-1)/(A218-A217)*30</f>
        <v>0.00779534514134506</v>
      </c>
      <c r="D218" s="19" t="n">
        <f aca="false">+D217*(1+C218)</f>
        <v>100.779534514135</v>
      </c>
      <c r="F218" s="17" t="n">
        <v>45199</v>
      </c>
      <c r="G218" s="4" t="n">
        <v>1006.767</v>
      </c>
      <c r="H218" s="4" t="n">
        <f aca="false">+G218+$S$148+$S$150+$S$152+$S$154+$S$156+$S$158</f>
        <v>1008.847</v>
      </c>
      <c r="I218" s="25" t="n">
        <f aca="false">+(H218/H217-1)/(F218-F217)*30</f>
        <v>0.00844119231997453</v>
      </c>
      <c r="J218" s="18" t="n">
        <f aca="false">+J217*(1+I218)</f>
        <v>100.844119231997</v>
      </c>
      <c r="K218" s="18" t="n">
        <v>5674.7198</v>
      </c>
      <c r="L218" s="68" t="n">
        <f aca="false">+(K218/K217-1)/(F218-A217)*30</f>
        <v>0.00678478712990516</v>
      </c>
      <c r="M218" s="19" t="n">
        <f aca="false">+M217*(1+L218)</f>
        <v>100.678478712991</v>
      </c>
    </row>
    <row r="219" customFormat="false" ht="15" hidden="false" customHeight="false" outlineLevel="0" collapsed="false">
      <c r="A219" s="17" t="n">
        <v>45230</v>
      </c>
      <c r="B219" s="19" t="n">
        <v>22920</v>
      </c>
      <c r="C219" s="25" t="n">
        <f aca="false">(B219/B218-1)/(A219-A218)*30</f>
        <v>0.0081872453266249</v>
      </c>
      <c r="D219" s="19" t="n">
        <f aca="false">+D218*(1+C219)</f>
        <v>101.604641287105</v>
      </c>
      <c r="F219" s="17" t="n">
        <v>45230</v>
      </c>
      <c r="G219" s="4" t="n">
        <v>1015.801</v>
      </c>
      <c r="H219" s="4" t="n">
        <f aca="false">+G219+$S$148+$S$150+$S$152+$S$154+$S$156+$S$158</f>
        <v>1017.881</v>
      </c>
      <c r="I219" s="25" t="n">
        <f aca="false">+(H219/H218-1)/(F219-F218)*30</f>
        <v>0.00866591331010679</v>
      </c>
      <c r="J219" s="18" t="n">
        <f aca="false">+J218*(1+I219)</f>
        <v>101.718025627096</v>
      </c>
      <c r="K219" s="3" t="n">
        <v>5712.6049</v>
      </c>
      <c r="L219" s="68" t="n">
        <f aca="false">+(K219/K218-1)/(F219-A218)*30</f>
        <v>0.00646075952507835</v>
      </c>
      <c r="M219" s="19" t="n">
        <f aca="false">+M218*(1+L219)</f>
        <v>101.328938153306</v>
      </c>
    </row>
    <row r="220" customFormat="false" ht="15" hidden="false" customHeight="false" outlineLevel="0" collapsed="false">
      <c r="A220" s="17" t="n">
        <v>45260</v>
      </c>
      <c r="B220" s="3" t="n">
        <v>23092.51</v>
      </c>
      <c r="C220" s="25" t="n">
        <f aca="false">(B220/B219-1)/(A220-A219)*30</f>
        <v>0.00752661431064561</v>
      </c>
      <c r="D220" s="19" t="n">
        <f aca="false">+D219*(1+C220)</f>
        <v>102.369380234244</v>
      </c>
      <c r="F220" s="17" t="n">
        <v>45260</v>
      </c>
      <c r="G220" s="4" t="n">
        <v>1023.1428</v>
      </c>
      <c r="H220" s="4" t="n">
        <f aca="false">+G220+$S$148+$S$150+$S$152+$S$154+$S$156+$S$158</f>
        <v>1025.2228</v>
      </c>
      <c r="I220" s="25" t="n">
        <f aca="false">+(H220/H219-1)/(F220-F219)*30</f>
        <v>0.00721282743267615</v>
      </c>
      <c r="J220" s="18" t="n">
        <f aca="false">+J219*(1+I220)</f>
        <v>102.451700192737</v>
      </c>
      <c r="K220" s="18" t="n">
        <v>5747.8492</v>
      </c>
      <c r="L220" s="25" t="n">
        <f aca="false">+(K220/K219-1)/(F220-F219)*30</f>
        <v>0.00616956723192952</v>
      </c>
      <c r="M220" s="19" t="n">
        <f aca="false">+M219*(1+L220)</f>
        <v>101.954093849783</v>
      </c>
    </row>
    <row r="221" customFormat="false" ht="15" hidden="false" customHeight="false" outlineLevel="0" collapsed="false">
      <c r="A221" s="17" t="n">
        <v>45291</v>
      </c>
      <c r="B221" s="3" t="n">
        <v>23256.05</v>
      </c>
      <c r="C221" s="25" t="n">
        <f aca="false">(B221/B220-1)/(A221-A220)*30</f>
        <v>0.00685349994994187</v>
      </c>
      <c r="D221" s="19" t="n">
        <f aca="false">+D220*(1+C221)</f>
        <v>103.070968776555</v>
      </c>
      <c r="F221" s="17" t="n">
        <v>45291</v>
      </c>
      <c r="G221" s="4" t="n">
        <v>1030.4035</v>
      </c>
      <c r="H221" s="4" t="n">
        <f aca="false">+G221+$S$148+$S$150+$S$152+$S$154+$S$156+$S$158</f>
        <v>1032.4835</v>
      </c>
      <c r="I221" s="25" t="n">
        <f aca="false">+(H221/H220-1)/(F221-F220)*30</f>
        <v>0.00685361647338266</v>
      </c>
      <c r="J221" s="18" t="n">
        <f aca="false">+J220*(1+I221)</f>
        <v>103.153864852904</v>
      </c>
      <c r="K221" s="3" t="n">
        <v>5782.92</v>
      </c>
      <c r="L221" s="25" t="n">
        <f aca="false">+(K221/K220-1)/(F221-F220)*30</f>
        <v>0.00590472761028043</v>
      </c>
      <c r="M221" s="19" t="n">
        <f aca="false">+M220*(1+L221)</f>
        <v>102.556105002719</v>
      </c>
    </row>
    <row r="222" customFormat="false" ht="15" hidden="false" customHeight="false" outlineLevel="0" collapsed="false">
      <c r="A222" s="17" t="n">
        <v>45322</v>
      </c>
      <c r="B222" s="3" t="n">
        <v>23427.15</v>
      </c>
      <c r="C222" s="25" t="n">
        <f aca="false">(B222/B221-1)/(A222-A221)*30</f>
        <v>0.00711989547499661</v>
      </c>
      <c r="D222" s="19" t="n">
        <f aca="false">+D221*(1+C222)</f>
        <v>103.804823300751</v>
      </c>
      <c r="F222" s="17" t="n">
        <v>45322</v>
      </c>
      <c r="G222" s="4" t="n">
        <v>1037.9653</v>
      </c>
      <c r="H222" s="4" t="n">
        <f aca="false">+G222+$S$148+$S$150+$S$152+$S$154+$S$156+$S$158</f>
        <v>1040.0453</v>
      </c>
      <c r="I222" s="25" t="n">
        <f aca="false">+(H222/H221-1)/(F222-F221)*30</f>
        <v>0.00708763962595238</v>
      </c>
      <c r="J222" s="18" t="n">
        <f aca="false">+J221*(1+I222)</f>
        <v>103.884982273005</v>
      </c>
      <c r="K222" s="3" t="n">
        <v>5816.8769</v>
      </c>
      <c r="L222" s="25" t="n">
        <f aca="false">+(K222/K221-1)/(F222-F221)*30</f>
        <v>0.00568251266298558</v>
      </c>
      <c r="M222" s="19" t="n">
        <f aca="false">+M221*(1+L222)</f>
        <v>103.138881368063</v>
      </c>
    </row>
    <row r="223" customFormat="false" ht="15" hidden="false" customHeight="false" outlineLevel="0" collapsed="false">
      <c r="A223" s="17" t="n">
        <v>45351</v>
      </c>
      <c r="B223" s="3" t="n">
        <v>23570.34</v>
      </c>
      <c r="C223" s="25" t="n">
        <f aca="false">(B223/B222-1)/(A223-A222)*30</f>
        <v>0.00632290253858852</v>
      </c>
      <c r="D223" s="19" t="n">
        <f aca="false">+D222*(1+C223)</f>
        <v>104.461171081517</v>
      </c>
      <c r="F223" s="17" t="n">
        <v>45351</v>
      </c>
      <c r="G223" s="4" t="n">
        <v>1043.523</v>
      </c>
      <c r="H223" s="4" t="n">
        <f aca="false">+G223+$S$148+$S$150+$S$152+$S$154+$S$156+$S$158</f>
        <v>1045.603</v>
      </c>
      <c r="I223" s="25" t="n">
        <f aca="false">+(H223/H222-1)/(F223-F222)*30</f>
        <v>0.00552797539451998</v>
      </c>
      <c r="J223" s="18" t="n">
        <f aca="false">+J222*(1+I223)</f>
        <v>104.459255898871</v>
      </c>
      <c r="K223" s="3" t="n">
        <v>5846.4552</v>
      </c>
      <c r="L223" s="25" t="n">
        <f aca="false">+(K223/K222-1)/(F223-F222)*30</f>
        <v>0.005260252521299</v>
      </c>
      <c r="M223" s="19" t="n">
        <f aca="false">+M222*(1+L223)</f>
        <v>103.681417928823</v>
      </c>
    </row>
    <row r="224" customFormat="false" ht="15" hidden="false" customHeight="false" outlineLevel="0" collapsed="false">
      <c r="A224" s="17" t="n">
        <v>45379</v>
      </c>
      <c r="B224" s="3" t="n">
        <v>23703.45</v>
      </c>
      <c r="C224" s="25" t="n">
        <f aca="false">(B224/B223-1)/(A224-A223)*30</f>
        <v>0.00605073397935101</v>
      </c>
      <c r="D224" s="19" t="n">
        <f aca="false">+D223*(1+C224)</f>
        <v>105.093237838903</v>
      </c>
      <c r="F224" s="17" t="n">
        <v>45379</v>
      </c>
      <c r="G224" s="4" t="n">
        <v>1050.1281</v>
      </c>
      <c r="H224" s="4" t="n">
        <f aca="false">+G224+$S$148+$S$150+$S$152+$S$154+$S$156+$S$158</f>
        <v>1052.2081</v>
      </c>
      <c r="I224" s="25" t="n">
        <f aca="false">+(H224/H223-1)/(F224-F223)*30</f>
        <v>0.00676824077316428</v>
      </c>
      <c r="J224" s="18" t="n">
        <f aca="false">+J223*(1+I224)</f>
        <v>105.16626129378</v>
      </c>
      <c r="K224" s="3" t="n">
        <v>5872.4728</v>
      </c>
      <c r="L224" s="25" t="n">
        <f aca="false">+(K224/K223-1)/(F224-F223)*30</f>
        <v>0.00476801737914621</v>
      </c>
      <c r="M224" s="19" t="n">
        <f aca="false">+M223*(1+L224)</f>
        <v>104.175772731403</v>
      </c>
    </row>
    <row r="225" customFormat="false" ht="15" hidden="false" customHeight="false" outlineLevel="0" collapsed="false">
      <c r="A225" s="17" t="n">
        <v>45412</v>
      </c>
      <c r="B225" s="3" t="n">
        <v>23847.87</v>
      </c>
      <c r="C225" s="25" t="n">
        <f aca="false">(B225/B224-1)/(A225-A224)*30</f>
        <v>0.00553889451075303</v>
      </c>
      <c r="D225" s="19" t="n">
        <f aca="false">+D224*(1+C225)</f>
        <v>105.675338197086</v>
      </c>
      <c r="F225" s="17" t="n">
        <v>45412</v>
      </c>
      <c r="G225" s="4" t="n">
        <v>1057.0715</v>
      </c>
      <c r="H225" s="4" t="n">
        <f aca="false">+G225+$S$148+$S$150+$S$152+$S$154+$S$156+$S$158</f>
        <v>1059.1515</v>
      </c>
      <c r="I225" s="25" t="n">
        <f aca="false">+(H225/H224-1)/(F225-F224)*30</f>
        <v>0.00599898614939567</v>
      </c>
      <c r="J225" s="18" t="n">
        <f aca="false">+J224*(1+I225)</f>
        <v>105.797152238665</v>
      </c>
      <c r="K225" s="3" t="n">
        <v>5900.1916</v>
      </c>
      <c r="L225" s="25" t="n">
        <f aca="false">+(K225/K224-1)/(F225-F224)*30</f>
        <v>0.00429102184873626</v>
      </c>
      <c r="M225" s="19" t="n">
        <f aca="false">+M224*(1+L225)</f>
        <v>104.622793248302</v>
      </c>
    </row>
    <row r="226" customFormat="false" ht="15" hidden="false" customHeight="false" outlineLevel="0" collapsed="false">
      <c r="A226" s="17" t="n">
        <v>45443</v>
      </c>
      <c r="B226" s="3" t="n">
        <v>23979.37</v>
      </c>
      <c r="C226" s="25" t="n">
        <f aca="false">(B226/B225-1)/(A226-A225)*30</f>
        <v>0.00533624447450137</v>
      </c>
      <c r="D226" s="19" t="n">
        <f aca="false">+D225*(1+C226)</f>
        <v>106.239247636631</v>
      </c>
      <c r="F226" s="17" t="n">
        <v>45443</v>
      </c>
      <c r="G226" s="4" t="n">
        <v>1062.93</v>
      </c>
      <c r="H226" s="4" t="n">
        <f aca="false">+G226+$S$148+$S$150+$S$152+$S$154+$S$156+$S$158</f>
        <v>1065.01</v>
      </c>
      <c r="I226" s="25" t="n">
        <f aca="false">+(H226/H225-1)/(F226-F225)*30</f>
        <v>0.005352884954638</v>
      </c>
      <c r="J226" s="18" t="n">
        <f aca="false">+J225*(1+I226)</f>
        <v>106.363472223127</v>
      </c>
      <c r="K226" s="3" t="n">
        <v>5924.7824</v>
      </c>
      <c r="L226" s="25" t="n">
        <f aca="false">+(K226/K225-1)/(F226-F225)*30</f>
        <v>0.00403335179608358</v>
      </c>
      <c r="M226" s="19" t="n">
        <f aca="false">+M225*(1+L226)</f>
        <v>105.044773779361</v>
      </c>
    </row>
    <row r="227" customFormat="false" ht="15" hidden="false" customHeight="false" outlineLevel="0" collapsed="false">
      <c r="A227" s="17" t="n">
        <v>45473</v>
      </c>
      <c r="B227" s="19" t="n">
        <v>24090</v>
      </c>
      <c r="C227" s="25" t="n">
        <f aca="false">(B227/B226-1)/(A227-A226)*30</f>
        <v>0.00461354906321554</v>
      </c>
      <c r="D227" s="19" t="n">
        <f aca="false">+D226*(1+C227)</f>
        <v>106.729387618042</v>
      </c>
      <c r="F227" s="17" t="n">
        <v>45473</v>
      </c>
      <c r="G227" s="4" t="n">
        <v>1067.9613</v>
      </c>
      <c r="H227" s="4" t="n">
        <f aca="false">+G227+$S$148+$S$150+$S$152+$S$154+$S$156+$S$158</f>
        <v>1070.0413</v>
      </c>
      <c r="I227" s="25" t="n">
        <f aca="false">+(H227/H226-1)/(F227-F226)*30</f>
        <v>0.00472418099360561</v>
      </c>
      <c r="J227" s="18" t="n">
        <f aca="false">+J226*(1+I227)</f>
        <v>106.865952517017</v>
      </c>
      <c r="K227" s="3" t="n">
        <v>5946.409</v>
      </c>
      <c r="L227" s="25" t="n">
        <f aca="false">+(K227/K226-1)/(F227-F226)*30</f>
        <v>0.00365019312776771</v>
      </c>
      <c r="M227" s="19" t="n">
        <f aca="false">+M226*(1+L227)</f>
        <v>105.428207490719</v>
      </c>
    </row>
    <row r="228" customFormat="false" ht="15" hidden="false" customHeight="false" outlineLevel="0" collapsed="false">
      <c r="A228" s="17" t="n">
        <v>45504</v>
      </c>
      <c r="B228" s="3" t="n">
        <v>24217.3</v>
      </c>
      <c r="C228" s="25" t="n">
        <f aca="false">(B228/B227-1)/(A228-A227)*30</f>
        <v>0.00511388743823562</v>
      </c>
      <c r="D228" s="19" t="n">
        <f aca="false">+D227*(1+C228)</f>
        <v>107.275189692672</v>
      </c>
      <c r="F228" s="17" t="n">
        <v>45504</v>
      </c>
      <c r="G228" s="4" t="n">
        <v>1072.2136</v>
      </c>
      <c r="H228" s="4" t="n">
        <f aca="false">+G228+$S$148+$S$150+$S$152+$S$154+$S$156+$S$158</f>
        <v>1074.2936</v>
      </c>
      <c r="I228" s="25" t="n">
        <f aca="false">+(H228/H227-1)/(F228-F227)*30</f>
        <v>0.00384576654401861</v>
      </c>
      <c r="J228" s="18" t="n">
        <f aca="false">+J227*(1+I228)</f>
        <v>107.276934021902</v>
      </c>
      <c r="K228" s="3" t="n">
        <v>5968.019</v>
      </c>
      <c r="L228" s="25" t="n">
        <f aca="false">+(K228/K227-1)/(F228-F227)*30</f>
        <v>0.00351689620169189</v>
      </c>
      <c r="M228" s="19" t="n">
        <f aca="false">+M227*(1+L228)</f>
        <v>105.798987553194</v>
      </c>
    </row>
    <row r="229" customFormat="false" ht="15" hidden="false" customHeight="false" outlineLevel="0" collapsed="false">
      <c r="A229" s="17" t="n">
        <v>45535</v>
      </c>
      <c r="B229" s="3" t="n">
        <v>24333.6</v>
      </c>
      <c r="C229" s="25" t="n">
        <f aca="false">(B229/B228-1)/(A229-A228)*30</f>
        <v>0.004647437455735</v>
      </c>
      <c r="D229" s="19" t="n">
        <f aca="false">+D228*(1+C229)</f>
        <v>107.773744427321</v>
      </c>
      <c r="F229" s="17" t="n">
        <v>45535</v>
      </c>
      <c r="G229" s="4" t="n">
        <v>1077.2256</v>
      </c>
      <c r="H229" s="4" t="n">
        <f aca="false">+G229+$S$148+$S$150+$S$152+$S$154+$S$156+$S$158</f>
        <v>1079.3056</v>
      </c>
      <c r="I229" s="25" t="n">
        <f aca="false">+(H229/H228-1)/(F229-F228)*30</f>
        <v>0.00451489479286215</v>
      </c>
      <c r="J229" s="18" t="n">
        <f aca="false">+J228*(1+I229)</f>
        <v>107.761278092711</v>
      </c>
      <c r="K229" s="3" t="n">
        <v>5989.669</v>
      </c>
      <c r="L229" s="25" t="n">
        <f aca="false">+(K229/K228-1)/(F229-F228)*30</f>
        <v>0.00351064782186953</v>
      </c>
      <c r="M229" s="19" t="n">
        <f aca="false">+M228*(1+L229)</f>
        <v>106.170410538404</v>
      </c>
    </row>
    <row r="230" customFormat="false" ht="15" hidden="false" customHeight="false" outlineLevel="0" collapsed="false">
      <c r="A230" s="17" t="n">
        <v>45565</v>
      </c>
      <c r="B230" s="3" t="n">
        <v>24449.94</v>
      </c>
      <c r="C230" s="25" t="n">
        <f aca="false">(B230/B229-1)/(A230-A229)*30</f>
        <v>0.00478104349541386</v>
      </c>
      <c r="D230" s="19" t="n">
        <f aca="false">+D229*(1+C230)</f>
        <v>108.289015387092</v>
      </c>
      <c r="F230" s="17" t="n">
        <v>45565</v>
      </c>
      <c r="G230" s="4" t="n">
        <v>1083.1571</v>
      </c>
      <c r="H230" s="4" t="n">
        <f aca="false">+G230+$S$148+$S$150+$S$152+$S$154+$S$156+$S$158</f>
        <v>1085.2371</v>
      </c>
      <c r="I230" s="25" t="n">
        <f aca="false">+(H230/H229-1)/(F230-F229)*30</f>
        <v>0.00549566313748384</v>
      </c>
      <c r="J230" s="18" t="n">
        <f aca="false">+J229*(1+I230)</f>
        <v>108.353497776374</v>
      </c>
      <c r="K230" s="3" t="n">
        <v>6009.8868</v>
      </c>
      <c r="L230" s="25" t="n">
        <f aca="false">+(K230/K229-1)/(F230-F229)*30</f>
        <v>0.0033754452875443</v>
      </c>
      <c r="M230" s="19" t="n">
        <f aca="false">+M229*(1+L230)</f>
        <v>106.528782950332</v>
      </c>
    </row>
    <row r="231" customFormat="false" ht="15" hidden="false" customHeight="false" outlineLevel="0" collapsed="false">
      <c r="A231" s="17" t="n">
        <v>45596</v>
      </c>
      <c r="B231" s="3" t="n">
        <v>24560.22</v>
      </c>
      <c r="C231" s="25" t="n">
        <f aca="false">(B231/B230-1)/(A231-A230)*30</f>
        <v>0.00436494243524368</v>
      </c>
      <c r="D231" s="19" t="n">
        <f aca="false">+D230*(1+C231)</f>
        <v>108.761690705626</v>
      </c>
      <c r="F231" s="17" t="n">
        <v>45596</v>
      </c>
      <c r="G231" s="4" t="n">
        <v>1088.07</v>
      </c>
      <c r="H231" s="4" t="n">
        <f aca="false">+G231+$S$148+$S$150+$S$152+$S$154+$S$156+$S$158</f>
        <v>1090.15</v>
      </c>
      <c r="I231" s="25" t="n">
        <f aca="false">+(H231/H230-1)/(F231-F230)*30</f>
        <v>0.00438099596377492</v>
      </c>
      <c r="J231" s="18" t="n">
        <f aca="false">+J230*(1+I231)</f>
        <v>108.828194012793</v>
      </c>
      <c r="K231" s="3" t="n">
        <v>6030.3854</v>
      </c>
      <c r="L231" s="25" t="n">
        <f aca="false">+(K231/K230-1)/(F231-F230)*30</f>
        <v>0.00330078677001207</v>
      </c>
      <c r="M231" s="19" t="n">
        <f aca="false">+M230*(1+L231)</f>
        <v>106.88041174772</v>
      </c>
    </row>
    <row r="232" customFormat="false" ht="15" hidden="false" customHeight="false" outlineLevel="0" collapsed="false">
      <c r="A232" s="17" t="n">
        <v>45626</v>
      </c>
      <c r="B232" s="3" t="n">
        <v>24667.9</v>
      </c>
      <c r="C232" s="25" t="n">
        <f aca="false">(B232/B231-1)/(A232-A231)*30</f>
        <v>0.0043843255475724</v>
      </c>
      <c r="D232" s="19" t="n">
        <f aca="false">+D231*(1+C232)</f>
        <v>109.238537364784</v>
      </c>
      <c r="F232" s="17" t="n">
        <v>45626</v>
      </c>
      <c r="G232" s="4" t="n">
        <v>1091.1126</v>
      </c>
      <c r="H232" s="4" t="n">
        <f aca="false">+G232+$S$148+$S$150+$S$152+$S$154+$S$156+$S$158</f>
        <v>1093.1926</v>
      </c>
      <c r="I232" s="25" t="n">
        <f aca="false">+(H232/H231-1)/(F232-F231)*30</f>
        <v>0.00279099206531219</v>
      </c>
      <c r="J232" s="18" t="n">
        <f aca="false">+J231*(1+I232)</f>
        <v>109.131932638765</v>
      </c>
      <c r="K232" s="3" t="n">
        <v>6049.8055</v>
      </c>
      <c r="L232" s="25" t="n">
        <f aca="false">+(K232/K231-1)/(F232-F231)*30</f>
        <v>0.00322037460491331</v>
      </c>
      <c r="M232" s="19" t="n">
        <f aca="false">+M231*(1+L232)</f>
        <v>107.224606711475</v>
      </c>
    </row>
    <row r="233" customFormat="false" ht="15" hidden="false" customHeight="false" outlineLevel="0" collapsed="false">
      <c r="A233" s="17" t="n">
        <v>45657</v>
      </c>
      <c r="B233" s="3" t="n">
        <v>24777.58</v>
      </c>
      <c r="C233" s="25" t="n">
        <f aca="false">(B233/B232-1)/(A233-A232)*30</f>
        <v>0.00430283629672052</v>
      </c>
      <c r="D233" s="19" t="n">
        <f aca="false">+D232*(1+C233)</f>
        <v>109.708572908357</v>
      </c>
      <c r="F233" s="17" t="n">
        <v>45657</v>
      </c>
      <c r="G233" s="4" t="n">
        <v>1095.6831</v>
      </c>
      <c r="H233" s="4" t="n">
        <f aca="false">+G233+$S$148+$S$150+$S$152+$S$154+$S$156+$S$158</f>
        <v>1097.7631</v>
      </c>
      <c r="I233" s="25" t="n">
        <f aca="false">+(H233/H232-1)/(F233-F232)*30</f>
        <v>0.0040460066379236</v>
      </c>
      <c r="J233" s="18" t="n">
        <f aca="false">+J232*(1+I233)</f>
        <v>109.573481162631</v>
      </c>
      <c r="K233" s="3" t="n">
        <v>6069.3455</v>
      </c>
      <c r="L233" s="25" t="n">
        <f aca="false">+(K233/K232-1)/(F233-F232)*30</f>
        <v>0.00312566700191516</v>
      </c>
      <c r="M233" s="19" t="n">
        <f aca="false">+M232*(1+L233)</f>
        <v>107.559755126466</v>
      </c>
    </row>
    <row r="234" customFormat="false" ht="15" hidden="false" customHeight="false" outlineLevel="0" collapsed="false">
      <c r="A234" s="17" t="n">
        <v>45688</v>
      </c>
      <c r="B234" s="3" t="n">
        <v>24887.95</v>
      </c>
      <c r="C234" s="25" t="n">
        <f aca="false">(B234/B233-1)/(A234-A233)*30</f>
        <v>0.00431073887842782</v>
      </c>
      <c r="D234" s="19" t="n">
        <f aca="false">+D233*(1+C234)</f>
        <v>110.18149791889</v>
      </c>
      <c r="F234" s="17" t="n">
        <v>45688</v>
      </c>
      <c r="G234" s="4" t="n">
        <v>1099.4191</v>
      </c>
      <c r="H234" s="4" t="n">
        <f aca="false">+G234+$S$148+$S$150+$S$152+$S$154+$S$156+$S$158</f>
        <v>1101.4991</v>
      </c>
      <c r="I234" s="25" t="n">
        <f aca="false">+(H234/H233-1)/(F234-F233)*30</f>
        <v>0.00329350100305609</v>
      </c>
      <c r="J234" s="18" t="n">
        <f aca="false">+J233*(1+I234)</f>
        <v>109.934361532748</v>
      </c>
      <c r="K234" s="3" t="n">
        <v>6087.6762</v>
      </c>
      <c r="L234" s="25" t="n">
        <f aca="false">+(K234/K233-1)/(F234-F233)*30</f>
        <v>0.00292278419423869</v>
      </c>
      <c r="M234" s="19" t="n">
        <f aca="false">+M233*(1+L234)</f>
        <v>107.874129078686</v>
      </c>
    </row>
    <row r="235" customFormat="false" ht="15" hidden="false" customHeight="false" outlineLevel="0" collapsed="false">
      <c r="A235" s="17" t="n">
        <v>45716</v>
      </c>
      <c r="B235" s="3" t="n">
        <v>24984.92</v>
      </c>
      <c r="C235" s="25" t="n">
        <f aca="false">(B235/B234-1)/(A235-A234)*30</f>
        <v>0.0041745675546369</v>
      </c>
      <c r="D235" s="19" t="n">
        <f aca="false">+D234*(1+C235)</f>
        <v>110.641458025224</v>
      </c>
      <c r="F235" s="17" t="n">
        <v>45716</v>
      </c>
      <c r="G235" s="4" t="n">
        <v>1103.7474</v>
      </c>
      <c r="H235" s="4" t="n">
        <f aca="false">+G235+$S$148+$S$150+$S$152+$S$154+$S$156+$S$158</f>
        <v>1105.8274</v>
      </c>
      <c r="I235" s="25" t="n">
        <f aca="false">+(H235/H234-1)/(F235-F234)*30</f>
        <v>0.00421013896944108</v>
      </c>
      <c r="J235" s="18" t="n">
        <f aca="false">+J234*(1+I235)</f>
        <v>110.397200472318</v>
      </c>
      <c r="K235" s="3" t="n">
        <v>6104.4912</v>
      </c>
      <c r="L235" s="25" t="n">
        <f aca="false">+(K235/K234-1)/(F235-F234)*30</f>
        <v>0.00295943326101547</v>
      </c>
      <c r="M235" s="19" t="n">
        <f aca="false">+M234*(1+L235)</f>
        <v>108.193375364285</v>
      </c>
    </row>
    <row r="236" customFormat="false" ht="15" hidden="false" customHeight="false" outlineLevel="0" collapsed="false">
      <c r="A236" s="17" t="n">
        <v>45747</v>
      </c>
      <c r="B236" s="3" t="n">
        <v>25092.7</v>
      </c>
      <c r="C236" s="25" t="n">
        <f aca="false">(B236/B235-1)/(A236-A235)*30</f>
        <v>0.00417464717943687</v>
      </c>
      <c r="D236" s="19" t="n">
        <f aca="false">+D235*(1+C236)</f>
        <v>111.103347075898</v>
      </c>
      <c r="F236" s="17" t="n">
        <v>45747</v>
      </c>
      <c r="G236" s="4" t="n">
        <v>1109.3763</v>
      </c>
      <c r="H236" s="4" t="n">
        <f aca="false">+G236+$S$148+$S$150+$S$152+$S$154+$S$156+$S$158</f>
        <v>1111.4563</v>
      </c>
      <c r="I236" s="25" t="n">
        <f aca="false">+(H236/H235-1)/(F236-F235)*30</f>
        <v>0.00492601519970036</v>
      </c>
      <c r="J236" s="18" t="n">
        <f aca="false">+J235*(1+I236)</f>
        <v>110.941018759849</v>
      </c>
      <c r="K236" s="3" t="n">
        <v>6123.1882</v>
      </c>
      <c r="L236" s="25" t="n">
        <f aca="false">+(K236/K235-1)/(F236-F235)*30</f>
        <v>0.00296402605474173</v>
      </c>
      <c r="M236" s="19" t="n">
        <f aca="false">+M235*(1+L236)</f>
        <v>108.514063347815</v>
      </c>
    </row>
    <row r="237" customFormat="false" ht="15" hidden="false" customHeight="false" outlineLevel="0" collapsed="false">
      <c r="A237" s="17" t="n">
        <v>45777</v>
      </c>
      <c r="B237" s="3" t="n">
        <v>25197.48</v>
      </c>
      <c r="C237" s="25" t="n">
        <f aca="false">(B237/B236-1)/(A237-A236)*30</f>
        <v>0.00417571644342774</v>
      </c>
      <c r="D237" s="19" t="n">
        <f aca="false">+D236*(1+C237)</f>
        <v>111.567283149202</v>
      </c>
      <c r="F237" s="17" t="n">
        <v>45777</v>
      </c>
      <c r="G237" s="4" t="n">
        <v>1114.9823</v>
      </c>
      <c r="H237" s="4" t="n">
        <f aca="false">+G237+$S$148+$S$150+$S$152+$S$154+$S$156+$S$158</f>
        <v>1117.0623</v>
      </c>
      <c r="I237" s="25" t="n">
        <f aca="false">+(H237/H236-1)/(F237-F236)*30</f>
        <v>0.00504383303239186</v>
      </c>
      <c r="J237" s="18" t="n">
        <f aca="false">+J236*(1+I237)</f>
        <v>111.500586734917</v>
      </c>
      <c r="K237" s="4" t="n">
        <v>6141.4105</v>
      </c>
      <c r="L237" s="25" t="n">
        <f aca="false">+(K237/K236-1)/(F237-F236)*30</f>
        <v>0.00297594968581905</v>
      </c>
      <c r="M237" s="19" t="n">
        <f aca="false">+M236*(1+L237)</f>
        <v>108.836995740542</v>
      </c>
    </row>
    <row r="238" customFormat="false" ht="15" hidden="false" customHeight="false" outlineLevel="0" collapsed="false">
      <c r="A238" s="17" t="n">
        <v>45808</v>
      </c>
      <c r="B238" s="3" t="n">
        <v>25302.66</v>
      </c>
      <c r="C238" s="25" t="n">
        <f aca="false">(B238/B237-1)/(A238-A237)*30</f>
        <v>0.00403957446435886</v>
      </c>
      <c r="D238" s="19" t="n">
        <f aca="false">+D237*(1+C238)</f>
        <v>112.01796749727</v>
      </c>
      <c r="F238" s="17" t="n">
        <v>45808</v>
      </c>
      <c r="G238" s="4" t="n">
        <v>1121.5682</v>
      </c>
      <c r="H238" s="4" t="n">
        <f aca="false">+G238+$S$148+$S$150+$S$152+$S$154+$S$156+$S$158</f>
        <v>1123.6482</v>
      </c>
      <c r="I238" s="25" t="n">
        <f aca="false">+(H238/H237-1)/(F238-F237)*30</f>
        <v>0.00570554714173343</v>
      </c>
      <c r="J238" s="18" t="n">
        <f aca="false">+J237*(1+I238)</f>
        <v>112.136758588864</v>
      </c>
      <c r="K238" s="3" t="n">
        <v>6160.386</v>
      </c>
      <c r="L238" s="25" t="n">
        <f aca="false">+(K238/K237-1)/(F238-F237)*30</f>
        <v>0.00299009276399519</v>
      </c>
      <c r="M238" s="19" t="n">
        <f aca="false">+M237*(1+L238)</f>
        <v>109.162428453961</v>
      </c>
    </row>
    <row r="239" customFormat="false" ht="15" hidden="false" customHeight="false" outlineLevel="0" collapsed="false">
      <c r="A239" s="17" t="n">
        <v>45838</v>
      </c>
      <c r="B239" s="3" t="n">
        <v>25411.83</v>
      </c>
      <c r="C239" s="25" t="n">
        <f aca="false">(B239/B238-1)/(A239-A238)*30</f>
        <v>0.00431456613652492</v>
      </c>
      <c r="D239" s="19" t="n">
        <f aca="false">+D238*(1+C239)</f>
        <v>112.501276426516</v>
      </c>
      <c r="F239" s="17" t="n">
        <v>45838</v>
      </c>
      <c r="G239" s="4" t="n">
        <v>1128.0511</v>
      </c>
      <c r="H239" s="4" t="n">
        <f aca="false">+G239+$S$148+$S$150+$S$152+$S$154+$S$156+$S$158</f>
        <v>1130.1311</v>
      </c>
      <c r="I239" s="25" t="n">
        <f aca="false">+(H239/H238-1)/(F239-F238)*30</f>
        <v>0.00576951042150031</v>
      </c>
      <c r="J239" s="18" t="n">
        <f aca="false">+J238*(1+I239)</f>
        <v>112.783732786176</v>
      </c>
      <c r="K239" s="3" t="n">
        <v>6178.849</v>
      </c>
      <c r="L239" s="25" t="n">
        <f aca="false">+(K239/K238-1)/(F239-F238)*30</f>
        <v>0.00299705245742721</v>
      </c>
      <c r="M239" s="19" t="n">
        <f aca="false">+M238*(1+L239)</f>
        <v>109.489593978417</v>
      </c>
    </row>
    <row r="240" customFormat="false" ht="15" hidden="false" customHeight="false" outlineLevel="0" collapsed="false">
      <c r="A240" s="17" t="n">
        <v>45869</v>
      </c>
      <c r="B240" s="3" t="n">
        <v>25521.26</v>
      </c>
      <c r="C240" s="25" t="n">
        <f aca="false">(B240/B239-1)/(A240-A239)*30</f>
        <v>0.00416735040333568</v>
      </c>
      <c r="D240" s="19" t="n">
        <f aca="false">+D239*(1+C240)</f>
        <v>112.970108666208</v>
      </c>
      <c r="F240" s="17" t="n">
        <v>45869</v>
      </c>
      <c r="G240" s="4" t="n">
        <v>1136.0265</v>
      </c>
      <c r="H240" s="4" t="n">
        <f aca="false">+G240+$S$148+$S$150+$S$152+$S$154+$S$156+$S$158</f>
        <v>1138.1065</v>
      </c>
      <c r="I240" s="25" t="n">
        <f aca="false">+(H240/H239-1)/(F240-F239)*30</f>
        <v>0.00682941035093899</v>
      </c>
      <c r="J240" s="18" t="n">
        <f aca="false">+J239*(1+I240)</f>
        <v>113.553979178283</v>
      </c>
      <c r="K240" s="3" t="n">
        <v>6197.08</v>
      </c>
      <c r="L240" s="25" t="n">
        <f aca="false">+(K240/K239-1)/(F240-F239)*30</f>
        <v>0.00285537051088415</v>
      </c>
      <c r="M240" s="19" t="n">
        <f aca="false">+M239*(1+L240)</f>
        <v>109.802227336312</v>
      </c>
    </row>
    <row r="241" customFormat="false" ht="15" hidden="false" customHeight="false" outlineLevel="0" collapsed="false">
      <c r="A241" s="17" t="n">
        <v>45900</v>
      </c>
      <c r="B241" s="3" t="n">
        <v>25619.09</v>
      </c>
      <c r="C241" s="25" t="n">
        <f aca="false">(B241/B240-1)/(A241-A240)*30</f>
        <v>0.00370962066717663</v>
      </c>
      <c r="D241" s="19" t="n">
        <f aca="false">+D240*(1+C241)</f>
        <v>113.389184916089</v>
      </c>
      <c r="F241" s="17" t="n">
        <v>45900</v>
      </c>
      <c r="G241" s="4" t="n">
        <v>1143.5864</v>
      </c>
      <c r="H241" s="4" t="n">
        <f aca="false">+G241+$S$148+$S$150+$S$152+$S$154+$S$156+$S$158</f>
        <v>1145.6664</v>
      </c>
      <c r="I241" s="25" t="n">
        <f aca="false">+(H241/H240-1)/(F241-F240)*30</f>
        <v>0.00642824925265304</v>
      </c>
      <c r="J241" s="18" t="n">
        <f aca="false">+J240*(1+I241)</f>
        <v>114.283932460072</v>
      </c>
      <c r="K241" s="3" t="n">
        <v>6215.6746</v>
      </c>
      <c r="L241" s="25" t="n">
        <f aca="false">+(K241/K240-1)/(F241-F240)*30</f>
        <v>0.00290375050726291</v>
      </c>
      <c r="M241" s="19" t="n">
        <f aca="false">+M240*(1+L241)</f>
        <v>110.121065609638</v>
      </c>
    </row>
    <row r="242" customFormat="false" ht="15" hidden="false" customHeight="false" outlineLevel="0" collapsed="false">
      <c r="A242" s="17" t="n">
        <v>45930</v>
      </c>
      <c r="B242" s="3" t="n">
        <v>25727.46</v>
      </c>
      <c r="C242" s="25" t="n">
        <f aca="false">(B242/B241-1)/(A242-A241)*30</f>
        <v>0.00423004876441735</v>
      </c>
      <c r="D242" s="19" t="n">
        <f aca="false">+D241*(1+C242)</f>
        <v>113.868826697642</v>
      </c>
      <c r="F242" s="17" t="n">
        <v>45930</v>
      </c>
      <c r="G242" s="4" t="n">
        <v>1150.4994</v>
      </c>
      <c r="H242" s="4" t="n">
        <f aca="false">+G242+$S$148+$S$150+$S$152+$S$154+$S$156+$S$158</f>
        <v>1152.5794</v>
      </c>
      <c r="I242" s="25" t="n">
        <f aca="false">+(H242/H241-1)/(F242-F241)*30</f>
        <v>0.00603404271959107</v>
      </c>
      <c r="J242" s="18" t="n">
        <f aca="false">+J241*(1+I242)</f>
        <v>114.973526590699</v>
      </c>
      <c r="K242" s="3" t="n">
        <v>6232.8399</v>
      </c>
      <c r="L242" s="25" t="n">
        <f aca="false">+(K242/K241-1)/(F242-F241)*30</f>
        <v>0.00276161496613736</v>
      </c>
      <c r="M242" s="19" t="n">
        <f aca="false">+M241*(1+L242)</f>
        <v>110.425177592513</v>
      </c>
    </row>
    <row r="243" customFormat="false" ht="15" hidden="false" customHeight="false" outlineLevel="0" collapsed="false">
      <c r="A243" s="17" t="n">
        <v>45961</v>
      </c>
      <c r="B243" s="3" t="n">
        <v>25829.5</v>
      </c>
      <c r="C243" s="25" t="n">
        <f aca="false">(B243/B242-1)/(A243-A242)*30</f>
        <v>0.00383824859106876</v>
      </c>
      <c r="D243" s="19" t="n">
        <f aca="false">+D242*(1+C243)</f>
        <v>114.30588356128</v>
      </c>
      <c r="F243" s="17" t="n">
        <v>45961</v>
      </c>
      <c r="G243" s="4" t="n">
        <v>1157.2054</v>
      </c>
      <c r="H243" s="4" t="n">
        <f aca="false">+G243+$S$148+$S$150+$S$152+$S$154+$S$156+$S$158</f>
        <v>1159.2854</v>
      </c>
      <c r="I243" s="25" t="n">
        <f aca="false">+(H243/H242-1)/(F243-F242)*30</f>
        <v>0.0056305686353191</v>
      </c>
      <c r="J243" s="18" t="n">
        <f aca="false">+J242*(1+I243)</f>
        <v>115.620892923412</v>
      </c>
      <c r="K243" s="3" t="n">
        <v>6250.6982</v>
      </c>
      <c r="L243" s="25" t="n">
        <f aca="false">+(K243/K242-1)/(F243-F242)*30</f>
        <v>0.00277276908820515</v>
      </c>
      <c r="M243" s="19" t="n">
        <f aca="false">+M242*(1+L243)</f>
        <v>110.731361111501</v>
      </c>
    </row>
    <row r="244" customFormat="false" ht="15" hidden="false" customHeight="false" outlineLevel="0" collapsed="false">
      <c r="A244" s="17" t="n">
        <v>45991</v>
      </c>
      <c r="B244" s="3" t="n">
        <v>25928.49</v>
      </c>
      <c r="C244" s="25" t="n">
        <f aca="false">(B244/B243-1)/(A244-A243)*30</f>
        <v>0.00383243965233548</v>
      </c>
      <c r="D244" s="19" t="n">
        <f aca="false">+D243*(1+C244)</f>
        <v>114.743953961936</v>
      </c>
      <c r="F244" s="17" t="n">
        <v>45991</v>
      </c>
      <c r="G244" s="4" t="n">
        <v>1166.3748</v>
      </c>
      <c r="H244" s="4" t="n">
        <f aca="false">+G244+$S$148+$S$150+$S$152+$S$154+$S$156+$S$158</f>
        <v>1168.4548</v>
      </c>
      <c r="I244" s="25" t="n">
        <f aca="false">+(H244/H243-1)/(F244-F243)*30</f>
        <v>0.00790952771422804</v>
      </c>
      <c r="J244" s="18" t="n">
        <f aca="false">+J243*(1+I244)</f>
        <v>116.535399580334</v>
      </c>
      <c r="K244" s="3" t="n">
        <v>6268.169</v>
      </c>
      <c r="L244" s="25" t="n">
        <f aca="false">+(K244/K243-1)/(F244-F243)*30</f>
        <v>0.00279501576319907</v>
      </c>
      <c r="M244" s="19" t="n">
        <f aca="false">+M243*(1+L244)</f>
        <v>111.040857011288</v>
      </c>
    </row>
    <row r="245" customFormat="false" ht="15" hidden="false" customHeight="false" outlineLevel="0" collapsed="false">
      <c r="A245" s="17" t="n">
        <v>46022</v>
      </c>
      <c r="B245" s="3" t="n">
        <v>26035.82</v>
      </c>
      <c r="C245" s="25" t="n">
        <f aca="false">(B245/B244-1)/(A245-A244)*30</f>
        <v>0.00400593100236385</v>
      </c>
      <c r="D245" s="19" t="n">
        <f aca="false">+D244*(1+C245)</f>
        <v>115.203610324446</v>
      </c>
      <c r="F245" s="17" t="n">
        <v>46022</v>
      </c>
      <c r="G245" s="69" t="n">
        <v>1174.132</v>
      </c>
      <c r="H245" s="4" t="n">
        <f aca="false">+G245+$S$148+$S$150+$S$152+$S$154+$S$156+$S$158</f>
        <v>1176.212</v>
      </c>
      <c r="I245" s="25" t="n">
        <f aca="false">+(H245/H244-1)/(F245-F244)*30</f>
        <v>0.00642469673789304</v>
      </c>
      <c r="J245" s="18" t="n">
        <f aca="false">+J244*(1+I245)</f>
        <v>117.284104181867</v>
      </c>
      <c r="K245" s="3" t="n">
        <v>6285.9566</v>
      </c>
      <c r="L245" s="25" t="n">
        <f aca="false">+(K245/K244-1)/(F245-F244)*30</f>
        <v>0.00274622564446067</v>
      </c>
      <c r="M245" s="19" t="n">
        <f aca="false">+M244*(1+L245)</f>
        <v>111.345800260395</v>
      </c>
    </row>
    <row r="246" customFormat="false" ht="15.75" hidden="false" customHeight="true" outlineLevel="0" collapsed="false">
      <c r="A246" s="17" t="n">
        <v>46053</v>
      </c>
      <c r="B246" s="3" t="n">
        <v>26136.9</v>
      </c>
      <c r="C246" s="25" t="n">
        <f aca="false">(B246/B245-1)/(A246-A245)*30</f>
        <v>0.00375710674135526</v>
      </c>
      <c r="D246" s="19" t="n">
        <f aca="false">+D245*(1+C246)</f>
        <v>115.636442585424</v>
      </c>
      <c r="F246" s="17" t="n">
        <v>46053</v>
      </c>
      <c r="G246" s="70" t="n">
        <v>1182.5751</v>
      </c>
      <c r="H246" s="4" t="n">
        <f aca="false">+G246+$S$148+$S$150+$S$152+$S$154+$S$156+$S$158</f>
        <v>1184.6551</v>
      </c>
      <c r="I246" s="25" t="n">
        <f aca="false">+(H246/H245-1)/(F246-F245)*30</f>
        <v>0.00694665752048423</v>
      </c>
      <c r="J246" s="18" t="n">
        <f aca="false">+J245*(1+I246)</f>
        <v>118.098836686215</v>
      </c>
      <c r="K246" s="3" t="n">
        <v>6303.0823</v>
      </c>
      <c r="L246" s="25" t="n">
        <f aca="false">+(K246/K245-1)/(F246-F245)*30</f>
        <v>0.00263655305296194</v>
      </c>
      <c r="M246" s="19" t="n">
        <f aca="false">+M245*(1+L246)</f>
        <v>111.639369370006</v>
      </c>
    </row>
    <row r="247" customFormat="false" ht="16.5" hidden="false" customHeight="true" outlineLevel="0" collapsed="false">
      <c r="A247" s="71" t="n">
        <v>46081</v>
      </c>
      <c r="B247" s="72" t="n">
        <v>26231.81</v>
      </c>
      <c r="C247" s="25" t="n">
        <f aca="false">(B247/B246-1)/(A247-A246)*30</f>
        <v>0.00389064065418173</v>
      </c>
      <c r="D247" s="19" t="n">
        <f aca="false">+D246*(1+C247)</f>
        <v>116.086342430052</v>
      </c>
      <c r="F247" s="71" t="n">
        <v>46081</v>
      </c>
      <c r="G247" s="69" t="n">
        <v>1189.2438</v>
      </c>
      <c r="H247" s="4" t="n">
        <f aca="false">+G247+$S$148+$S$150+$S$152+$S$154+$S$156+$S$158</f>
        <v>1191.3238</v>
      </c>
      <c r="I247" s="25" t="n">
        <f aca="false">+(H247/H246-1)/(F247-F246)*30</f>
        <v>0.0060313214489902</v>
      </c>
      <c r="J247" s="18" t="n">
        <f aca="false">+J246*(1+I247)</f>
        <v>118.811128733021</v>
      </c>
      <c r="K247" s="73" t="n">
        <v>6318.4947</v>
      </c>
      <c r="L247" s="25" t="n">
        <f aca="false">+(K247/K246-1)/(F247-F246)*30</f>
        <v>0.00261987467850238</v>
      </c>
      <c r="M247" s="19" t="n">
        <f aca="false">+M246*(1+L247)</f>
        <v>111.931850526943</v>
      </c>
    </row>
    <row r="248" customFormat="false" ht="16.5" hidden="false" customHeight="true" outlineLevel="0" collapsed="false">
      <c r="A248" s="71" t="n">
        <v>46112</v>
      </c>
      <c r="B248" s="72" t="n">
        <v>26333.64</v>
      </c>
      <c r="C248" s="25" t="n">
        <f aca="false">(B248/B247-1)/(A248-A247)*30</f>
        <v>0.00375670459988545</v>
      </c>
      <c r="D248" s="19" t="n">
        <f aca="false">+D247*(1+C248)</f>
        <v>116.522444526643</v>
      </c>
      <c r="F248" s="71" t="n">
        <v>46112</v>
      </c>
      <c r="G248" s="70" t="n">
        <v>1196.056</v>
      </c>
      <c r="H248" s="4" t="n">
        <f aca="false">+G248+$S$148+$S$150+$S$152+$S$154+$S$156+$S$158</f>
        <v>1198.136</v>
      </c>
      <c r="I248" s="25" t="n">
        <f aca="false">+(H248/H247-1)/(F248-F247)*30</f>
        <v>0.00553371939090219</v>
      </c>
      <c r="J248" s="18" t="n">
        <f aca="false">+J247*(1+I248)</f>
        <v>119.468596179946</v>
      </c>
      <c r="K248" s="74" t="n">
        <v>6335.4774</v>
      </c>
      <c r="L248" s="25" t="n">
        <f aca="false">+(K248/K247-1)/(F248-F247)*30</f>
        <v>0.00260107379179124</v>
      </c>
      <c r="M248" s="19" t="n">
        <f aca="false">+M247*(1+L248)</f>
        <v>112.222993529815</v>
      </c>
    </row>
    <row r="249" customFormat="false" ht="15.75" hidden="false" customHeight="true" outlineLevel="0" collapsed="false">
      <c r="A249" s="17" t="n">
        <v>46142</v>
      </c>
      <c r="B249" s="3" t="n">
        <v>19916.8502383877</v>
      </c>
      <c r="C249" s="25" t="n">
        <f aca="false">(B249/B248-1)/(A249-A248)*30</f>
        <v>-0.243672722859896</v>
      </c>
      <c r="D249" s="19" t="n">
        <f aca="false">+D248*(1+C249)</f>
        <v>88.1291031945447</v>
      </c>
      <c r="F249" s="17" t="n">
        <v>46142</v>
      </c>
      <c r="G249" s="4" t="n">
        <v>1202.794</v>
      </c>
      <c r="H249" s="4" t="n">
        <f aca="false">+G249+$S$148+$S$150+$S$152+$S$154+$S$156+$S$158</f>
        <v>1204.874</v>
      </c>
      <c r="I249" s="25" t="n">
        <f aca="false">+(H249/H248-1)/(F249-F248)*30</f>
        <v>0.0056237355358657</v>
      </c>
      <c r="J249" s="18" t="n">
        <f aca="false">+J248*(1+I249)</f>
        <v>120.140455969703</v>
      </c>
      <c r="L249" s="25" t="n">
        <f aca="false">+(K249/K248-1)/(F249-F248)*30</f>
        <v>-1</v>
      </c>
      <c r="M249" s="19" t="n">
        <f aca="false">+M248*(1+L249)</f>
        <v>0</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B1" colorId="64" zoomScale="76" zoomScaleNormal="76" zoomScalePageLayoutView="100" workbookViewId="0">
      <selection pane="topLeft" activeCell="E39" activeCellId="0" sqref="E39"/>
    </sheetView>
  </sheetViews>
  <sheetFormatPr defaultColWidth="11.42578125" defaultRowHeight="15" zeroHeight="false" outlineLevelRow="0" outlineLevelCol="0"/>
  <cols>
    <col collapsed="false" customWidth="true" hidden="false" outlineLevel="0" max="3" min="3" style="75" width="5.86"/>
    <col collapsed="false" customWidth="true" hidden="false" outlineLevel="0" max="4" min="4" style="0" width="25.14"/>
    <col collapsed="false" customWidth="true" hidden="false" outlineLevel="0" max="16" min="5" style="0" width="7.71"/>
    <col collapsed="false" customWidth="true" hidden="false" outlineLevel="0" max="17" min="17" style="0" width="10.14"/>
    <col collapsed="false" customWidth="true" hidden="false" outlineLevel="0" max="19" min="19" style="0" width="25.14"/>
    <col collapsed="false" customWidth="true" hidden="false" outlineLevel="0" max="20" min="20" style="0" width="8.71"/>
    <col collapsed="false" customWidth="true" hidden="false" outlineLevel="0" max="21" min="21" style="0" width="10.71"/>
    <col collapsed="false" customWidth="true" hidden="false" outlineLevel="0" max="22" min="22" style="0" width="10.42"/>
    <col collapsed="false" customWidth="true" hidden="false" outlineLevel="0" max="23" min="23" style="0" width="6.71"/>
    <col collapsed="false" customWidth="true" hidden="false" outlineLevel="0" max="24" min="24" style="0" width="13.29"/>
  </cols>
  <sheetData>
    <row r="1" customFormat="false" ht="25.5" hidden="false" customHeight="true" outlineLevel="0" collapsed="false">
      <c r="C1" s="76"/>
      <c r="D1" s="77"/>
      <c r="E1" s="77"/>
      <c r="F1" s="77"/>
      <c r="G1" s="77"/>
      <c r="H1" s="77"/>
      <c r="I1" s="77"/>
      <c r="J1" s="77"/>
      <c r="K1" s="77"/>
      <c r="L1" s="77"/>
      <c r="M1" s="77"/>
      <c r="N1" s="77"/>
      <c r="O1" s="77"/>
      <c r="P1" s="77"/>
      <c r="Q1" s="77"/>
      <c r="R1" s="77"/>
      <c r="S1" s="78" t="s">
        <v>31</v>
      </c>
      <c r="T1" s="79" t="s">
        <v>32</v>
      </c>
      <c r="U1" s="79" t="s">
        <v>33</v>
      </c>
      <c r="V1" s="79" t="s">
        <v>34</v>
      </c>
      <c r="W1" s="79" t="s">
        <v>35</v>
      </c>
      <c r="X1" s="80" t="s">
        <v>46</v>
      </c>
    </row>
    <row r="2" customFormat="false" ht="15" hidden="false" customHeight="false" outlineLevel="0" collapsed="false">
      <c r="C2" s="76"/>
      <c r="D2" s="77"/>
      <c r="E2" s="77"/>
      <c r="F2" s="77"/>
      <c r="G2" s="77"/>
      <c r="H2" s="77"/>
      <c r="I2" s="77"/>
      <c r="J2" s="77"/>
      <c r="K2" s="77"/>
      <c r="L2" s="77"/>
      <c r="M2" s="77"/>
      <c r="N2" s="77"/>
      <c r="O2" s="77"/>
      <c r="P2" s="77"/>
      <c r="Q2" s="77"/>
      <c r="R2" s="77"/>
      <c r="S2" s="76" t="s">
        <v>47</v>
      </c>
      <c r="T2" s="81" t="n">
        <f aca="false">+'Datos ICP (2)'!AX29</f>
        <v>-0.243672722859896</v>
      </c>
      <c r="U2" s="81" t="n">
        <f aca="false">+'Datos ICP (2)'!AY29</f>
        <v>-0.237979628862347</v>
      </c>
      <c r="V2" s="81" t="n">
        <f aca="false">+'Datos ICP (2)'!AZ29</f>
        <v>-0.228910732364632</v>
      </c>
      <c r="W2" s="81" t="n">
        <f aca="false">+Q33</f>
        <v>0.0654251259349719</v>
      </c>
      <c r="X2" s="81" t="n">
        <f aca="false">+'Datos ICP (2)'!BB29</f>
        <v>-0.71393888658704</v>
      </c>
    </row>
    <row r="3" customFormat="false" ht="15" hidden="false" customHeight="false" outlineLevel="0" collapsed="false">
      <c r="C3" s="76"/>
      <c r="D3" s="77"/>
      <c r="E3" s="77"/>
      <c r="F3" s="77"/>
      <c r="G3" s="77"/>
      <c r="H3" s="77"/>
      <c r="I3" s="77"/>
      <c r="J3" s="77"/>
      <c r="K3" s="77"/>
      <c r="L3" s="77"/>
      <c r="M3" s="77"/>
      <c r="N3" s="77"/>
      <c r="O3" s="77"/>
      <c r="P3" s="77"/>
      <c r="Q3" s="77"/>
      <c r="R3" s="77"/>
      <c r="S3" s="76" t="s">
        <v>26</v>
      </c>
      <c r="T3" s="81" t="n">
        <f aca="false">+'Datos ICP (2)'!AX30</f>
        <v>-1</v>
      </c>
      <c r="U3" s="81" t="n">
        <f aca="false">+'Datos ICP (2)'!AY30</f>
        <v>-1</v>
      </c>
      <c r="V3" s="81" t="n">
        <f aca="false">+'Datos ICP (2)'!AZ30</f>
        <v>-1</v>
      </c>
      <c r="W3" s="81" t="n">
        <f aca="false">+Q34</f>
        <v>0.0495295629197707</v>
      </c>
      <c r="X3" s="81" t="n">
        <f aca="false">+'Datos ICP (2)'!BB30</f>
        <v>-3</v>
      </c>
    </row>
    <row r="4" customFormat="false" ht="15" hidden="false" customHeight="false" outlineLevel="0" collapsed="false">
      <c r="C4" s="76"/>
      <c r="D4" s="77"/>
      <c r="E4" s="77"/>
      <c r="F4" s="77"/>
      <c r="G4" s="77"/>
      <c r="H4" s="77"/>
      <c r="I4" s="77"/>
      <c r="J4" s="77"/>
      <c r="K4" s="77"/>
      <c r="L4" s="77"/>
      <c r="M4" s="77"/>
      <c r="N4" s="77"/>
      <c r="O4" s="77"/>
      <c r="P4" s="77"/>
      <c r="Q4" s="77"/>
      <c r="R4" s="77"/>
      <c r="S4" s="77" t="s">
        <v>38</v>
      </c>
      <c r="T4" s="81" t="n">
        <f aca="false">+'Datos ICP (2)'!AX31</f>
        <v>0.0056237355358657</v>
      </c>
      <c r="U4" s="81" t="n">
        <f aca="false">+'Datos ICP (2)'!AY31</f>
        <v>0.0170673303985269</v>
      </c>
      <c r="V4" s="81" t="n">
        <f aca="false">+'Datos ICP (2)'!AZ31</f>
        <v>0.0393247426388705</v>
      </c>
      <c r="W4" s="81" t="n">
        <f aca="false">+Q35</f>
        <v>0.0632258045770224</v>
      </c>
      <c r="X4" s="81" t="n">
        <f aca="false">+'Datos ICP (2)'!BB31</f>
        <v>0.0512019911955808</v>
      </c>
    </row>
    <row r="5" customFormat="false" ht="15" hidden="false" customHeight="false" outlineLevel="0" collapsed="false">
      <c r="B5" s="82"/>
      <c r="C5" s="76"/>
      <c r="D5" s="77"/>
      <c r="E5" s="77"/>
      <c r="F5" s="77"/>
      <c r="G5" s="77"/>
      <c r="H5" s="77"/>
      <c r="I5" s="77"/>
      <c r="J5" s="77"/>
      <c r="K5" s="77"/>
      <c r="L5" s="77"/>
      <c r="M5" s="77"/>
      <c r="N5" s="77"/>
      <c r="O5" s="77"/>
      <c r="P5" s="77"/>
      <c r="Q5" s="77"/>
      <c r="R5" s="77"/>
      <c r="S5" s="77"/>
      <c r="T5" s="77"/>
      <c r="U5" s="77"/>
      <c r="V5" s="77"/>
      <c r="W5" s="77"/>
      <c r="X5" s="77"/>
    </row>
    <row r="6" customFormat="false" ht="25.5" hidden="false" customHeight="true" outlineLevel="0" collapsed="false">
      <c r="B6" s="82"/>
      <c r="C6" s="78" t="s">
        <v>39</v>
      </c>
      <c r="D6" s="83" t="s">
        <v>40</v>
      </c>
      <c r="E6" s="79" t="s">
        <v>4</v>
      </c>
      <c r="F6" s="79" t="s">
        <v>5</v>
      </c>
      <c r="G6" s="79" t="s">
        <v>6</v>
      </c>
      <c r="H6" s="79" t="s">
        <v>7</v>
      </c>
      <c r="I6" s="79" t="s">
        <v>8</v>
      </c>
      <c r="J6" s="79" t="s">
        <v>9</v>
      </c>
      <c r="K6" s="79" t="s">
        <v>10</v>
      </c>
      <c r="L6" s="79" t="s">
        <v>11</v>
      </c>
      <c r="M6" s="79" t="s">
        <v>12</v>
      </c>
      <c r="N6" s="79" t="s">
        <v>13</v>
      </c>
      <c r="O6" s="79" t="s">
        <v>14</v>
      </c>
      <c r="P6" s="79" t="s">
        <v>15</v>
      </c>
      <c r="Q6" s="80" t="s">
        <v>48</v>
      </c>
      <c r="R6" s="84"/>
      <c r="S6" s="77"/>
      <c r="T6" s="77"/>
      <c r="U6" s="77"/>
      <c r="V6" s="77"/>
      <c r="W6" s="77"/>
      <c r="X6" s="77"/>
    </row>
    <row r="7" customFormat="false" ht="15" hidden="false" customHeight="true" outlineLevel="0" collapsed="false">
      <c r="B7" s="82"/>
      <c r="C7" s="76"/>
      <c r="D7" s="77"/>
      <c r="E7" s="85"/>
      <c r="F7" s="85"/>
      <c r="G7" s="85"/>
      <c r="H7" s="85"/>
      <c r="I7" s="85"/>
      <c r="J7" s="85"/>
      <c r="K7" s="85"/>
      <c r="L7" s="85"/>
      <c r="M7" s="85"/>
      <c r="N7" s="85"/>
      <c r="O7" s="85"/>
      <c r="P7" s="85"/>
      <c r="Q7" s="85"/>
      <c r="R7" s="84"/>
      <c r="S7" s="77"/>
      <c r="T7" s="77"/>
      <c r="U7" s="77"/>
      <c r="V7" s="77"/>
      <c r="W7" s="77"/>
      <c r="X7" s="77"/>
    </row>
    <row r="8" customFormat="false" ht="15" hidden="true" customHeight="true" outlineLevel="0" collapsed="false">
      <c r="B8" s="82"/>
      <c r="C8" s="76" t="n">
        <v>2013</v>
      </c>
      <c r="D8" s="77" t="s">
        <v>3</v>
      </c>
      <c r="E8" s="81"/>
      <c r="F8" s="81"/>
      <c r="G8" s="81"/>
      <c r="H8" s="81"/>
      <c r="I8" s="81"/>
      <c r="J8" s="81"/>
      <c r="K8" s="81"/>
      <c r="L8" s="81"/>
      <c r="M8" s="81"/>
      <c r="N8" s="81"/>
      <c r="O8" s="81"/>
      <c r="P8" s="81"/>
      <c r="Q8" s="81"/>
      <c r="R8" s="77"/>
      <c r="S8" s="77"/>
      <c r="T8" s="77"/>
      <c r="U8" s="77"/>
      <c r="V8" s="77"/>
      <c r="W8" s="77"/>
      <c r="X8" s="77"/>
    </row>
    <row r="9" customFormat="false" ht="15" hidden="true" customHeight="true" outlineLevel="0" collapsed="false">
      <c r="B9" s="82"/>
      <c r="C9" s="76" t="n">
        <v>2014</v>
      </c>
      <c r="D9" s="77" t="s">
        <v>3</v>
      </c>
      <c r="E9" s="81"/>
      <c r="F9" s="81"/>
      <c r="G9" s="81"/>
      <c r="H9" s="81"/>
      <c r="I9" s="81"/>
      <c r="J9" s="81"/>
      <c r="K9" s="81"/>
      <c r="L9" s="81"/>
      <c r="M9" s="81"/>
      <c r="N9" s="81"/>
      <c r="O9" s="81"/>
      <c r="P9" s="81"/>
      <c r="Q9" s="81"/>
      <c r="R9" s="77"/>
      <c r="S9" s="77"/>
      <c r="T9" s="77"/>
      <c r="U9" s="77"/>
      <c r="V9" s="77"/>
      <c r="W9" s="77"/>
      <c r="X9" s="77"/>
    </row>
    <row r="10" customFormat="false" ht="15" hidden="true" customHeight="true" outlineLevel="0" collapsed="false">
      <c r="B10" s="82"/>
      <c r="C10" s="76" t="n">
        <v>2015</v>
      </c>
      <c r="D10" s="77" t="s">
        <v>3</v>
      </c>
      <c r="E10" s="81"/>
      <c r="F10" s="81"/>
      <c r="G10" s="81"/>
      <c r="H10" s="81"/>
      <c r="I10" s="81"/>
      <c r="J10" s="81"/>
      <c r="K10" s="81"/>
      <c r="L10" s="81"/>
      <c r="M10" s="81"/>
      <c r="N10" s="81"/>
      <c r="O10" s="81"/>
      <c r="P10" s="81"/>
      <c r="Q10" s="81"/>
      <c r="R10" s="77"/>
      <c r="S10" s="77"/>
      <c r="T10" s="77"/>
      <c r="U10" s="77"/>
      <c r="V10" s="77"/>
      <c r="W10" s="77"/>
      <c r="X10" s="77"/>
    </row>
    <row r="11" customFormat="false" ht="15" hidden="true" customHeight="true" outlineLevel="0" collapsed="false">
      <c r="B11" s="82"/>
      <c r="C11" s="76" t="n">
        <v>2016</v>
      </c>
      <c r="D11" s="77" t="s">
        <v>3</v>
      </c>
      <c r="E11" s="81"/>
      <c r="F11" s="81"/>
      <c r="G11" s="81"/>
      <c r="H11" s="81"/>
      <c r="I11" s="81"/>
      <c r="J11" s="81"/>
      <c r="K11" s="81"/>
      <c r="L11" s="81"/>
      <c r="M11" s="81"/>
      <c r="N11" s="81"/>
      <c r="O11" s="81"/>
      <c r="P11" s="81"/>
      <c r="Q11" s="81"/>
      <c r="R11" s="77"/>
      <c r="S11" s="77"/>
      <c r="T11" s="77"/>
      <c r="U11" s="77"/>
      <c r="V11" s="77"/>
      <c r="W11" s="77"/>
      <c r="X11" s="77"/>
    </row>
    <row r="12" customFormat="false" ht="15" hidden="true" customHeight="true" outlineLevel="0" collapsed="false">
      <c r="B12" s="82"/>
      <c r="C12" s="76" t="n">
        <v>2017</v>
      </c>
      <c r="D12" s="77" t="s">
        <v>3</v>
      </c>
      <c r="E12" s="81"/>
      <c r="F12" s="81"/>
      <c r="G12" s="81"/>
      <c r="H12" s="81"/>
      <c r="I12" s="81"/>
      <c r="J12" s="81"/>
      <c r="K12" s="81"/>
      <c r="L12" s="81"/>
      <c r="M12" s="81"/>
      <c r="N12" s="81"/>
      <c r="O12" s="81"/>
      <c r="P12" s="81"/>
      <c r="Q12" s="81"/>
      <c r="R12" s="77"/>
      <c r="S12" s="77"/>
      <c r="T12" s="86"/>
      <c r="U12" s="77"/>
      <c r="V12" s="77"/>
      <c r="W12" s="77"/>
      <c r="X12" s="77"/>
    </row>
    <row r="13" customFormat="false" ht="15" hidden="true" customHeight="true" outlineLevel="0" collapsed="false">
      <c r="B13" s="82"/>
      <c r="C13" s="76"/>
      <c r="D13" s="77" t="s">
        <v>26</v>
      </c>
      <c r="E13" s="81"/>
      <c r="F13" s="81"/>
      <c r="G13" s="81"/>
      <c r="H13" s="81"/>
      <c r="I13" s="81"/>
      <c r="J13" s="81"/>
      <c r="K13" s="81"/>
      <c r="L13" s="81"/>
      <c r="M13" s="81"/>
      <c r="N13" s="81"/>
      <c r="O13" s="81"/>
      <c r="P13" s="81"/>
      <c r="Q13" s="81"/>
      <c r="R13" s="77"/>
      <c r="S13" s="77"/>
      <c r="T13" s="77"/>
      <c r="U13" s="77"/>
      <c r="V13" s="77"/>
      <c r="W13" s="77"/>
      <c r="X13" s="77"/>
    </row>
    <row r="14" customFormat="false" ht="15" hidden="true" customHeight="true" outlineLevel="0" collapsed="false">
      <c r="B14" s="82"/>
      <c r="C14" s="76"/>
      <c r="D14" s="77" t="s">
        <v>38</v>
      </c>
      <c r="E14" s="81"/>
      <c r="F14" s="81"/>
      <c r="G14" s="81"/>
      <c r="H14" s="81"/>
      <c r="I14" s="81"/>
      <c r="J14" s="81"/>
      <c r="K14" s="81"/>
      <c r="L14" s="81"/>
      <c r="M14" s="81"/>
      <c r="N14" s="81"/>
      <c r="O14" s="81"/>
      <c r="P14" s="81"/>
      <c r="Q14" s="81"/>
      <c r="R14" s="77"/>
      <c r="S14" s="77"/>
      <c r="T14" s="77"/>
      <c r="U14" s="77"/>
      <c r="V14" s="77"/>
      <c r="W14" s="77"/>
      <c r="X14" s="77"/>
    </row>
    <row r="15" customFormat="false" ht="15" hidden="true" customHeight="true" outlineLevel="0" collapsed="false">
      <c r="B15" s="82"/>
      <c r="C15" s="76" t="n">
        <v>2018</v>
      </c>
      <c r="D15" s="77" t="s">
        <v>3</v>
      </c>
      <c r="E15" s="81"/>
      <c r="F15" s="81"/>
      <c r="G15" s="81"/>
      <c r="H15" s="81"/>
      <c r="I15" s="81"/>
      <c r="J15" s="81"/>
      <c r="K15" s="81"/>
      <c r="L15" s="81"/>
      <c r="M15" s="81"/>
      <c r="N15" s="81"/>
      <c r="O15" s="81"/>
      <c r="P15" s="81"/>
      <c r="Q15" s="81"/>
      <c r="R15" s="77"/>
      <c r="S15" s="77"/>
      <c r="T15" s="77"/>
      <c r="U15" s="77"/>
      <c r="V15" s="77"/>
      <c r="W15" s="77"/>
      <c r="X15" s="77"/>
    </row>
    <row r="16" customFormat="false" ht="15" hidden="true" customHeight="true" outlineLevel="0" collapsed="false">
      <c r="B16" s="82"/>
      <c r="C16" s="76"/>
      <c r="D16" s="77" t="s">
        <v>26</v>
      </c>
      <c r="E16" s="81"/>
      <c r="F16" s="81"/>
      <c r="G16" s="81"/>
      <c r="H16" s="81"/>
      <c r="I16" s="81"/>
      <c r="J16" s="81"/>
      <c r="K16" s="81"/>
      <c r="L16" s="81"/>
      <c r="M16" s="81"/>
      <c r="N16" s="81"/>
      <c r="O16" s="81"/>
      <c r="P16" s="81"/>
      <c r="Q16" s="81"/>
      <c r="R16" s="77"/>
      <c r="S16" s="77"/>
      <c r="T16" s="77"/>
      <c r="U16" s="77"/>
      <c r="V16" s="77"/>
      <c r="W16" s="77"/>
      <c r="X16" s="77"/>
    </row>
    <row r="17" customFormat="false" ht="15" hidden="true" customHeight="true" outlineLevel="0" collapsed="false">
      <c r="B17" s="82"/>
      <c r="C17" s="76"/>
      <c r="D17" s="77" t="s">
        <v>38</v>
      </c>
      <c r="E17" s="81"/>
      <c r="F17" s="81"/>
      <c r="G17" s="81"/>
      <c r="H17" s="81"/>
      <c r="I17" s="81"/>
      <c r="J17" s="81"/>
      <c r="K17" s="81"/>
      <c r="L17" s="81"/>
      <c r="M17" s="81"/>
      <c r="N17" s="81"/>
      <c r="O17" s="81"/>
      <c r="P17" s="81"/>
      <c r="Q17" s="81"/>
      <c r="R17" s="77"/>
      <c r="S17" s="77"/>
      <c r="T17" s="77"/>
      <c r="U17" s="77"/>
      <c r="V17" s="77"/>
      <c r="W17" s="77"/>
      <c r="X17" s="77"/>
    </row>
    <row r="18" customFormat="false" ht="15" hidden="true" customHeight="true" outlineLevel="0" collapsed="false">
      <c r="C18" s="76" t="n">
        <v>2019</v>
      </c>
      <c r="D18" s="77" t="s">
        <v>3</v>
      </c>
      <c r="E18" s="81"/>
      <c r="F18" s="81"/>
      <c r="G18" s="81"/>
      <c r="H18" s="81"/>
      <c r="I18" s="81"/>
      <c r="J18" s="81"/>
      <c r="K18" s="81"/>
      <c r="L18" s="81"/>
      <c r="M18" s="81"/>
      <c r="N18" s="81"/>
      <c r="O18" s="81"/>
      <c r="P18" s="81"/>
      <c r="Q18" s="81"/>
      <c r="R18" s="77"/>
      <c r="S18" s="77"/>
      <c r="T18" s="77"/>
      <c r="U18" s="77"/>
      <c r="V18" s="77"/>
      <c r="W18" s="77"/>
      <c r="X18" s="77"/>
    </row>
    <row r="19" customFormat="false" ht="15" hidden="true" customHeight="true" outlineLevel="0" collapsed="false">
      <c r="C19" s="76"/>
      <c r="D19" s="77" t="s">
        <v>26</v>
      </c>
      <c r="E19" s="81"/>
      <c r="F19" s="81"/>
      <c r="G19" s="81"/>
      <c r="H19" s="81"/>
      <c r="I19" s="81"/>
      <c r="J19" s="81"/>
      <c r="K19" s="81"/>
      <c r="L19" s="81"/>
      <c r="M19" s="81"/>
      <c r="N19" s="81"/>
      <c r="O19" s="81"/>
      <c r="P19" s="81"/>
      <c r="Q19" s="81"/>
      <c r="R19" s="77"/>
      <c r="S19" s="77"/>
      <c r="T19" s="77"/>
      <c r="U19" s="77"/>
      <c r="V19" s="77"/>
      <c r="W19" s="77"/>
      <c r="X19" s="77"/>
    </row>
    <row r="20" customFormat="false" ht="15" hidden="true" customHeight="true" outlineLevel="0" collapsed="false">
      <c r="C20" s="76"/>
      <c r="D20" s="77" t="s">
        <v>38</v>
      </c>
      <c r="E20" s="81"/>
      <c r="F20" s="81"/>
      <c r="G20" s="81"/>
      <c r="H20" s="81"/>
      <c r="I20" s="81"/>
      <c r="J20" s="81"/>
      <c r="K20" s="81"/>
      <c r="L20" s="81"/>
      <c r="M20" s="81"/>
      <c r="N20" s="81"/>
      <c r="O20" s="81"/>
      <c r="P20" s="81"/>
      <c r="Q20" s="81"/>
      <c r="R20" s="77"/>
      <c r="S20" s="77"/>
      <c r="T20" s="77"/>
      <c r="U20" s="77"/>
      <c r="V20" s="77"/>
      <c r="W20" s="77"/>
      <c r="X20" s="77"/>
    </row>
    <row r="21" customFormat="false" ht="15" hidden="true" customHeight="true" outlineLevel="0" collapsed="false">
      <c r="C21" s="76" t="n">
        <v>2020</v>
      </c>
      <c r="D21" s="77" t="s">
        <v>3</v>
      </c>
      <c r="E21" s="81"/>
      <c r="F21" s="81"/>
      <c r="G21" s="81"/>
      <c r="H21" s="81"/>
      <c r="I21" s="81"/>
      <c r="J21" s="81"/>
      <c r="K21" s="81"/>
      <c r="L21" s="81"/>
      <c r="M21" s="81"/>
      <c r="N21" s="81"/>
      <c r="O21" s="81"/>
      <c r="P21" s="81"/>
      <c r="Q21" s="81"/>
      <c r="R21" s="77"/>
      <c r="S21" s="77"/>
      <c r="T21" s="77"/>
      <c r="U21" s="77"/>
      <c r="V21" s="77"/>
      <c r="W21" s="77"/>
      <c r="X21" s="77"/>
    </row>
    <row r="22" customFormat="false" ht="15" hidden="true" customHeight="true" outlineLevel="0" collapsed="false">
      <c r="C22" s="76"/>
      <c r="D22" s="77" t="s">
        <v>26</v>
      </c>
      <c r="E22" s="81"/>
      <c r="F22" s="81"/>
      <c r="G22" s="81"/>
      <c r="H22" s="81"/>
      <c r="I22" s="81"/>
      <c r="J22" s="81"/>
      <c r="K22" s="81"/>
      <c r="L22" s="81"/>
      <c r="M22" s="81"/>
      <c r="N22" s="81"/>
      <c r="O22" s="81"/>
      <c r="P22" s="81"/>
      <c r="Q22" s="81"/>
      <c r="R22" s="77"/>
      <c r="S22" s="77"/>
      <c r="T22" s="77"/>
      <c r="U22" s="77"/>
      <c r="V22" s="77"/>
      <c r="W22" s="77"/>
      <c r="X22" s="77"/>
    </row>
    <row r="23" customFormat="false" ht="15" hidden="true" customHeight="true" outlineLevel="0" collapsed="false">
      <c r="C23" s="76"/>
      <c r="D23" s="77" t="s">
        <v>38</v>
      </c>
      <c r="E23" s="81"/>
      <c r="F23" s="81"/>
      <c r="G23" s="81"/>
      <c r="H23" s="81"/>
      <c r="I23" s="81"/>
      <c r="J23" s="81"/>
      <c r="K23" s="81"/>
      <c r="L23" s="81"/>
      <c r="M23" s="81"/>
      <c r="N23" s="81"/>
      <c r="O23" s="81"/>
      <c r="P23" s="81"/>
      <c r="Q23" s="81"/>
      <c r="R23" s="77"/>
      <c r="S23" s="77"/>
      <c r="T23" s="77"/>
      <c r="U23" s="77"/>
      <c r="V23" s="77"/>
      <c r="W23" s="77"/>
      <c r="X23" s="77"/>
    </row>
    <row r="24" customFormat="false" ht="15" hidden="true" customHeight="true" outlineLevel="0" collapsed="false">
      <c r="C24" s="76" t="n">
        <v>2021</v>
      </c>
      <c r="D24" s="77" t="s">
        <v>3</v>
      </c>
      <c r="E24" s="81"/>
      <c r="F24" s="81"/>
      <c r="G24" s="81"/>
      <c r="H24" s="81"/>
      <c r="I24" s="81"/>
      <c r="J24" s="81"/>
      <c r="K24" s="81"/>
      <c r="L24" s="81"/>
      <c r="M24" s="81"/>
      <c r="N24" s="81"/>
      <c r="O24" s="81"/>
      <c r="P24" s="81"/>
      <c r="Q24" s="81"/>
      <c r="R24" s="77"/>
      <c r="S24" s="77"/>
      <c r="T24" s="77"/>
      <c r="U24" s="77"/>
      <c r="V24" s="77"/>
      <c r="W24" s="77"/>
      <c r="X24" s="77"/>
    </row>
    <row r="25" customFormat="false" ht="15" hidden="true" customHeight="true" outlineLevel="0" collapsed="false">
      <c r="C25" s="76"/>
      <c r="D25" s="77" t="s">
        <v>26</v>
      </c>
      <c r="E25" s="87"/>
      <c r="F25" s="81"/>
      <c r="G25" s="81"/>
      <c r="H25" s="81"/>
      <c r="I25" s="81"/>
      <c r="J25" s="81"/>
      <c r="K25" s="81"/>
      <c r="L25" s="81"/>
      <c r="M25" s="81"/>
      <c r="N25" s="81"/>
      <c r="O25" s="81"/>
      <c r="P25" s="81"/>
      <c r="Q25" s="81"/>
      <c r="R25" s="77"/>
      <c r="S25" s="77"/>
      <c r="T25" s="77"/>
      <c r="U25" s="77"/>
      <c r="V25" s="77"/>
      <c r="W25" s="77"/>
      <c r="X25" s="77"/>
    </row>
    <row r="26" customFormat="false" ht="15" hidden="true" customHeight="true" outlineLevel="0" collapsed="false">
      <c r="C26" s="76"/>
      <c r="D26" s="77" t="s">
        <v>38</v>
      </c>
      <c r="E26" s="87"/>
      <c r="F26" s="81"/>
      <c r="G26" s="81"/>
      <c r="H26" s="81"/>
      <c r="I26" s="81"/>
      <c r="J26" s="81"/>
      <c r="K26" s="81"/>
      <c r="L26" s="81"/>
      <c r="M26" s="81"/>
      <c r="N26" s="81"/>
      <c r="O26" s="81"/>
      <c r="P26" s="81"/>
      <c r="Q26" s="81"/>
      <c r="R26" s="77"/>
      <c r="S26" s="77"/>
      <c r="T26" s="77"/>
      <c r="U26" s="77"/>
      <c r="V26" s="77"/>
      <c r="W26" s="77"/>
      <c r="X26" s="77"/>
    </row>
    <row r="27" customFormat="false" ht="15" hidden="true" customHeight="true" outlineLevel="0" collapsed="false">
      <c r="C27" s="76" t="n">
        <v>2022</v>
      </c>
      <c r="D27" s="77" t="s">
        <v>3</v>
      </c>
      <c r="E27" s="81"/>
      <c r="F27" s="81"/>
      <c r="G27" s="81"/>
      <c r="H27" s="81"/>
      <c r="I27" s="81"/>
      <c r="J27" s="81"/>
      <c r="K27" s="81"/>
      <c r="L27" s="81"/>
      <c r="M27" s="81"/>
      <c r="N27" s="81"/>
      <c r="O27" s="81"/>
      <c r="P27" s="81"/>
      <c r="Q27" s="81"/>
      <c r="R27" s="77"/>
      <c r="S27" s="77"/>
      <c r="T27" s="77"/>
      <c r="U27" s="77"/>
      <c r="V27" s="77"/>
      <c r="W27" s="77"/>
      <c r="X27" s="77"/>
    </row>
    <row r="28" customFormat="false" ht="15" hidden="true" customHeight="true" outlineLevel="0" collapsed="false">
      <c r="C28" s="76"/>
      <c r="D28" s="77" t="s">
        <v>26</v>
      </c>
      <c r="E28" s="87"/>
      <c r="F28" s="81"/>
      <c r="G28" s="81"/>
      <c r="H28" s="81"/>
      <c r="I28" s="81"/>
      <c r="J28" s="81"/>
      <c r="K28" s="81"/>
      <c r="L28" s="81"/>
      <c r="M28" s="81"/>
      <c r="N28" s="81"/>
      <c r="O28" s="81"/>
      <c r="P28" s="81"/>
      <c r="Q28" s="81"/>
      <c r="R28" s="77"/>
      <c r="S28" s="77"/>
      <c r="T28" s="77"/>
      <c r="U28" s="77"/>
      <c r="V28" s="77"/>
      <c r="W28" s="77"/>
      <c r="X28" s="77"/>
    </row>
    <row r="29" customFormat="false" ht="15" hidden="true" customHeight="true" outlineLevel="0" collapsed="false">
      <c r="C29" s="76"/>
      <c r="D29" s="77" t="s">
        <v>38</v>
      </c>
      <c r="E29" s="87"/>
      <c r="F29" s="81"/>
      <c r="G29" s="81"/>
      <c r="H29" s="81"/>
      <c r="I29" s="81"/>
      <c r="J29" s="81"/>
      <c r="K29" s="81"/>
      <c r="L29" s="81"/>
      <c r="M29" s="81"/>
      <c r="N29" s="81"/>
      <c r="O29" s="81"/>
      <c r="P29" s="81"/>
      <c r="Q29" s="81"/>
      <c r="R29" s="77"/>
      <c r="S29" s="77"/>
      <c r="T29" s="77"/>
      <c r="U29" s="77"/>
      <c r="V29" s="77"/>
      <c r="W29" s="77"/>
      <c r="X29" s="77"/>
    </row>
    <row r="30" customFormat="false" ht="15" hidden="false" customHeight="true" outlineLevel="0" collapsed="false">
      <c r="C30" s="76" t="n">
        <v>2023</v>
      </c>
      <c r="D30" s="77" t="s">
        <v>3</v>
      </c>
      <c r="E30" s="81"/>
      <c r="F30" s="81"/>
      <c r="G30" s="81"/>
      <c r="H30" s="81"/>
      <c r="I30" s="81"/>
      <c r="J30" s="81"/>
      <c r="K30" s="81"/>
      <c r="L30" s="81"/>
      <c r="M30" s="81" t="n">
        <f aca="false">+'Datos ICP (2)'!AM77</f>
        <v>0.00779534514134506</v>
      </c>
      <c r="N30" s="81" t="n">
        <f aca="false">+'Datos ICP (2)'!AN77</f>
        <v>0.00846015350417906</v>
      </c>
      <c r="O30" s="81" t="n">
        <f aca="false">+'Datos ICP (2)'!AO77</f>
        <v>0.00752661431064561</v>
      </c>
      <c r="P30" s="81" t="n">
        <f aca="false">+'Datos ICP (2)'!AP77</f>
        <v>0.00708194994827327</v>
      </c>
      <c r="Q30" s="81" t="n">
        <f aca="false">+'Datos ICP (2)'!AQ77</f>
        <v>0.100882275530511</v>
      </c>
      <c r="R30" s="77"/>
      <c r="S30" s="77"/>
      <c r="T30" s="77"/>
      <c r="U30" s="77"/>
      <c r="V30" s="77"/>
      <c r="W30" s="77"/>
      <c r="X30" s="77"/>
    </row>
    <row r="31" customFormat="false" ht="15" hidden="false" customHeight="true" outlineLevel="0" collapsed="false">
      <c r="C31" s="76"/>
      <c r="D31" s="77" t="s">
        <v>26</v>
      </c>
      <c r="E31" s="87"/>
      <c r="F31" s="87"/>
      <c r="G31" s="87"/>
      <c r="H31" s="87"/>
      <c r="I31" s="87"/>
      <c r="J31" s="87"/>
      <c r="K31" s="87"/>
      <c r="L31" s="87"/>
      <c r="M31" s="87" t="n">
        <f aca="false">+'Datos ICP (2)'!AM78</f>
        <v>0.00678478712990516</v>
      </c>
      <c r="N31" s="87" t="n">
        <f aca="false">+'Datos ICP (2)'!AN78</f>
        <v>0.00667611817591429</v>
      </c>
      <c r="O31" s="87" t="n">
        <f aca="false">+'Datos ICP (2)'!AO78</f>
        <v>0.00616956723192952</v>
      </c>
      <c r="P31" s="87" t="n">
        <f aca="false">+'Datos ICP (2)'!AP78</f>
        <v>0.00610155186395645</v>
      </c>
      <c r="Q31" s="81" t="n">
        <f aca="false">+'Datos ICP (2)'!AQ78</f>
        <v>0.0844938543904241</v>
      </c>
      <c r="R31" s="77"/>
      <c r="S31" s="77"/>
      <c r="T31" s="77"/>
      <c r="U31" s="77"/>
      <c r="V31" s="77"/>
      <c r="W31" s="77"/>
      <c r="X31" s="77"/>
    </row>
    <row r="32" customFormat="false" ht="15" hidden="false" customHeight="true" outlineLevel="0" collapsed="false">
      <c r="C32" s="76"/>
      <c r="D32" s="77" t="s">
        <v>38</v>
      </c>
      <c r="E32" s="87"/>
      <c r="F32" s="87"/>
      <c r="G32" s="87"/>
      <c r="H32" s="87"/>
      <c r="I32" s="87"/>
      <c r="J32" s="87"/>
      <c r="K32" s="87"/>
      <c r="L32" s="87"/>
      <c r="M32" s="87" t="n">
        <f aca="false">+'Datos ICP (2)'!AM79</f>
        <v>0.00675295385597963</v>
      </c>
      <c r="N32" s="87" t="n">
        <f aca="false">+'Datos ICP (2)'!AN79</f>
        <v>0.00895477708711034</v>
      </c>
      <c r="O32" s="87" t="n">
        <f aca="false">+'Datos ICP (2)'!AO79</f>
        <v>0.00721282743267615</v>
      </c>
      <c r="P32" s="87" t="n">
        <f aca="false">+'Datos ICP (2)'!AP79</f>
        <v>0.00708207035582875</v>
      </c>
      <c r="Q32" s="81" t="n">
        <f aca="false">+'Datos ICP (2)'!AQ79</f>
        <v>0.0910211759540149</v>
      </c>
      <c r="R32" s="77"/>
      <c r="S32" s="77"/>
      <c r="T32" s="77"/>
      <c r="U32" s="77"/>
      <c r="V32" s="77"/>
      <c r="W32" s="77"/>
      <c r="X32" s="77"/>
    </row>
    <row r="33" customFormat="false" ht="15" hidden="false" customHeight="true" outlineLevel="0" collapsed="false">
      <c r="C33" s="76" t="n">
        <v>2024</v>
      </c>
      <c r="D33" s="77" t="s">
        <v>3</v>
      </c>
      <c r="E33" s="81" t="n">
        <f aca="false">+'Datos ICP (2)'!AE80</f>
        <v>0.00735722532416316</v>
      </c>
      <c r="F33" s="81" t="n">
        <f aca="false">+'Datos ICP (2)'!AF80</f>
        <v>0.00611213912063557</v>
      </c>
      <c r="G33" s="81" t="n">
        <f aca="false">+'Datos ICP (2)'!AG80</f>
        <v>0.00564735171406094</v>
      </c>
      <c r="H33" s="81" t="n">
        <f aca="false">+'Datos ICP (2)'!AH80</f>
        <v>0.00609278396182833</v>
      </c>
      <c r="I33" s="81" t="n">
        <f aca="false">+'Datos ICP (2)'!AI80</f>
        <v>0.00551411929031809</v>
      </c>
      <c r="J33" s="81" t="n">
        <f aca="false">+'Datos ICP (2)'!AJ80</f>
        <v>0.00461354906321554</v>
      </c>
      <c r="K33" s="81" t="n">
        <f aca="false">+'Datos ICP (2)'!AK80</f>
        <v>0.00528435035284347</v>
      </c>
      <c r="L33" s="81" t="n">
        <f aca="false">+'Datos ICP (2)'!AL80</f>
        <v>0.00480235203759283</v>
      </c>
      <c r="M33" s="81" t="n">
        <f aca="false">+'Datos ICP (2)'!AM80</f>
        <v>0.00478104349541386</v>
      </c>
      <c r="N33" s="81" t="n">
        <f aca="false">+'Datos ICP (2)'!AN80</f>
        <v>0.00451044051641847</v>
      </c>
      <c r="O33" s="81" t="n">
        <f aca="false">+'Datos ICP (2)'!AO80</f>
        <v>0.0043843255475724</v>
      </c>
      <c r="P33" s="81" t="n">
        <f aca="false">+'Datos ICP (2)'!AP80</f>
        <v>0.00444626417327787</v>
      </c>
      <c r="Q33" s="81" t="n">
        <f aca="false">+'Datos ICP (2)'!$AQ$80</f>
        <v>0.0654251259349719</v>
      </c>
      <c r="R33" s="77"/>
      <c r="S33" s="77"/>
      <c r="T33" s="77"/>
      <c r="U33" s="77"/>
      <c r="V33" s="77"/>
      <c r="W33" s="77"/>
      <c r="X33" s="77"/>
    </row>
    <row r="34" customFormat="false" ht="15" hidden="false" customHeight="true" outlineLevel="0" collapsed="false">
      <c r="C34" s="76"/>
      <c r="D34" s="77" t="s">
        <v>26</v>
      </c>
      <c r="E34" s="87" t="n">
        <f aca="false">+'Datos ICP (2)'!AE81</f>
        <v>0.00587192975175177</v>
      </c>
      <c r="F34" s="87" t="n">
        <f aca="false">+'Datos ICP (2)'!AF81</f>
        <v>0.00508491077058904</v>
      </c>
      <c r="G34" s="87" t="n">
        <f aca="false">+'Datos ICP (2)'!AG81</f>
        <v>0.0044501495538698</v>
      </c>
      <c r="H34" s="87" t="n">
        <f aca="false">+'Datos ICP (2)'!AH81</f>
        <v>0.00472012403360989</v>
      </c>
      <c r="I34" s="87" t="n">
        <f aca="false">+'Datos ICP (2)'!AI81</f>
        <v>0.00416779685595303</v>
      </c>
      <c r="J34" s="87" t="n">
        <f aca="false">+'Datos ICP (2)'!AJ81</f>
        <v>0.00365019312776771</v>
      </c>
      <c r="K34" s="87" t="n">
        <f aca="false">+'Datos ICP (2)'!AK81</f>
        <v>0.00363412607508162</v>
      </c>
      <c r="L34" s="87" t="n">
        <f aca="false">+'Datos ICP (2)'!AL81</f>
        <v>0.00362766941593184</v>
      </c>
      <c r="M34" s="87" t="n">
        <f aca="false">+'Datos ICP (2)'!AM81</f>
        <v>0.0033754452875443</v>
      </c>
      <c r="N34" s="87" t="n">
        <f aca="false">+'Datos ICP (2)'!AN81</f>
        <v>0.00341081299567914</v>
      </c>
      <c r="O34" s="87" t="n">
        <f aca="false">+'Datos ICP (2)'!AO81</f>
        <v>0.00322037460491331</v>
      </c>
      <c r="P34" s="87" t="n">
        <f aca="false">+'Datos ICP (2)'!AP81</f>
        <v>0.003229855901979</v>
      </c>
      <c r="Q34" s="81" t="n">
        <f aca="false">+'Datos ICP (2)'!$AQ$81</f>
        <v>0.0495295629197707</v>
      </c>
      <c r="R34" s="77"/>
      <c r="S34" s="77"/>
      <c r="T34" s="77"/>
      <c r="U34" s="77"/>
      <c r="V34" s="77"/>
      <c r="W34" s="77"/>
      <c r="X34" s="77"/>
    </row>
    <row r="35" customFormat="false" ht="15" hidden="false" customHeight="true" outlineLevel="0" collapsed="false">
      <c r="C35" s="76"/>
      <c r="D35" s="77" t="s">
        <v>38</v>
      </c>
      <c r="E35" s="87" t="n">
        <f aca="false">+'Datos ICP (2)'!AE82</f>
        <v>0.00732389428015079</v>
      </c>
      <c r="F35" s="87" t="n">
        <f aca="false">+'Datos ICP (2)'!AF82</f>
        <v>0.00534370954803598</v>
      </c>
      <c r="G35" s="87" t="n">
        <f aca="false">+'Datos ICP (2)'!AG82</f>
        <v>0.00631702472161999</v>
      </c>
      <c r="H35" s="87" t="n">
        <f aca="false">+'Datos ICP (2)'!AH82</f>
        <v>0.00659888476433523</v>
      </c>
      <c r="I35" s="87" t="n">
        <f aca="false">+'Datos ICP (2)'!AI82</f>
        <v>0.00553131445312594</v>
      </c>
      <c r="J35" s="87" t="n">
        <f aca="false">+'Datos ICP (2)'!AJ82</f>
        <v>0.00472418099360561</v>
      </c>
      <c r="K35" s="87" t="n">
        <f aca="false">+'Datos ICP (2)'!AK82</f>
        <v>0.00397395876215256</v>
      </c>
      <c r="L35" s="87" t="n">
        <f aca="false">+'Datos ICP (2)'!AL82</f>
        <v>0.00466539128595755</v>
      </c>
      <c r="M35" s="87" t="n">
        <f aca="false">+'Datos ICP (2)'!AM82</f>
        <v>0.00549566313748384</v>
      </c>
      <c r="N35" s="87" t="n">
        <f aca="false">+'Datos ICP (2)'!AN82</f>
        <v>0.00452702916256742</v>
      </c>
      <c r="O35" s="87" t="n">
        <f aca="false">+'Datos ICP (2)'!AO82</f>
        <v>0.00279099206531219</v>
      </c>
      <c r="P35" s="87" t="n">
        <f aca="false">+'Datos ICP (2)'!AP82</f>
        <v>0.00418087352585439</v>
      </c>
      <c r="Q35" s="81" t="n">
        <f aca="false">+'Datos ICP (2)'!$AQ$82</f>
        <v>0.0632258045770224</v>
      </c>
      <c r="R35" s="77"/>
      <c r="S35" s="77"/>
      <c r="T35" s="77"/>
      <c r="U35" s="77"/>
      <c r="V35" s="77"/>
      <c r="W35" s="77"/>
      <c r="X35" s="77"/>
    </row>
    <row r="36" customFormat="false" ht="15" hidden="false" customHeight="true" outlineLevel="0" collapsed="false">
      <c r="C36" s="76" t="n">
        <v>2025</v>
      </c>
      <c r="D36" s="77" t="s">
        <v>3</v>
      </c>
      <c r="E36" s="87" t="n">
        <f aca="false">+'Datos ICP (2)'!AE83</f>
        <v>0.00445443017437541</v>
      </c>
      <c r="F36" s="87" t="n">
        <f aca="false">+'Datos ICP (2)'!AF83</f>
        <v>0.00389626305099444</v>
      </c>
      <c r="G36" s="87" t="n">
        <f aca="false">+'Datos ICP (2)'!AG83</f>
        <v>0.0043138020854181</v>
      </c>
      <c r="H36" s="87" t="n">
        <f aca="false">+'Datos ICP (2)'!AH83</f>
        <v>0.00417571644342774</v>
      </c>
      <c r="I36" s="87" t="n">
        <f aca="false">+'Datos ICP (2)'!AI83</f>
        <v>0.00417422694650416</v>
      </c>
      <c r="J36" s="87" t="n">
        <f aca="false">+'Datos ICP (2)'!AJ83</f>
        <v>0.00431456613652492</v>
      </c>
      <c r="K36" s="87" t="n">
        <f aca="false">+'Datos ICP (2)'!AK83</f>
        <v>0.00430626208344687</v>
      </c>
      <c r="L36" s="87" t="n">
        <f aca="false">+'Datos ICP (2)'!AL83</f>
        <v>0.00383327468941586</v>
      </c>
      <c r="M36" s="87" t="n">
        <f aca="false">+'Datos ICP (2)'!AM83</f>
        <v>0.00423004876441735</v>
      </c>
      <c r="N36" s="87" t="n">
        <f aca="false">+'Datos ICP (2)'!AN83</f>
        <v>0.00396619021077105</v>
      </c>
      <c r="O36" s="87" t="n">
        <f aca="false">+'Datos ICP (2)'!AO83</f>
        <v>0.00383243965233548</v>
      </c>
      <c r="P36" s="87" t="n">
        <f aca="false">+'Datos ICP (2)'!AP83</f>
        <v>0.00413946203577598</v>
      </c>
      <c r="Q36" s="81" t="n">
        <f aca="false">+'Datos ICP (2)'!AQ83</f>
        <v>0.0461215166375695</v>
      </c>
      <c r="R36" s="77"/>
      <c r="S36" s="77"/>
      <c r="T36" s="77"/>
      <c r="U36" s="77"/>
      <c r="V36" s="77"/>
      <c r="W36" s="77"/>
      <c r="X36" s="77"/>
    </row>
    <row r="37" customFormat="false" ht="15" hidden="false" customHeight="true" outlineLevel="0" collapsed="false">
      <c r="C37" s="76"/>
      <c r="D37" s="77" t="s">
        <v>26</v>
      </c>
      <c r="E37" s="87" t="n">
        <f aca="false">+'Datos ICP (2)'!AE84</f>
        <v>0.00302021033404665</v>
      </c>
      <c r="F37" s="87" t="n">
        <f aca="false">+'Datos ICP (2)'!AF84</f>
        <v>0.00276213771028111</v>
      </c>
      <c r="G37" s="87" t="n">
        <f aca="false">+'Datos ICP (2)'!AG84</f>
        <v>0.00306282692323312</v>
      </c>
      <c r="H37" s="87" t="n">
        <f aca="false">+'Datos ICP (2)'!AH84</f>
        <v>0.00297594968581905</v>
      </c>
      <c r="I37" s="87" t="n">
        <f aca="false">+'Datos ICP (2)'!AI84</f>
        <v>0.00308976252279503</v>
      </c>
      <c r="J37" s="87" t="n">
        <f aca="false">+'Datos ICP (2)'!AJ84</f>
        <v>0.00299705245742721</v>
      </c>
      <c r="K37" s="87" t="n">
        <f aca="false">+'Datos ICP (2)'!AK84</f>
        <v>0.00295054952791363</v>
      </c>
      <c r="L37" s="87" t="n">
        <f aca="false">+'Datos ICP (2)'!AL84</f>
        <v>0.00300054219083834</v>
      </c>
      <c r="M37" s="87" t="n">
        <f aca="false">+'Datos ICP (2)'!AM84</f>
        <v>0.00276161496613736</v>
      </c>
      <c r="N37" s="87" t="n">
        <f aca="false">+'Datos ICP (2)'!AN84</f>
        <v>0.00286519472447866</v>
      </c>
      <c r="O37" s="87" t="n">
        <f aca="false">+'Datos ICP (2)'!AO84</f>
        <v>0.00279501576319907</v>
      </c>
      <c r="P37" s="87" t="n">
        <f aca="false">+'Datos ICP (2)'!AP84</f>
        <v>0.00283776649927603</v>
      </c>
      <c r="Q37" s="81" t="n">
        <f aca="false">+'Datos ICP (2)'!AQ84</f>
        <v>0.0325707862057447</v>
      </c>
      <c r="R37" s="77"/>
      <c r="S37" s="77"/>
      <c r="T37" s="77"/>
      <c r="U37" s="77"/>
      <c r="V37" s="77"/>
      <c r="W37" s="77"/>
      <c r="X37" s="77"/>
    </row>
    <row r="38" customFormat="false" ht="15" hidden="false" customHeight="true" outlineLevel="0" collapsed="false">
      <c r="C38" s="76"/>
      <c r="D38" s="77" t="s">
        <v>38</v>
      </c>
      <c r="E38" s="87" t="n">
        <f aca="false">+'Datos ICP (2)'!AE85</f>
        <v>0.00340328436982462</v>
      </c>
      <c r="F38" s="87" t="n">
        <f aca="false">+'Datos ICP (2)'!AF85</f>
        <v>0.00392946303814501</v>
      </c>
      <c r="G38" s="87" t="n">
        <f aca="false">+'Datos ICP (2)'!AG85</f>
        <v>0.00509021570635704</v>
      </c>
      <c r="H38" s="87" t="n">
        <f aca="false">+'Datos ICP (2)'!AH85</f>
        <v>0.00504383303239186</v>
      </c>
      <c r="I38" s="87" t="n">
        <f aca="false">+'Datos ICP (2)'!AI85</f>
        <v>0.00589573204645788</v>
      </c>
      <c r="J38" s="87" t="n">
        <f aca="false">+'Datos ICP (2)'!AJ85</f>
        <v>0.00576951042150031</v>
      </c>
      <c r="K38" s="87" t="n">
        <f aca="false">+'Datos ICP (2)'!AK85</f>
        <v>0.00705705736263695</v>
      </c>
      <c r="L38" s="87" t="n">
        <f aca="false">+'Datos ICP (2)'!AL85</f>
        <v>0.00664252422774148</v>
      </c>
      <c r="M38" s="87" t="n">
        <f aca="false">+'Datos ICP (2)'!AM85</f>
        <v>0.00603404271959107</v>
      </c>
      <c r="N38" s="87" t="n">
        <f aca="false">+'Datos ICP (2)'!AN85</f>
        <v>0.0058182542564964</v>
      </c>
      <c r="O38" s="87" t="n">
        <f aca="false">+'Datos ICP (2)'!AO85</f>
        <v>0.00790952771422804</v>
      </c>
      <c r="P38" s="87" t="n">
        <f aca="false">+'Datos ICP (2)'!AP85</f>
        <v>0.00663885329582281</v>
      </c>
      <c r="Q38" s="81" t="n">
        <f aca="false">+'Datos ICP (2)'!AQ85</f>
        <v>0.0678283804317226</v>
      </c>
      <c r="R38" s="77"/>
      <c r="S38" s="77"/>
      <c r="T38" s="77"/>
      <c r="U38" s="77"/>
      <c r="V38" s="77"/>
      <c r="W38" s="77"/>
      <c r="X38" s="77"/>
    </row>
    <row r="39" customFormat="false" ht="15" hidden="false" customHeight="false" outlineLevel="0" collapsed="false">
      <c r="C39" s="76" t="n">
        <v>2026</v>
      </c>
      <c r="D39" s="77" t="s">
        <v>3</v>
      </c>
      <c r="E39" s="87" t="n">
        <f aca="false">+'Datos ICP (2)'!AE86</f>
        <v>0.00388234363273376</v>
      </c>
      <c r="F39" s="87" t="n">
        <f aca="false">+'Datos ICP (2)'!AF86</f>
        <v>0.00363126461056962</v>
      </c>
      <c r="G39" s="87" t="n">
        <f aca="false">+'Datos ICP (2)'!AG86</f>
        <v>0.0038819280865483</v>
      </c>
      <c r="H39" s="87" t="n">
        <f aca="false">+'Datos ICP (2)'!AH86</f>
        <v>-0.243672722859896</v>
      </c>
      <c r="I39" s="87"/>
      <c r="J39" s="87"/>
      <c r="K39" s="87"/>
      <c r="L39" s="87"/>
      <c r="M39" s="87"/>
      <c r="N39" s="87"/>
      <c r="O39" s="87"/>
      <c r="P39" s="87"/>
      <c r="Q39" s="87" t="n">
        <f aca="false">+'Datos ICP (2)'!AQ86</f>
        <v>-0.71393888658704</v>
      </c>
    </row>
    <row r="40" customFormat="false" ht="15" hidden="false" customHeight="false" outlineLevel="0" collapsed="false">
      <c r="C40" s="76"/>
      <c r="D40" s="77" t="s">
        <v>26</v>
      </c>
      <c r="E40" s="87" t="n">
        <f aca="false">+'Datos ICP (2)'!AE87</f>
        <v>0.00272443815472734</v>
      </c>
      <c r="F40" s="87" t="n">
        <f aca="false">+'Datos ICP (2)'!AF87</f>
        <v>0.00244521636660222</v>
      </c>
      <c r="G40" s="87" t="n">
        <f aca="false">+'Datos ICP (2)'!AG87</f>
        <v>0.00268777625151762</v>
      </c>
      <c r="H40" s="87" t="n">
        <f aca="false">+'Datos ICP (2)'!AH87</f>
        <v>-1</v>
      </c>
      <c r="I40" s="87"/>
      <c r="J40" s="87"/>
      <c r="K40" s="87"/>
      <c r="L40" s="87"/>
      <c r="M40" s="87"/>
      <c r="N40" s="87"/>
      <c r="O40" s="87"/>
      <c r="P40" s="87"/>
      <c r="Q40" s="87" t="n">
        <f aca="false">+'Datos ICP (2)'!AQ87</f>
        <v>-3</v>
      </c>
    </row>
    <row r="41" customFormat="false" ht="15" hidden="false" customHeight="false" outlineLevel="0" collapsed="false">
      <c r="C41" s="76"/>
      <c r="D41" s="77" t="s">
        <v>38</v>
      </c>
      <c r="E41" s="87" t="n">
        <f aca="false">+'Datos ICP (2)'!AE88</f>
        <v>0.00717821277116704</v>
      </c>
      <c r="F41" s="87" t="n">
        <f aca="false">+'Datos ICP (2)'!AF88</f>
        <v>0.00562923335239085</v>
      </c>
      <c r="G41" s="87" t="n">
        <f aca="false">+'Datos ICP (2)'!AG88</f>
        <v>0.00571817670393227</v>
      </c>
      <c r="H41" s="87" t="n">
        <f aca="false">+'Datos ICP (2)'!AH88</f>
        <v>0.0056237355358657</v>
      </c>
      <c r="I41" s="87"/>
      <c r="J41" s="87"/>
      <c r="K41" s="87"/>
      <c r="L41" s="87"/>
      <c r="M41" s="87"/>
      <c r="N41" s="87"/>
      <c r="O41" s="87"/>
      <c r="P41" s="87"/>
      <c r="Q41" s="87" t="n">
        <f aca="false">+'Datos ICP (2)'!AQ88</f>
        <v>0.0512019911955808</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C1" colorId="64" zoomScale="100" zoomScaleNormal="100" zoomScalePageLayoutView="100" workbookViewId="0">
      <selection pane="topLeft" activeCell="P9" activeCellId="0" sqref="P9"/>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42.14"/>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88"/>
      <c r="C1" s="89"/>
      <c r="J1" s="90" t="s">
        <v>49</v>
      </c>
      <c r="K1" s="88"/>
      <c r="L1" s="91"/>
      <c r="N1" s="90" t="s">
        <v>50</v>
      </c>
      <c r="O1" s="88"/>
      <c r="P1" s="91"/>
      <c r="R1" s="90" t="s">
        <v>51</v>
      </c>
      <c r="S1" s="88"/>
      <c r="T1" s="91"/>
    </row>
    <row r="2" customFormat="false" ht="15" hidden="false" customHeight="false" outlineLevel="0" collapsed="false">
      <c r="C2" s="89"/>
      <c r="O2" s="92" t="s">
        <v>52</v>
      </c>
      <c r="P2" s="93" t="n">
        <v>0</v>
      </c>
    </row>
    <row r="3" customFormat="false" ht="15" hidden="false" customHeight="false" outlineLevel="0" collapsed="false">
      <c r="C3" s="89"/>
      <c r="K3" s="92" t="s">
        <v>53</v>
      </c>
      <c r="L3" s="93" t="n">
        <v>0.1367</v>
      </c>
      <c r="O3" s="92" t="s">
        <v>54</v>
      </c>
      <c r="P3" s="93" t="n">
        <v>0</v>
      </c>
      <c r="S3" s="92" t="s">
        <v>55</v>
      </c>
      <c r="T3" s="93" t="n">
        <v>1</v>
      </c>
    </row>
    <row r="4" customFormat="false" ht="15" hidden="false" customHeight="false" outlineLevel="0" collapsed="false">
      <c r="C4" s="89"/>
      <c r="K4" s="92" t="s">
        <v>56</v>
      </c>
      <c r="L4" s="93" t="n">
        <v>0.1268</v>
      </c>
      <c r="O4" s="92" t="s">
        <v>57</v>
      </c>
      <c r="P4" s="93" t="n">
        <v>0</v>
      </c>
      <c r="S4" s="92" t="s">
        <v>58</v>
      </c>
      <c r="T4" s="93" t="n">
        <v>0</v>
      </c>
    </row>
    <row r="5" customFormat="false" ht="15" hidden="false" customHeight="false" outlineLevel="0" collapsed="false">
      <c r="A5" s="88"/>
      <c r="B5" s="88"/>
      <c r="C5" s="89"/>
      <c r="K5" s="92" t="s">
        <v>59</v>
      </c>
      <c r="L5" s="93" t="n">
        <v>0.7365</v>
      </c>
      <c r="O5" s="92" t="s">
        <v>60</v>
      </c>
      <c r="P5" s="93" t="n">
        <v>0.7297</v>
      </c>
    </row>
    <row r="6" customFormat="false" ht="15" hidden="false" customHeight="false" outlineLevel="0" collapsed="false">
      <c r="A6" s="88"/>
      <c r="B6" s="88"/>
      <c r="C6" s="89"/>
      <c r="K6" s="92" t="s">
        <v>61</v>
      </c>
      <c r="L6" s="93" t="n">
        <v>0</v>
      </c>
      <c r="O6" s="92" t="s">
        <v>62</v>
      </c>
      <c r="P6" s="93" t="n">
        <v>0.2595</v>
      </c>
    </row>
    <row r="7" customFormat="false" ht="15" hidden="false" customHeight="false" outlineLevel="0" collapsed="false">
      <c r="B7" s="88"/>
      <c r="C7" s="89"/>
      <c r="L7" s="94" t="n">
        <f aca="false">SUM(L3:L6)</f>
        <v>1</v>
      </c>
      <c r="O7" s="92" t="s">
        <v>63</v>
      </c>
      <c r="P7" s="93" t="n">
        <v>0</v>
      </c>
      <c r="Q7" s="94"/>
    </row>
    <row r="8" customFormat="false" ht="15" hidden="false" customHeight="false" outlineLevel="0" collapsed="false">
      <c r="C8" s="89"/>
      <c r="O8" s="92" t="s">
        <v>64</v>
      </c>
      <c r="P8" s="93" t="n">
        <v>0.0107</v>
      </c>
    </row>
    <row r="9" customFormat="false" ht="15" hidden="false" customHeight="false" outlineLevel="0" collapsed="false">
      <c r="C9" s="89"/>
      <c r="O9" s="92" t="s">
        <v>65</v>
      </c>
      <c r="P9" s="93" t="n">
        <v>0</v>
      </c>
    </row>
    <row r="10" customFormat="false" ht="15" hidden="false" customHeight="false" outlineLevel="0" collapsed="false">
      <c r="C10" s="89"/>
      <c r="O10" s="92" t="s">
        <v>66</v>
      </c>
      <c r="P10" s="93" t="n">
        <v>0</v>
      </c>
    </row>
    <row r="11" customFormat="false" ht="15" hidden="false" customHeight="false" outlineLevel="0" collapsed="false">
      <c r="C11" s="89"/>
      <c r="O11" s="92" t="s">
        <v>67</v>
      </c>
      <c r="P11" s="93" t="n">
        <v>0</v>
      </c>
    </row>
    <row r="12" customFormat="false" ht="15" hidden="true" customHeight="false" outlineLevel="0" collapsed="false">
      <c r="C12" s="89"/>
      <c r="O12" s="92"/>
      <c r="P12" s="93"/>
    </row>
    <row r="13" customFormat="false" ht="15" hidden="false" customHeight="false" outlineLevel="0" collapsed="false">
      <c r="C13" s="89"/>
      <c r="O13" s="92" t="s">
        <v>68</v>
      </c>
      <c r="P13" s="93" t="n">
        <v>0</v>
      </c>
    </row>
    <row r="14" customFormat="false" ht="15" hidden="true" customHeight="false" outlineLevel="0" collapsed="false">
      <c r="A14" s="88" t="s">
        <v>69</v>
      </c>
      <c r="B14" s="95" t="n">
        <v>0</v>
      </c>
      <c r="C14" s="89"/>
    </row>
    <row r="15" customFormat="false" ht="15" hidden="false" customHeight="false" outlineLevel="0" collapsed="false">
      <c r="A15" s="88"/>
      <c r="B15" s="95"/>
      <c r="C15" s="89"/>
      <c r="P15" s="94" t="n">
        <f aca="false">SUM(P2:P14)</f>
        <v>0.9999</v>
      </c>
    </row>
    <row r="16" customFormat="false" ht="15" hidden="false" customHeight="false" outlineLevel="0" collapsed="false">
      <c r="B16" s="88"/>
      <c r="C16" s="89"/>
    </row>
    <row r="17" customFormat="false" ht="15" hidden="false" customHeight="false" outlineLevel="0" collapsed="false">
      <c r="C17" s="89"/>
    </row>
    <row r="18" customFormat="false" ht="15" hidden="false" customHeight="false" outlineLevel="0" collapsed="false">
      <c r="C18" s="89"/>
    </row>
    <row r="19" customFormat="false" ht="15" hidden="false" customHeight="false" outlineLevel="0" collapsed="false">
      <c r="C19" s="89"/>
    </row>
    <row r="20" customFormat="false" ht="15" hidden="false" customHeight="false" outlineLevel="0" collapsed="false">
      <c r="C20" s="89"/>
    </row>
    <row r="21" customFormat="false" ht="15" hidden="false" customHeight="false" outlineLevel="0" collapsed="false">
      <c r="C21" s="89"/>
      <c r="N21" s="96"/>
      <c r="O21" s="97"/>
    </row>
    <row r="22" customFormat="false" ht="15" hidden="false" customHeight="false" outlineLevel="0" collapsed="false">
      <c r="A22" s="89"/>
      <c r="B22" s="89"/>
      <c r="C22" s="89"/>
    </row>
    <row r="23" customFormat="false" ht="15" hidden="false" customHeight="false" outlineLevel="0" collapsed="false">
      <c r="A23" s="89"/>
      <c r="B23" s="89"/>
      <c r="C23" s="89"/>
    </row>
    <row r="24" customFormat="false" ht="15" hidden="false" customHeight="false" outlineLevel="0" collapsed="false">
      <c r="A24" s="89"/>
      <c r="B24" s="89"/>
      <c r="C24" s="89"/>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2026-05-19T14:22:59Z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