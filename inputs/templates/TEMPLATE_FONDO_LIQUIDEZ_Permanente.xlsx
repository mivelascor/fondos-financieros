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<sst xmlns="http://schemas.openxmlformats.org/spreadsheetml/2006/main" count="245" uniqueCount="70">
  <si>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</si>
  <si>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</si>
  <si>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</si>
  <si>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</si>
  <si>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</si>
  <si>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</si>
  <si>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</si>
  <si>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</si>
  <si>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</si>
  <si>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</si>
  <si>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</si>
  <si>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</si>
  <si>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</si>
  <si>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</si>
  <si>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</si>
  <si>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</si>
  <si>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</si>
  <si>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</si>
  <si>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</si>
  <si>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Permanente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</si>
  <si>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</si>
  <si>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</si>
  <si>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</si>
  <si>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</si>
  <si>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</si>
  <si>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</si>
  <si>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</si>
  <si>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Permanente</t>
  </si>
  <si>
    <t xml:space="preserve">(*) Acum a Mar</t>
  </si>
  <si>
    <t xml:space="preserve">FONDO LIQUIDEZ Permanente</t>
  </si>
  <si>
    <t xml:space="preserve">Permanente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</si>
  <si>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</si>
  <si>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</si>
  <si>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</si>
  <si>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</si>
  <si>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</si>
  <si>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</si>
  <si>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</si>
  <si>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Permanente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</si>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</sst>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3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23" fillId="8" borderId="3" xfId="0" applyFont="true" applyBorder="true" applyAlignment="true" applyProtection="false">
      <alignment horizontal="general" vertical="bottom" textRotation="0" wrapText="true" indent="0" shrinkToFit="false"/>
      <protection locked="true" hidden="false"/>
    </xf>
    <xf numFmtId="164" fontId="23" fillId="8"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9" borderId="0" xfId="0" applyFont="true" applyBorder="false" applyAlignment="false" applyProtection="false">
      <alignment horizontal="general" vertical="bottom" textRotation="0" wrapText="false" indent="0" shrinkToFit="false"/>
      <protection locked="true" hidden="false"/>
    </xf>
    <xf numFmtId="169" fontId="36"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Permanente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93946477"/>
        <c:axId val="86093166"/>
      </c:lineChart>
      <c:dateAx>
        <c:axId val="93946477"/>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6093166"/>
        <c:crosses val="autoZero"/>
        <c:auto val="1"/>
        <c:lblOffset val="100"/>
        <c:baseTimeUnit val="months"/>
        <c:majorUnit val="6"/>
        <c:majorTimeUnit val="months"/>
        <c:minorUnit val="6"/>
        <c:minorTimeUnit val="months"/>
        <c:noMultiLvlLbl val="0"/>
      </c:dateAx>
      <c:valAx>
        <c:axId val="8609316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3946477"/>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Permanente</a:t>
            </a:r>
          </a:p>
        </c:rich>
      </c:tx>
      <c:layout>
        <c:manualLayout>
          <c:xMode val="edge"/>
          <c:yMode val="edge"/>
          <c:x val="0.319613754533141"/>
          <c:y val="0.0364431486880467"/>
        </c:manualLayout>
      </c:layout>
      <c:overlay val="0"/>
      <c:spPr>
        <a:noFill/>
        <a:ln w="0">
          <a:noFill/>
        </a:ln>
      </c:spPr>
    </c:title>
    <c:autoTitleDeleted val="0"/>
    <c:plotArea>
      <c:layout>
        <c:manualLayout>
          <c:layoutTarget val="inner"/>
          <c:xMode val="edge"/>
          <c:yMode val="edge"/>
          <c:x val="0.13094769956744"/>
          <c:y val="0.163265306122449"/>
          <c:w val="0.864202385633766"/>
          <c:h val="0.692201166180758"/>
        </c:manualLayout>
      </c:layout>
      <c:lineChart>
        <c:grouping val="standard"/>
        <c:varyColors val="0"/>
        <c:ser>
          <c:idx val="0"/>
          <c:order val="0"/>
          <c:tx>
            <c:strRef>
              <c:f>"FIP Liquidez Permanente"</c:f>
              <c:strCache>
                <c:ptCount val="1"/>
                <c:pt idx="0">
                  <c:v>FIP Liquidez Permanente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(2)'!$J$217:$J$244</c:f>
              <c:numCache>
                <c:formatCode>#,##0.00</c:formatCode>
                <c:ptCount val="28"/>
                <c:pt idx="0">
                  <c:v>100</c:v>
                </c:pt>
                <c:pt idx="1">
                  <c:v>100.844119231997</c:v>
                </c:pt>
                <c:pt idx="2">
                  <c:v>101.718025627096</c:v>
                </c:pt>
                <c:pt idx="3">
                  <c:v>102.451700192737</c:v>
                </c:pt>
                <c:pt idx="4">
                  <c:v>103.153864852904</c:v>
                </c:pt>
                <c:pt idx="5">
                  <c:v>103.884982273005</c:v>
                </c:pt>
                <c:pt idx="6">
                  <c:v>104.459255898871</c:v>
                </c:pt>
                <c:pt idx="7">
                  <c:v>105.16626129378</c:v>
                </c:pt>
                <c:pt idx="8">
                  <c:v>105.797152238665</c:v>
                </c:pt>
                <c:pt idx="9">
                  <c:v>106.363472223127</c:v>
                </c:pt>
                <c:pt idx="10">
                  <c:v>106.865952517017</c:v>
                </c:pt>
                <c:pt idx="11">
                  <c:v>107.276934021902</c:v>
                </c:pt>
                <c:pt idx="12">
                  <c:v>107.761278092711</c:v>
                </c:pt>
                <c:pt idx="13">
                  <c:v>108.353497776374</c:v>
                </c:pt>
                <c:pt idx="14">
                  <c:v>108.828194012793</c:v>
                </c:pt>
                <c:pt idx="15">
                  <c:v>109.131932638765</c:v>
                </c:pt>
                <c:pt idx="16">
                  <c:v>109.573481162631</c:v>
                </c:pt>
                <c:pt idx="17">
                  <c:v>109.934361532748</c:v>
                </c:pt>
                <c:pt idx="18">
                  <c:v>110.397200472318</c:v>
                </c:pt>
                <c:pt idx="19">
                  <c:v>110.941018759849</c:v>
                </c:pt>
                <c:pt idx="20">
                  <c:v>111.500586734917</c:v>
                </c:pt>
                <c:pt idx="21">
                  <c:v>112.136758588864</c:v>
                </c:pt>
                <c:pt idx="22">
                  <c:v>112.783732786176</c:v>
                </c:pt>
                <c:pt idx="23">
                  <c:v>113.553979178283</c:v>
                </c:pt>
                <c:pt idx="24">
                  <c:v>114.283932460072</c:v>
                </c:pt>
                <c:pt idx="25">
                  <c:v>114.973526590699</c:v>
                </c:pt>
                <c:pt idx="26">
                  <c:v>115.620892923412</c:v>
                </c:pt>
                <c:pt idx="27">
                  <c:v>116.535399580334</c:v>
                </c:pt>
              </c:numCache>
            </c:numRef>
          </c:val>
          <c:smooth val="0"/>
        </c:ser>
        <c:ser>
          <c:idx val="1"/>
          <c:order val="1"/>
          <c:tx>
            <c:strRef>
              <c:f>"ICP Nom"</c:f>
              <c:strCache>
                <c:ptCount val="1"/>
                <c:pt idx="0">
                  <c:v>ICP Nom</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(2)'!$M$217:$M$244</c:f>
              <c:numCache>
                <c:formatCode>0.00</c:formatCode>
                <c:ptCount val="28"/>
                <c:pt idx="0">
                  <c:v>100</c:v>
                </c:pt>
                <c:pt idx="1">
                  <c:v>100.678478712991</c:v>
                </c:pt>
                <c:pt idx="2">
                  <c:v>101.328938153306</c:v>
                </c:pt>
                <c:pt idx="3">
                  <c:v>101.954093849783</c:v>
                </c:pt>
                <c:pt idx="4">
                  <c:v>102.556105002719</c:v>
                </c:pt>
                <c:pt idx="5">
                  <c:v>103.138881368063</c:v>
                </c:pt>
                <c:pt idx="6">
                  <c:v>103.681417928823</c:v>
                </c:pt>
                <c:pt idx="7">
                  <c:v>104.175772731403</c:v>
                </c:pt>
                <c:pt idx="8">
                  <c:v>104.622793248302</c:v>
                </c:pt>
                <c:pt idx="9">
                  <c:v>105.044773779361</c:v>
                </c:pt>
                <c:pt idx="10">
                  <c:v>105.428207490719</c:v>
                </c:pt>
                <c:pt idx="11">
                  <c:v>105.798987553194</c:v>
                </c:pt>
                <c:pt idx="12">
                  <c:v>106.170410538404</c:v>
                </c:pt>
                <c:pt idx="13">
                  <c:v>106.528782950332</c:v>
                </c:pt>
                <c:pt idx="14">
                  <c:v>106.88041174772</c:v>
                </c:pt>
                <c:pt idx="15">
                  <c:v>107.224606711475</c:v>
                </c:pt>
                <c:pt idx="16">
                  <c:v>107.559755126466</c:v>
                </c:pt>
                <c:pt idx="17">
                  <c:v>107.874129078686</c:v>
                </c:pt>
                <c:pt idx="18">
                  <c:v>108.193375364285</c:v>
                </c:pt>
                <c:pt idx="19">
                  <c:v>108.514063347815</c:v>
                </c:pt>
                <c:pt idx="20">
                  <c:v>108.836995740542</c:v>
                </c:pt>
                <c:pt idx="21">
                  <c:v>109.162428453961</c:v>
                </c:pt>
                <c:pt idx="22">
                  <c:v>109.489593978417</c:v>
                </c:pt>
                <c:pt idx="23">
                  <c:v>109.802227336312</c:v>
                </c:pt>
                <c:pt idx="24">
                  <c:v>110.121065609638</c:v>
                </c:pt>
                <c:pt idx="25">
                  <c:v>110.425177592513</c:v>
                </c:pt>
                <c:pt idx="26">
                  <c:v>110.731361111501</c:v>
                </c:pt>
                <c:pt idx="27">
                  <c:v>111.040857011288</c:v>
                </c:pt>
              </c:numCache>
            </c:numRef>
          </c:val>
          <c:smooth val="0"/>
        </c:ser>
        <c:ser>
          <c:idx val="2"/>
          <c:order val="2"/>
          <c:tx>
            <c:strRef>
              <c:f>"Competencia Relevante"</c:f>
              <c:strCache>
                <c:ptCount val="1"/>
                <c:pt idx="0">
                  <c:v>Competencia Relevante</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(2)'!$F$217:$F$245</c:f>
              <c:numCache>
                <c:formatCode>m/d/yyyy</c:formatCode>
                <c:ptCount val="29"/>
                <c:pt idx="0">
                  <c:v>9/6/2023</c:v>
                </c:pt>
                <c:pt idx="1">
                  <c:v>9/30/2023</c:v>
                </c:pt>
                <c:pt idx="2">
                  <c:v>10/31/2023</c:v>
                </c:pt>
                <c:pt idx="3">
                  <c:v>11/30/2023</c:v>
                </c:pt>
                <c:pt idx="4">
                  <c:v>12/31/2023</c:v>
                </c:pt>
                <c:pt idx="5">
                  <c:v>1/31/2024</c:v>
                </c:pt>
                <c:pt idx="6">
                  <c:v>2/29/2024</c:v>
                </c:pt>
                <c:pt idx="7">
                  <c:v>3/28/2024</c:v>
                </c:pt>
                <c:pt idx="8">
                  <c:v>4/30/2024</c:v>
                </c:pt>
                <c:pt idx="9">
                  <c:v>5/31/2024</c:v>
                </c:pt>
                <c:pt idx="10">
                  <c:v>6/30/2024</c:v>
                </c:pt>
                <c:pt idx="11">
                  <c:v>7/31/2024</c:v>
                </c:pt>
                <c:pt idx="12">
                  <c:v>8/31/2024</c:v>
                </c:pt>
                <c:pt idx="13">
                  <c:v>9/30/2024</c:v>
                </c:pt>
                <c:pt idx="14">
                  <c:v>10/31/2024</c:v>
                </c:pt>
                <c:pt idx="15">
                  <c:v>11/30/2024</c:v>
                </c:pt>
                <c:pt idx="16">
                  <c:v>12/31/2024</c:v>
                </c:pt>
                <c:pt idx="17">
                  <c:v>1/31/2025</c:v>
                </c:pt>
                <c:pt idx="18">
                  <c:v>2/28/2025</c:v>
                </c:pt>
                <c:pt idx="19">
                  <c:v>3/31/2025</c:v>
                </c:pt>
                <c:pt idx="20">
                  <c:v>4/30/2025</c:v>
                </c:pt>
                <c:pt idx="21">
                  <c:v>5/31/2025</c:v>
                </c:pt>
                <c:pt idx="22">
                  <c:v>6/30/2025</c:v>
                </c:pt>
                <c:pt idx="23">
                  <c:v>7/31/2025</c:v>
                </c:pt>
                <c:pt idx="24">
                  <c:v>8/31/2025</c:v>
                </c:pt>
                <c:pt idx="25">
                  <c:v>9/30/2025</c:v>
                </c:pt>
                <c:pt idx="26">
                  <c:v>10/31/2025</c:v>
                </c:pt>
                <c:pt idx="27">
                  <c:v>11/30/2025</c:v>
                </c:pt>
                <c:pt idx="28">
                  <c:v>12/31/2025</c:v>
                </c:pt>
              </c:numCache>
            </c:numRef>
          </c:cat>
          <c:val>
            <c:numRef>
              <c:f>'Datos ICP (2)'!$D$217:$D$244</c:f>
              <c:numCache>
                <c:formatCode>0.00</c:formatCode>
                <c:ptCount val="28"/>
                <c:pt idx="0">
                  <c:v>100</c:v>
                </c:pt>
                <c:pt idx="1">
                  <c:v>100.779534514135</c:v>
                </c:pt>
                <c:pt idx="2">
                  <c:v>101.604641287105</c:v>
                </c:pt>
                <c:pt idx="3">
                  <c:v>102.369380234244</c:v>
                </c:pt>
                <c:pt idx="4">
                  <c:v>103.070968776555</c:v>
                </c:pt>
                <c:pt idx="5">
                  <c:v>103.804823300751</c:v>
                </c:pt>
                <c:pt idx="6">
                  <c:v>104.461171081517</c:v>
                </c:pt>
                <c:pt idx="7">
                  <c:v>105.093237838903</c:v>
                </c:pt>
                <c:pt idx="8">
                  <c:v>105.675338197086</c:v>
                </c:pt>
                <c:pt idx="9">
                  <c:v>106.239247636631</c:v>
                </c:pt>
                <c:pt idx="10">
                  <c:v>106.729387618042</c:v>
                </c:pt>
                <c:pt idx="11">
                  <c:v>107.275189692672</c:v>
                </c:pt>
                <c:pt idx="12">
                  <c:v>107.773744427321</c:v>
                </c:pt>
                <c:pt idx="13">
                  <c:v>108.289015387092</c:v>
                </c:pt>
                <c:pt idx="14">
                  <c:v>108.761690705626</c:v>
                </c:pt>
                <c:pt idx="15">
                  <c:v>109.238537364784</c:v>
                </c:pt>
                <c:pt idx="16">
                  <c:v>109.708572908357</c:v>
                </c:pt>
                <c:pt idx="17">
                  <c:v>110.18149791889</c:v>
                </c:pt>
                <c:pt idx="18">
                  <c:v>110.641458025224</c:v>
                </c:pt>
                <c:pt idx="19">
                  <c:v>111.103347075898</c:v>
                </c:pt>
                <c:pt idx="20">
                  <c:v>111.567283149202</c:v>
                </c:pt>
                <c:pt idx="21">
                  <c:v>112.01796749727</c:v>
                </c:pt>
                <c:pt idx="22">
                  <c:v>112.501276426516</c:v>
                </c:pt>
                <c:pt idx="23">
                  <c:v>112.970108666208</c:v>
                </c:pt>
                <c:pt idx="24">
                  <c:v>113.389184916089</c:v>
                </c:pt>
                <c:pt idx="25">
                  <c:v>113.868826697642</c:v>
                </c:pt>
                <c:pt idx="26">
                  <c:v>114.30588356128</c:v>
                </c:pt>
                <c:pt idx="27">
                  <c:v>114.743953961936</c:v>
                </c:pt>
              </c:numCache>
            </c:numRef>
          </c:val>
          <c:smooth val="0"/>
        </c:ser>
        <c:hiLowLines>
          <c:spPr>
            <a:ln w="0">
              <a:noFill/>
            </a:ln>
          </c:spPr>
        </c:hiLowLines>
        <c:marker val="1"/>
        <c:axId val="65673707"/>
        <c:axId val="54962828"/>
      </c:lineChart>
      <c:dateAx>
        <c:axId val="65673707"/>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4962828"/>
        <c:auto val="1"/>
        <c:lblOffset val="100"/>
        <c:baseTimeUnit val="days"/>
        <c:noMultiLvlLbl val="0"/>
      </c:dateAx>
      <c:valAx>
        <c:axId val="54962828"/>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65673707"/>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0.1367</c:v>
                </c:pt>
                <c:pt idx="1">
                  <c:v>0.1268</c:v>
                </c:pt>
                <c:pt idx="2">
                  <c:v>0.7365</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0.7297</c:v>
                </c:pt>
                <c:pt idx="3">
                  <c:v>0.2595</c:v>
                </c:pt>
                <c:pt idx="4">
                  <c:v>0</c:v>
                </c:pt>
                <c:pt idx="5">
                  <c:v>0.0107</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1582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431640</xdr:colOff>
      <xdr:row>264</xdr:row>
      <xdr:rowOff>138240</xdr:rowOff>
    </xdr:from>
    <xdr:to>
      <xdr:col>11</xdr:col>
      <xdr:colOff>795960</xdr:colOff>
      <xdr:row>290</xdr:row>
      <xdr:rowOff>124200</xdr:rowOff>
    </xdr:to>
    <xdr:graphicFrame>
      <xdr:nvGraphicFramePr>
        <xdr:cNvPr id="1" name="Chart 2"/>
        <xdr:cNvGraphicFramePr/>
      </xdr:nvGraphicFramePr>
      <xdr:xfrm>
        <a:off x="3875760" y="50525640"/>
        <a:ext cx="823896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S1" colorId="64" zoomScale="80" zoomScaleNormal="8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6.71"/>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LOOKUP(AW19,$F$2:$F$2972,$H$2:$H$2972)</f>
        <v>1204.874</v>
      </c>
      <c r="AX22" s="33" t="n">
        <f aca="false">LOOKUP(AX19,$F$2:$F$2972,$H$2:$H$2972)</f>
        <v>1198.136</v>
      </c>
      <c r="AY22" s="33" t="n">
        <f aca="false">LOOKUP(AY19,$F$2:$F$2972,$H$2:$H$2972)</f>
        <v>1184.6551</v>
      </c>
      <c r="AZ22" s="33" t="n">
        <f aca="false">LOOKUP(AZ19,$F$2:$F$2972,$H$2:$H$2972)</f>
        <v>1159.2854</v>
      </c>
      <c r="BA22" s="33" t="n">
        <f aca="false">LOOKUP(BA19,$F$2:$F$2972,$H$2:$H$2972)</f>
        <v>1117.0623</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0.0056237355358657</v>
      </c>
      <c r="AY31" s="43" t="n">
        <f aca="false">$AW22/AY22-1</f>
        <v>0.0170673303985269</v>
      </c>
      <c r="AZ31" s="43" t="n">
        <f aca="false">$AW22/AZ22-1</f>
        <v>0.0393247426388705</v>
      </c>
      <c r="BA31" s="43" t="n">
        <f aca="false">$AW22/BA22-1</f>
        <v>0.0786094920578737</v>
      </c>
      <c r="BB31" s="43" t="n">
        <f aca="false">+AQ88</f>
        <v>0.0512019911955808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1002.08</v>
      </c>
      <c r="X34" s="20" t="n">
        <f aca="false">+H218</f>
        <v>1008.847</v>
      </c>
      <c r="Y34" s="20" t="n">
        <f aca="false">+H219</f>
        <v>1017.881</v>
      </c>
      <c r="Z34" s="20" t="n">
        <f aca="false">+H220</f>
        <v>1025.2228</v>
      </c>
      <c r="AA34" s="20" t="n">
        <f aca="false">+H221</f>
        <v>1032.4835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1040.0453</v>
      </c>
      <c r="Q35" s="20" t="n">
        <f aca="false">+H223</f>
        <v>1045.603</v>
      </c>
      <c r="R35" s="20" t="n">
        <f aca="false">+H224</f>
        <v>1052.2081</v>
      </c>
      <c r="S35" s="20" t="n">
        <f aca="false">+H225</f>
        <v>1059.1515</v>
      </c>
      <c r="T35" s="20" t="n">
        <f aca="false">+H226</f>
        <v>1065.01</v>
      </c>
      <c r="U35" s="20" t="n">
        <f aca="false">+H227</f>
        <v>1070.0413</v>
      </c>
      <c r="V35" s="20" t="n">
        <f aca="false">+H228</f>
        <v>1074.2936</v>
      </c>
      <c r="W35" s="20" t="n">
        <f aca="false">+H229</f>
        <v>1079.3056</v>
      </c>
      <c r="X35" s="20" t="n">
        <f aca="false">+H230</f>
        <v>1085.2371</v>
      </c>
      <c r="Y35" s="20" t="n">
        <f aca="false">+H231</f>
        <v>1090.15</v>
      </c>
      <c r="Z35" s="20" t="n">
        <f aca="false">+H232</f>
        <v>1093.1926</v>
      </c>
      <c r="AA35" s="20" t="n">
        <f aca="false">+H233</f>
        <v>1097.7631</v>
      </c>
      <c r="AD35" s="21" t="n">
        <v>2023</v>
      </c>
      <c r="AE35" s="22"/>
      <c r="AF35" s="22"/>
      <c r="AG35" s="22"/>
      <c r="AH35" s="22"/>
      <c r="AI35" s="22"/>
      <c r="AJ35" s="22"/>
      <c r="AK35" s="22"/>
      <c r="AL35" s="22"/>
      <c r="AM35" s="22" t="n">
        <f aca="false">+(X34/W34-1)</f>
        <v>0.00675295385597963</v>
      </c>
      <c r="AN35" s="22" t="n">
        <f aca="false">+(Y34/X34-1)</f>
        <v>0.00895477708711034</v>
      </c>
      <c r="AO35" s="22" t="n">
        <f aca="false">+(Z34/Y34-1)</f>
        <v>0.00721282743267615</v>
      </c>
      <c r="AP35" s="22" t="n">
        <f aca="false">+(AA34/Z34-1)</f>
        <v>0.00708207035582875</v>
      </c>
      <c r="AQ35" s="23" t="n">
        <f aca="false">+(AA34/W34-1)/COUNTA(AE35:AP35)*12</f>
        <v>0.0910211759540149</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1101.4991</v>
      </c>
      <c r="Q36" s="20" t="n">
        <f aca="false">+H235</f>
        <v>1105.8274</v>
      </c>
      <c r="R36" s="20" t="n">
        <f aca="false">+H236</f>
        <v>1111.4563</v>
      </c>
      <c r="S36" s="20" t="n">
        <f aca="false">+H237</f>
        <v>1117.0623</v>
      </c>
      <c r="T36" s="20" t="n">
        <f aca="false">+H238</f>
        <v>1123.6482</v>
      </c>
      <c r="U36" s="20" t="n">
        <f aca="false">+H239</f>
        <v>1130.1311</v>
      </c>
      <c r="V36" s="20" t="n">
        <f aca="false">+H240</f>
        <v>1138.1065</v>
      </c>
      <c r="W36" s="20" t="n">
        <f aca="false">+H241</f>
        <v>1145.6664</v>
      </c>
      <c r="X36" s="20" t="n">
        <f aca="false">+H242</f>
        <v>1152.5794</v>
      </c>
      <c r="Y36" s="20" t="n">
        <f aca="false">+H243</f>
        <v>1159.2854</v>
      </c>
      <c r="Z36" s="20" t="n">
        <f aca="false">+H244</f>
        <v>1168.4548</v>
      </c>
      <c r="AA36" s="20" t="n">
        <f aca="false">+H245</f>
        <v>1176.212</v>
      </c>
      <c r="AD36" s="21" t="n">
        <v>2024</v>
      </c>
      <c r="AE36" s="22" t="n">
        <f aca="false">+(P35/AA34-1)</f>
        <v>0.00732389428015079</v>
      </c>
      <c r="AF36" s="22" t="n">
        <f aca="false">+(Q35/P35-1)</f>
        <v>0.00534370954803598</v>
      </c>
      <c r="AG36" s="22" t="n">
        <f aca="false">+(R35/Q35-1)</f>
        <v>0.00631702472161999</v>
      </c>
      <c r="AH36" s="22" t="n">
        <f aca="false">+(S35/R35-1)</f>
        <v>0.00659888476433523</v>
      </c>
      <c r="AI36" s="22" t="n">
        <f aca="false">+(T35/S35-1)</f>
        <v>0.00553131445312594</v>
      </c>
      <c r="AJ36" s="22" t="n">
        <f aca="false">+(U35/T35-1)</f>
        <v>0.00472418099360561</v>
      </c>
      <c r="AK36" s="22" t="n">
        <f aca="false">+(V35/U35-1)</f>
        <v>0.00397395876215256</v>
      </c>
      <c r="AL36" s="22" t="n">
        <f aca="false">+(W35/V35-1)</f>
        <v>0.00466539128595755</v>
      </c>
      <c r="AM36" s="22" t="n">
        <f aca="false">+(X35/W35-1)</f>
        <v>0.00549566313748384</v>
      </c>
      <c r="AN36" s="22" t="n">
        <f aca="false">+(Y35/X35-1)</f>
        <v>0.00452702916256742</v>
      </c>
      <c r="AO36" s="22" t="n">
        <f aca="false">+(Z35/Y35-1)</f>
        <v>0.00279099206531219</v>
      </c>
      <c r="AP36" s="22" t="n">
        <f aca="false">+(AA35/Z35-1)</f>
        <v>0.00418087352585439</v>
      </c>
      <c r="AQ36" s="23" t="n">
        <f aca="false">+(AA35/AA34-1)/COUNTA(AE36:AP36)*12</f>
        <v>0.0632258045770224</v>
      </c>
      <c r="AR36" s="9"/>
      <c r="AS36" s="9"/>
    </row>
    <row r="37" customFormat="false" ht="15" hidden="false" customHeight="false" outlineLevel="0" collapsed="false">
      <c r="A37" s="17"/>
      <c r="B37" s="20"/>
      <c r="C37" s="25"/>
      <c r="D37" s="19"/>
      <c r="E37" s="19"/>
      <c r="F37" s="19"/>
      <c r="O37" s="3" t="n">
        <v>2026</v>
      </c>
      <c r="P37" s="20" t="n">
        <f aca="false">+H246</f>
        <v>1184.6551</v>
      </c>
      <c r="Q37" s="20" t="n">
        <f aca="false">+H247</f>
        <v>1191.3238</v>
      </c>
      <c r="R37" s="20" t="n">
        <f aca="false">+H248</f>
        <v>1198.136</v>
      </c>
      <c r="S37" s="20" t="n">
        <f aca="false">+H249</f>
        <v>1204.874</v>
      </c>
      <c r="T37" s="20"/>
      <c r="U37" s="20"/>
      <c r="V37" s="20"/>
      <c r="W37" s="20"/>
      <c r="X37" s="20"/>
      <c r="Y37" s="20"/>
      <c r="Z37" s="20"/>
      <c r="AA37" s="20"/>
      <c r="AD37" s="21" t="n">
        <v>2025</v>
      </c>
      <c r="AE37" s="22" t="n">
        <f aca="false">+(P36/AA35-1)</f>
        <v>0.00340328436982462</v>
      </c>
      <c r="AF37" s="22" t="n">
        <f aca="false">+(Q36/P36-1)</f>
        <v>0.00392946303814501</v>
      </c>
      <c r="AG37" s="22" t="n">
        <f aca="false">+(R36/Q36-1)</f>
        <v>0.00509021570635704</v>
      </c>
      <c r="AH37" s="22" t="n">
        <f aca="false">+(S36/R36-1)</f>
        <v>0.00504383303239186</v>
      </c>
      <c r="AI37" s="22" t="n">
        <f aca="false">+(T36/S36-1)</f>
        <v>0.00589573204645788</v>
      </c>
      <c r="AJ37" s="22" t="n">
        <f aca="false">+(U36/T36-1)</f>
        <v>0.00576951042150031</v>
      </c>
      <c r="AK37" s="22" t="n">
        <f aca="false">+(V36/U36-1)</f>
        <v>0.00705705736263695</v>
      </c>
      <c r="AL37" s="22" t="n">
        <f aca="false">+(W36/V36-1)</f>
        <v>0.00664252422774148</v>
      </c>
      <c r="AM37" s="22" t="n">
        <f aca="false">+(X36/W36-1)</f>
        <v>0.00603404271959107</v>
      </c>
      <c r="AN37" s="22" t="n">
        <f aca="false">+(Y36/X36-1)</f>
        <v>0.0058182542564964</v>
      </c>
      <c r="AO37" s="22" t="n">
        <f aca="false">+(Z36/Y36-1)</f>
        <v>0.00790952771422804</v>
      </c>
      <c r="AP37" s="22" t="n">
        <f aca="false">+(AA36/Z36-1)</f>
        <v>0.00663885329582281</v>
      </c>
      <c r="AQ37" s="23" t="n">
        <f aca="false">+(AA36/P36-1)/COUNTA(AE37:AP37)*12</f>
        <v>0.0678283804317226</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0.00717821277116704</v>
      </c>
      <c r="AF38" s="22" t="n">
        <f aca="false">+(Q37/P37-1)</f>
        <v>0.00562923335239085</v>
      </c>
      <c r="AG38" s="22" t="n">
        <f aca="false">+(R37/Q37-1)</f>
        <v>0.00571817670393227</v>
      </c>
      <c r="AH38" s="22" t="n">
        <f aca="false">+(S37/R37-1)</f>
        <v>0.0056237355358657</v>
      </c>
      <c r="AQ38" s="23" t="n">
        <f aca="false">+(S37/P37-1)/COUNTA(AE38:AP38)*12</f>
        <v>0.0512019911955808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4"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t="n">
        <f aca="false">+AM19</f>
        <v>0.00779534514134506</v>
      </c>
      <c r="AN77" s="60" t="n">
        <f aca="false">+AN19</f>
        <v>0.00846015350417906</v>
      </c>
      <c r="AO77" s="60" t="n">
        <f aca="false">+AO19</f>
        <v>0.00752661431064561</v>
      </c>
      <c r="AP77" s="60" t="n">
        <f aca="false">+AP19</f>
        <v>0.00708194994827327</v>
      </c>
      <c r="AQ77" s="60" t="n">
        <f aca="false">+AQ19</f>
        <v>0.100882275530511</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t="n">
        <f aca="false">+AM48</f>
        <v>0.00678478712990516</v>
      </c>
      <c r="AN78" s="60" t="n">
        <f aca="false">+AN48</f>
        <v>0.00667611817591429</v>
      </c>
      <c r="AO78" s="60" t="n">
        <f aca="false">+AO48</f>
        <v>0.00616956723192952</v>
      </c>
      <c r="AP78" s="60" t="n">
        <f aca="false">+AP48</f>
        <v>0.00610155186395645</v>
      </c>
      <c r="AQ78" s="60" t="n">
        <f aca="false">+AQ48</f>
        <v>0.0844938543904241</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t="n">
        <f aca="false">+AM35</f>
        <v>0.00675295385597963</v>
      </c>
      <c r="AN79" s="60" t="n">
        <f aca="false">+AN35</f>
        <v>0.00895477708711034</v>
      </c>
      <c r="AO79" s="60" t="n">
        <f aca="false">+AO35</f>
        <v>0.00721282743267615</v>
      </c>
      <c r="AP79" s="60" t="n">
        <f aca="false">+AP35</f>
        <v>0.00708207035582875</v>
      </c>
      <c r="AQ79" s="60" t="n">
        <f aca="false">+AQ35</f>
        <v>0.0910211759540149</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0.00732389428015079</v>
      </c>
      <c r="AF82" s="60" t="n">
        <f aca="false">+AF36</f>
        <v>0.00534370954803598</v>
      </c>
      <c r="AG82" s="60" t="n">
        <f aca="false">+AG36</f>
        <v>0.00631702472161999</v>
      </c>
      <c r="AH82" s="60" t="n">
        <f aca="false">+AH36</f>
        <v>0.00659888476433523</v>
      </c>
      <c r="AI82" s="60" t="n">
        <f aca="false">+AI36</f>
        <v>0.00553131445312594</v>
      </c>
      <c r="AJ82" s="60" t="n">
        <f aca="false">+AJ36</f>
        <v>0.00472418099360561</v>
      </c>
      <c r="AK82" s="60" t="n">
        <f aca="false">+AK36</f>
        <v>0.00397395876215256</v>
      </c>
      <c r="AL82" s="60" t="n">
        <f aca="false">+AL36</f>
        <v>0.00466539128595755</v>
      </c>
      <c r="AM82" s="60" t="n">
        <f aca="false">+AM36</f>
        <v>0.00549566313748384</v>
      </c>
      <c r="AN82" s="60" t="n">
        <f aca="false">+AN36</f>
        <v>0.00452702916256742</v>
      </c>
      <c r="AO82" s="60" t="n">
        <f aca="false">+AO36</f>
        <v>0.00279099206531219</v>
      </c>
      <c r="AP82" s="60" t="n">
        <f aca="false">+AP36</f>
        <v>0.00418087352585439</v>
      </c>
      <c r="AQ82" s="60" t="n">
        <f aca="false">+AQ36</f>
        <v>0.0632258045770224</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0.00340328436982462</v>
      </c>
      <c r="AF85" s="60" t="n">
        <f aca="false">+AF37</f>
        <v>0.00392946303814501</v>
      </c>
      <c r="AG85" s="60" t="n">
        <f aca="false">+AG37</f>
        <v>0.00509021570635704</v>
      </c>
      <c r="AH85" s="60" t="n">
        <f aca="false">+AH37</f>
        <v>0.00504383303239186</v>
      </c>
      <c r="AI85" s="60" t="n">
        <f aca="false">+AI37</f>
        <v>0.00589573204645788</v>
      </c>
      <c r="AJ85" s="60" t="n">
        <f aca="false">+AJ37</f>
        <v>0.00576951042150031</v>
      </c>
      <c r="AK85" s="60" t="n">
        <f aca="false">+AK37</f>
        <v>0.00705705736263695</v>
      </c>
      <c r="AL85" s="60" t="n">
        <f aca="false">+AL37</f>
        <v>0.00664252422774148</v>
      </c>
      <c r="AM85" s="60" t="n">
        <f aca="false">+AM37</f>
        <v>0.00603404271959107</v>
      </c>
      <c r="AN85" s="60" t="n">
        <f aca="false">+AN37</f>
        <v>0.0058182542564964</v>
      </c>
      <c r="AO85" s="60" t="n">
        <f aca="false">+AO37</f>
        <v>0.00790952771422804</v>
      </c>
      <c r="AP85" s="60" t="n">
        <f aca="false">+AP37</f>
        <v>0.00663885329582281</v>
      </c>
      <c r="AQ85" s="60" t="n">
        <f aca="false">+AQ37</f>
        <v>0.0678283804317226</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0.00717821277116704</v>
      </c>
      <c r="AF88" s="60" t="n">
        <f aca="false">+AF38</f>
        <v>0.00562923335239085</v>
      </c>
      <c r="AG88" s="60" t="n">
        <f aca="false">+AG38</f>
        <v>0.00571817670393227</v>
      </c>
      <c r="AH88" s="60" t="n">
        <f aca="false">+AH38</f>
        <v>0.0056237355358657</v>
      </c>
      <c r="AI88" s="60"/>
      <c r="AJ88" s="60"/>
      <c r="AK88" s="60"/>
      <c r="AL88" s="60"/>
      <c r="AM88" s="60"/>
      <c r="AN88" s="60"/>
      <c r="AO88" s="60"/>
      <c r="AP88" s="60"/>
      <c r="AQ88" s="60" t="n">
        <f aca="false">+AQ38</f>
        <v>0.0512019911955808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62"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62"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62"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43100</v>
      </c>
      <c r="AE97" s="62"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62" t="n">
        <v>0.00473727239934226</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62"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62"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62"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62"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62"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62"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62"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62"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62"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62"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62"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62"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62"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62"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62"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S148" s="3" t="n">
        <v>2.08</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2.08</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c r="AD179" s="65"/>
      <c r="AE179" s="65"/>
      <c r="AF179" s="65"/>
      <c r="AG179" s="65"/>
      <c r="AH179" s="65"/>
      <c r="AI179" s="65"/>
      <c r="AJ179" s="65"/>
      <c r="AK179" s="65"/>
      <c r="AL179" s="65"/>
      <c r="AM179" s="65"/>
      <c r="AN179" s="65"/>
      <c r="AO179" s="65"/>
      <c r="AP179" s="65"/>
      <c r="AQ179" s="65"/>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v>100</v>
      </c>
      <c r="F217" s="17" t="n">
        <v>45175</v>
      </c>
      <c r="G217" s="4" t="n">
        <v>1000</v>
      </c>
      <c r="H217" s="4" t="n">
        <f aca="false">+G217+$S$148+$S$150+$S$152+$S$154+$S$156+$S$158</f>
        <v>1002.08</v>
      </c>
      <c r="I217" s="25" t="n">
        <v>0</v>
      </c>
      <c r="J217" s="18" t="n">
        <v>100</v>
      </c>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f aca="false">+D217*(1+C218)</f>
        <v>100.779534514135</v>
      </c>
      <c r="F218" s="17" t="n">
        <v>45199</v>
      </c>
      <c r="G218" s="4" t="n">
        <v>1006.767</v>
      </c>
      <c r="H218" s="4" t="n">
        <f aca="false">+G218+$S$148+$S$150+$S$152+$S$154+$S$156+$S$158</f>
        <v>1008.847</v>
      </c>
      <c r="I218" s="25" t="n">
        <f aca="false">+(H218/H217-1)/(F218-F217)*30</f>
        <v>0.00844119231997453</v>
      </c>
      <c r="J218" s="18" t="n">
        <f aca="false">+J217*(1+I218)</f>
        <v>100.844119231997</v>
      </c>
      <c r="K218" s="18" t="n">
        <v>5674.7198</v>
      </c>
      <c r="L218" s="68" t="n">
        <f aca="false">+(K218/K217-1)/(F218-A217)*30</f>
        <v>0.00678478712990516</v>
      </c>
      <c r="M218" s="19" t="n">
        <f aca="false">+M217*(1+L218)</f>
        <v>100.678478712991</v>
      </c>
    </row>
    <row r="219" customFormat="false" ht="15" hidden="false" customHeight="false" outlineLevel="0" collapsed="false">
      <c r="A219" s="17" t="n">
        <v>45230</v>
      </c>
      <c r="B219" s="19" t="n">
        <v>22920</v>
      </c>
      <c r="C219" s="25" t="n">
        <f aca="false">(B219/B218-1)/(A219-A218)*30</f>
        <v>0.0081872453266249</v>
      </c>
      <c r="D219" s="19" t="n">
        <f aca="false">+D218*(1+C219)</f>
        <v>101.604641287105</v>
      </c>
      <c r="F219" s="17" t="n">
        <v>45230</v>
      </c>
      <c r="G219" s="4" t="n">
        <v>1015.801</v>
      </c>
      <c r="H219" s="4" t="n">
        <f aca="false">+G219+$S$148+$S$150+$S$152+$S$154+$S$156+$S$158</f>
        <v>1017.881</v>
      </c>
      <c r="I219" s="25" t="n">
        <f aca="false">+(H219/H218-1)/(F219-F218)*30</f>
        <v>0.00866591331010679</v>
      </c>
      <c r="J219" s="18" t="n">
        <f aca="false">+J218*(1+I219)</f>
        <v>101.718025627096</v>
      </c>
      <c r="K219" s="3" t="n">
        <v>5712.6049</v>
      </c>
      <c r="L219" s="68" t="n">
        <f aca="false">+(K219/K218-1)/(F219-A218)*30</f>
        <v>0.00646075952507835</v>
      </c>
      <c r="M219" s="19" t="n">
        <f aca="false">+M218*(1+L219)</f>
        <v>101.328938153306</v>
      </c>
    </row>
    <row r="220" customFormat="false" ht="15" hidden="false" customHeight="false" outlineLevel="0" collapsed="false">
      <c r="A220" s="17" t="n">
        <v>45260</v>
      </c>
      <c r="B220" s="3" t="n">
        <v>23092.51</v>
      </c>
      <c r="C220" s="25" t="n">
        <f aca="false">(B220/B219-1)/(A220-A219)*30</f>
        <v>0.00752661431064561</v>
      </c>
      <c r="D220" s="19" t="n">
        <f aca="false">+D219*(1+C220)</f>
        <v>102.369380234244</v>
      </c>
      <c r="F220" s="17" t="n">
        <v>45260</v>
      </c>
      <c r="G220" s="4" t="n">
        <v>1023.1428</v>
      </c>
      <c r="H220" s="4" t="n">
        <f aca="false">+G220+$S$148+$S$150+$S$152+$S$154+$S$156+$S$158</f>
        <v>1025.2228</v>
      </c>
      <c r="I220" s="25" t="n">
        <f aca="false">+(H220/H219-1)/(F220-F219)*30</f>
        <v>0.00721282743267615</v>
      </c>
      <c r="J220" s="18" t="n">
        <f aca="false">+J219*(1+I220)</f>
        <v>102.451700192737</v>
      </c>
      <c r="K220" s="18" t="n">
        <v>5747.8492</v>
      </c>
      <c r="L220" s="25" t="n">
        <f aca="false">+(K220/K219-1)/(F220-F219)*30</f>
        <v>0.00616956723192952</v>
      </c>
      <c r="M220" s="19" t="n">
        <f aca="false">+M219*(1+L220)</f>
        <v>101.954093849783</v>
      </c>
    </row>
    <row r="221" customFormat="false" ht="15" hidden="false" customHeight="false" outlineLevel="0" collapsed="false">
      <c r="A221" s="17" t="n">
        <v>45291</v>
      </c>
      <c r="B221" s="3" t="n">
        <v>23256.05</v>
      </c>
      <c r="C221" s="25" t="n">
        <f aca="false">(B221/B220-1)/(A221-A220)*30</f>
        <v>0.00685349994994187</v>
      </c>
      <c r="D221" s="19" t="n">
        <f aca="false">+D220*(1+C221)</f>
        <v>103.070968776555</v>
      </c>
      <c r="F221" s="17" t="n">
        <v>45291</v>
      </c>
      <c r="G221" s="4" t="n">
        <v>1030.4035</v>
      </c>
      <c r="H221" s="4" t="n">
        <f aca="false">+G221+$S$148+$S$150+$S$152+$S$154+$S$156+$S$158</f>
        <v>1032.4835</v>
      </c>
      <c r="I221" s="25" t="n">
        <f aca="false">+(H221/H220-1)/(F221-F220)*30</f>
        <v>0.00685361647338266</v>
      </c>
      <c r="J221" s="18" t="n">
        <f aca="false">+J220*(1+I221)</f>
        <v>103.153864852904</v>
      </c>
      <c r="K221" s="3" t="n">
        <v>5782.92</v>
      </c>
      <c r="L221" s="25" t="n">
        <f aca="false">+(K221/K220-1)/(F221-F220)*30</f>
        <v>0.00590472761028043</v>
      </c>
      <c r="M221" s="19" t="n">
        <f aca="false">+M220*(1+L221)</f>
        <v>102.556105002719</v>
      </c>
    </row>
    <row r="222" customFormat="false" ht="15" hidden="false" customHeight="false" outlineLevel="0" collapsed="false">
      <c r="A222" s="17" t="n">
        <v>45322</v>
      </c>
      <c r="B222" s="3" t="n">
        <v>23427.15</v>
      </c>
      <c r="C222" s="25" t="n">
        <f aca="false">(B222/B221-1)/(A222-A221)*30</f>
        <v>0.00711989547499661</v>
      </c>
      <c r="D222" s="19" t="n">
        <f aca="false">+D221*(1+C222)</f>
        <v>103.804823300751</v>
      </c>
      <c r="F222" s="17" t="n">
        <v>45322</v>
      </c>
      <c r="G222" s="4" t="n">
        <v>1037.9653</v>
      </c>
      <c r="H222" s="4" t="n">
        <f aca="false">+G222+$S$148+$S$150+$S$152+$S$154+$S$156+$S$158</f>
        <v>1040.0453</v>
      </c>
      <c r="I222" s="25" t="n">
        <f aca="false">+(H222/H221-1)/(F222-F221)*30</f>
        <v>0.00708763962595238</v>
      </c>
      <c r="J222" s="18" t="n">
        <f aca="false">+J221*(1+I222)</f>
        <v>103.884982273005</v>
      </c>
      <c r="K222" s="3" t="n">
        <v>5816.8769</v>
      </c>
      <c r="L222" s="25" t="n">
        <f aca="false">+(K222/K221-1)/(F222-F221)*30</f>
        <v>0.00568251266298558</v>
      </c>
      <c r="M222" s="19" t="n">
        <f aca="false">+M221*(1+L222)</f>
        <v>103.138881368063</v>
      </c>
    </row>
    <row r="223" customFormat="false" ht="15" hidden="false" customHeight="false" outlineLevel="0" collapsed="false">
      <c r="A223" s="17" t="n">
        <v>45351</v>
      </c>
      <c r="B223" s="3" t="n">
        <v>23570.34</v>
      </c>
      <c r="C223" s="25" t="n">
        <f aca="false">(B223/B222-1)/(A223-A222)*30</f>
        <v>0.00632290253858852</v>
      </c>
      <c r="D223" s="19" t="n">
        <f aca="false">+D222*(1+C223)</f>
        <v>104.461171081517</v>
      </c>
      <c r="F223" s="17" t="n">
        <v>45351</v>
      </c>
      <c r="G223" s="4" t="n">
        <v>1043.523</v>
      </c>
      <c r="H223" s="4" t="n">
        <f aca="false">+G223+$S$148+$S$150+$S$152+$S$154+$S$156+$S$158</f>
        <v>1045.603</v>
      </c>
      <c r="I223" s="25" t="n">
        <f aca="false">+(H223/H222-1)/(F223-F222)*30</f>
        <v>0.00552797539451998</v>
      </c>
      <c r="J223" s="18" t="n">
        <f aca="false">+J222*(1+I223)</f>
        <v>104.459255898871</v>
      </c>
      <c r="K223" s="3" t="n">
        <v>5846.4552</v>
      </c>
      <c r="L223" s="25" t="n">
        <f aca="false">+(K223/K222-1)/(F223-F222)*30</f>
        <v>0.005260252521299</v>
      </c>
      <c r="M223" s="19" t="n">
        <f aca="false">+M222*(1+L223)</f>
        <v>103.681417928823</v>
      </c>
    </row>
    <row r="224" customFormat="false" ht="15" hidden="false" customHeight="false" outlineLevel="0" collapsed="false">
      <c r="A224" s="17" t="n">
        <v>45379</v>
      </c>
      <c r="B224" s="3" t="n">
        <v>23703.45</v>
      </c>
      <c r="C224" s="25" t="n">
        <f aca="false">(B224/B223-1)/(A224-A223)*30</f>
        <v>0.00605073397935101</v>
      </c>
      <c r="D224" s="19" t="n">
        <f aca="false">+D223*(1+C224)</f>
        <v>105.093237838903</v>
      </c>
      <c r="F224" s="17" t="n">
        <v>45379</v>
      </c>
      <c r="G224" s="4" t="n">
        <v>1050.1281</v>
      </c>
      <c r="H224" s="4" t="n">
        <f aca="false">+G224+$S$148+$S$150+$S$152+$S$154+$S$156+$S$158</f>
        <v>1052.2081</v>
      </c>
      <c r="I224" s="25" t="n">
        <f aca="false">+(H224/H223-1)/(F224-F223)*30</f>
        <v>0.00676824077316428</v>
      </c>
      <c r="J224" s="18" t="n">
        <f aca="false">+J223*(1+I224)</f>
        <v>105.16626129378</v>
      </c>
      <c r="K224" s="3" t="n">
        <v>5872.4728</v>
      </c>
      <c r="L224" s="25" t="n">
        <f aca="false">+(K224/K223-1)/(F224-F223)*30</f>
        <v>0.00476801737914621</v>
      </c>
      <c r="M224" s="19" t="n">
        <f aca="false">+M223*(1+L224)</f>
        <v>104.175772731403</v>
      </c>
    </row>
    <row r="225" customFormat="false" ht="15" hidden="false" customHeight="false" outlineLevel="0" collapsed="false">
      <c r="A225" s="17" t="n">
        <v>45412</v>
      </c>
      <c r="B225" s="3" t="n">
        <v>23847.87</v>
      </c>
      <c r="C225" s="25" t="n">
        <f aca="false">(B225/B224-1)/(A225-A224)*30</f>
        <v>0.00553889451075303</v>
      </c>
      <c r="D225" s="19" t="n">
        <f aca="false">+D224*(1+C225)</f>
        <v>105.675338197086</v>
      </c>
      <c r="F225" s="17" t="n">
        <v>45412</v>
      </c>
      <c r="G225" s="4" t="n">
        <v>1057.0715</v>
      </c>
      <c r="H225" s="4" t="n">
        <f aca="false">+G225+$S$148+$S$150+$S$152+$S$154+$S$156+$S$158</f>
        <v>1059.1515</v>
      </c>
      <c r="I225" s="25" t="n">
        <f aca="false">+(H225/H224-1)/(F225-F224)*30</f>
        <v>0.00599898614939567</v>
      </c>
      <c r="J225" s="18" t="n">
        <f aca="false">+J224*(1+I225)</f>
        <v>105.797152238665</v>
      </c>
      <c r="K225" s="3" t="n">
        <v>5900.1916</v>
      </c>
      <c r="L225" s="25" t="n">
        <f aca="false">+(K225/K224-1)/(F225-F224)*30</f>
        <v>0.00429102184873626</v>
      </c>
      <c r="M225" s="19" t="n">
        <f aca="false">+M224*(1+L225)</f>
        <v>104.622793248302</v>
      </c>
    </row>
    <row r="226" customFormat="false" ht="15" hidden="false" customHeight="false" outlineLevel="0" collapsed="false">
      <c r="A226" s="17" t="n">
        <v>45443</v>
      </c>
      <c r="B226" s="3" t="n">
        <v>23979.37</v>
      </c>
      <c r="C226" s="25" t="n">
        <f aca="false">(B226/B225-1)/(A226-A225)*30</f>
        <v>0.00533624447450137</v>
      </c>
      <c r="D226" s="19" t="n">
        <f aca="false">+D225*(1+C226)</f>
        <v>106.239247636631</v>
      </c>
      <c r="F226" s="17" t="n">
        <v>45443</v>
      </c>
      <c r="G226" s="4" t="n">
        <v>1062.93</v>
      </c>
      <c r="H226" s="4" t="n">
        <f aca="false">+G226+$S$148+$S$150+$S$152+$S$154+$S$156+$S$158</f>
        <v>1065.01</v>
      </c>
      <c r="I226" s="25" t="n">
        <f aca="false">+(H226/H225-1)/(F226-F225)*30</f>
        <v>0.005352884954638</v>
      </c>
      <c r="J226" s="18" t="n">
        <f aca="false">+J225*(1+I226)</f>
        <v>106.363472223127</v>
      </c>
      <c r="K226" s="3" t="n">
        <v>5924.7824</v>
      </c>
      <c r="L226" s="25" t="n">
        <f aca="false">+(K226/K225-1)/(F226-F225)*30</f>
        <v>0.00403335179608358</v>
      </c>
      <c r="M226" s="19" t="n">
        <f aca="false">+M225*(1+L226)</f>
        <v>105.044773779361</v>
      </c>
    </row>
    <row r="227" customFormat="false" ht="15" hidden="false" customHeight="false" outlineLevel="0" collapsed="false">
      <c r="A227" s="17" t="n">
        <v>45473</v>
      </c>
      <c r="B227" s="19" t="n">
        <v>24090</v>
      </c>
      <c r="C227" s="25" t="n">
        <f aca="false">(B227/B226-1)/(A227-A226)*30</f>
        <v>0.00461354906321554</v>
      </c>
      <c r="D227" s="19" t="n">
        <f aca="false">+D226*(1+C227)</f>
        <v>106.729387618042</v>
      </c>
      <c r="F227" s="17" t="n">
        <v>45473</v>
      </c>
      <c r="G227" s="4" t="n">
        <v>1067.9613</v>
      </c>
      <c r="H227" s="4" t="n">
        <f aca="false">+G227+$S$148+$S$150+$S$152+$S$154+$S$156+$S$158</f>
        <v>1070.0413</v>
      </c>
      <c r="I227" s="25" t="n">
        <f aca="false">+(H227/H226-1)/(F227-F226)*30</f>
        <v>0.00472418099360561</v>
      </c>
      <c r="J227" s="18" t="n">
        <f aca="false">+J226*(1+I227)</f>
        <v>106.865952517017</v>
      </c>
      <c r="K227" s="3" t="n">
        <v>5946.409</v>
      </c>
      <c r="L227" s="25" t="n">
        <f aca="false">+(K227/K226-1)/(F227-F226)*30</f>
        <v>0.00365019312776771</v>
      </c>
      <c r="M227" s="19" t="n">
        <f aca="false">+M226*(1+L227)</f>
        <v>105.428207490719</v>
      </c>
    </row>
    <row r="228" customFormat="false" ht="15" hidden="false" customHeight="false" outlineLevel="0" collapsed="false">
      <c r="A228" s="17" t="n">
        <v>45504</v>
      </c>
      <c r="B228" s="3" t="n">
        <v>24217.3</v>
      </c>
      <c r="C228" s="25" t="n">
        <f aca="false">(B228/B227-1)/(A228-A227)*30</f>
        <v>0.00511388743823562</v>
      </c>
      <c r="D228" s="19" t="n">
        <f aca="false">+D227*(1+C228)</f>
        <v>107.275189692672</v>
      </c>
      <c r="F228" s="17" t="n">
        <v>45504</v>
      </c>
      <c r="G228" s="4" t="n">
        <v>1072.2136</v>
      </c>
      <c r="H228" s="4" t="n">
        <f aca="false">+G228+$S$148+$S$150+$S$152+$S$154+$S$156+$S$158</f>
        <v>1074.2936</v>
      </c>
      <c r="I228" s="25" t="n">
        <f aca="false">+(H228/H227-1)/(F228-F227)*30</f>
        <v>0.00384576654401861</v>
      </c>
      <c r="J228" s="18" t="n">
        <f aca="false">+J227*(1+I228)</f>
        <v>107.276934021902</v>
      </c>
      <c r="K228" s="3" t="n">
        <v>5968.019</v>
      </c>
      <c r="L228" s="25" t="n">
        <f aca="false">+(K228/K227-1)/(F228-F227)*30</f>
        <v>0.00351689620169189</v>
      </c>
      <c r="M228" s="19" t="n">
        <f aca="false">+M227*(1+L228)</f>
        <v>105.798987553194</v>
      </c>
    </row>
    <row r="229" customFormat="false" ht="15" hidden="false" customHeight="false" outlineLevel="0" collapsed="false">
      <c r="A229" s="17" t="n">
        <v>45535</v>
      </c>
      <c r="B229" s="3" t="n">
        <v>24333.6</v>
      </c>
      <c r="C229" s="25" t="n">
        <f aca="false">(B229/B228-1)/(A229-A228)*30</f>
        <v>0.004647437455735</v>
      </c>
      <c r="D229" s="19" t="n">
        <f aca="false">+D228*(1+C229)</f>
        <v>107.773744427321</v>
      </c>
      <c r="F229" s="17" t="n">
        <v>45535</v>
      </c>
      <c r="G229" s="4" t="n">
        <v>1077.2256</v>
      </c>
      <c r="H229" s="4" t="n">
        <f aca="false">+G229+$S$148+$S$150+$S$152+$S$154+$S$156+$S$158</f>
        <v>1079.3056</v>
      </c>
      <c r="I229" s="25" t="n">
        <f aca="false">+(H229/H228-1)/(F229-F228)*30</f>
        <v>0.00451489479286215</v>
      </c>
      <c r="J229" s="18" t="n">
        <f aca="false">+J228*(1+I229)</f>
        <v>107.761278092711</v>
      </c>
      <c r="K229" s="3" t="n">
        <v>5989.669</v>
      </c>
      <c r="L229" s="25" t="n">
        <f aca="false">+(K229/K228-1)/(F229-F228)*30</f>
        <v>0.00351064782186953</v>
      </c>
      <c r="M229" s="19" t="n">
        <f aca="false">+M228*(1+L229)</f>
        <v>106.170410538404</v>
      </c>
    </row>
    <row r="230" customFormat="false" ht="15" hidden="false" customHeight="false" outlineLevel="0" collapsed="false">
      <c r="A230" s="17" t="n">
        <v>45565</v>
      </c>
      <c r="B230" s="3" t="n">
        <v>24449.94</v>
      </c>
      <c r="C230" s="25" t="n">
        <f aca="false">(B230/B229-1)/(A230-A229)*30</f>
        <v>0.00478104349541386</v>
      </c>
      <c r="D230" s="19" t="n">
        <f aca="false">+D229*(1+C230)</f>
        <v>108.289015387092</v>
      </c>
      <c r="F230" s="17" t="n">
        <v>45565</v>
      </c>
      <c r="G230" s="4" t="n">
        <v>1083.1571</v>
      </c>
      <c r="H230" s="4" t="n">
        <f aca="false">+G230+$S$148+$S$150+$S$152+$S$154+$S$156+$S$158</f>
        <v>1085.2371</v>
      </c>
      <c r="I230" s="25" t="n">
        <f aca="false">+(H230/H229-1)/(F230-F229)*30</f>
        <v>0.00549566313748384</v>
      </c>
      <c r="J230" s="18" t="n">
        <f aca="false">+J229*(1+I230)</f>
        <v>108.353497776374</v>
      </c>
      <c r="K230" s="3" t="n">
        <v>6009.8868</v>
      </c>
      <c r="L230" s="25" t="n">
        <f aca="false">+(K230/K229-1)/(F230-F229)*30</f>
        <v>0.0033754452875443</v>
      </c>
      <c r="M230" s="19" t="n">
        <f aca="false">+M229*(1+L230)</f>
        <v>106.528782950332</v>
      </c>
    </row>
    <row r="231" customFormat="false" ht="15" hidden="false" customHeight="false" outlineLevel="0" collapsed="false">
      <c r="A231" s="17" t="n">
        <v>45596</v>
      </c>
      <c r="B231" s="3" t="n">
        <v>24560.22</v>
      </c>
      <c r="C231" s="25" t="n">
        <f aca="false">(B231/B230-1)/(A231-A230)*30</f>
        <v>0.00436494243524368</v>
      </c>
      <c r="D231" s="19" t="n">
        <f aca="false">+D230*(1+C231)</f>
        <v>108.761690705626</v>
      </c>
      <c r="F231" s="17" t="n">
        <v>45596</v>
      </c>
      <c r="G231" s="4" t="n">
        <v>1088.07</v>
      </c>
      <c r="H231" s="4" t="n">
        <f aca="false">+G231+$S$148+$S$150+$S$152+$S$154+$S$156+$S$158</f>
        <v>1090.15</v>
      </c>
      <c r="I231" s="25" t="n">
        <f aca="false">+(H231/H230-1)/(F231-F230)*30</f>
        <v>0.00438099596377492</v>
      </c>
      <c r="J231" s="18" t="n">
        <f aca="false">+J230*(1+I231)</f>
        <v>108.828194012793</v>
      </c>
      <c r="K231" s="3" t="n">
        <v>6030.3854</v>
      </c>
      <c r="L231" s="25" t="n">
        <f aca="false">+(K231/K230-1)/(F231-F230)*30</f>
        <v>0.00330078677001207</v>
      </c>
      <c r="M231" s="19" t="n">
        <f aca="false">+M230*(1+L231)</f>
        <v>106.88041174772</v>
      </c>
    </row>
    <row r="232" customFormat="false" ht="15" hidden="false" customHeight="false" outlineLevel="0" collapsed="false">
      <c r="A232" s="17" t="n">
        <v>45626</v>
      </c>
      <c r="B232" s="3" t="n">
        <v>24667.9</v>
      </c>
      <c r="C232" s="25" t="n">
        <f aca="false">(B232/B231-1)/(A232-A231)*30</f>
        <v>0.0043843255475724</v>
      </c>
      <c r="D232" s="19" t="n">
        <f aca="false">+D231*(1+C232)</f>
        <v>109.238537364784</v>
      </c>
      <c r="F232" s="17" t="n">
        <v>45626</v>
      </c>
      <c r="G232" s="4" t="n">
        <v>1091.1126</v>
      </c>
      <c r="H232" s="4" t="n">
        <f aca="false">+G232+$S$148+$S$150+$S$152+$S$154+$S$156+$S$158</f>
        <v>1093.1926</v>
      </c>
      <c r="I232" s="25" t="n">
        <f aca="false">+(H232/H231-1)/(F232-F231)*30</f>
        <v>0.00279099206531219</v>
      </c>
      <c r="J232" s="18" t="n">
        <f aca="false">+J231*(1+I232)</f>
        <v>109.131932638765</v>
      </c>
      <c r="K232" s="3" t="n">
        <v>6049.8055</v>
      </c>
      <c r="L232" s="25" t="n">
        <f aca="false">+(K232/K231-1)/(F232-F231)*30</f>
        <v>0.00322037460491331</v>
      </c>
      <c r="M232" s="19" t="n">
        <f aca="false">+M231*(1+L232)</f>
        <v>107.224606711475</v>
      </c>
    </row>
    <row r="233" customFormat="false" ht="15" hidden="false" customHeight="false" outlineLevel="0" collapsed="false">
      <c r="A233" s="17" t="n">
        <v>45657</v>
      </c>
      <c r="B233" s="3" t="n">
        <v>24777.58</v>
      </c>
      <c r="C233" s="25" t="n">
        <f aca="false">(B233/B232-1)/(A233-A232)*30</f>
        <v>0.00430283629672052</v>
      </c>
      <c r="D233" s="19" t="n">
        <f aca="false">+D232*(1+C233)</f>
        <v>109.708572908357</v>
      </c>
      <c r="F233" s="17" t="n">
        <v>45657</v>
      </c>
      <c r="G233" s="4" t="n">
        <v>1095.6831</v>
      </c>
      <c r="H233" s="4" t="n">
        <f aca="false">+G233+$S$148+$S$150+$S$152+$S$154+$S$156+$S$158</f>
        <v>1097.7631</v>
      </c>
      <c r="I233" s="25" t="n">
        <f aca="false">+(H233/H232-1)/(F233-F232)*30</f>
        <v>0.0040460066379236</v>
      </c>
      <c r="J233" s="18" t="n">
        <f aca="false">+J232*(1+I233)</f>
        <v>109.573481162631</v>
      </c>
      <c r="K233" s="3" t="n">
        <v>6069.3455</v>
      </c>
      <c r="L233" s="25" t="n">
        <f aca="false">+(K233/K232-1)/(F233-F232)*30</f>
        <v>0.00312566700191516</v>
      </c>
      <c r="M233" s="19" t="n">
        <f aca="false">+M232*(1+L233)</f>
        <v>107.559755126466</v>
      </c>
    </row>
    <row r="234" customFormat="false" ht="15" hidden="false" customHeight="false" outlineLevel="0" collapsed="false">
      <c r="A234" s="17" t="n">
        <v>45688</v>
      </c>
      <c r="B234" s="3" t="n">
        <v>24887.95</v>
      </c>
      <c r="C234" s="25" t="n">
        <f aca="false">(B234/B233-1)/(A234-A233)*30</f>
        <v>0.00431073887842782</v>
      </c>
      <c r="D234" s="19" t="n">
        <f aca="false">+D233*(1+C234)</f>
        <v>110.18149791889</v>
      </c>
      <c r="F234" s="17" t="n">
        <v>45688</v>
      </c>
      <c r="G234" s="4" t="n">
        <v>1099.4191</v>
      </c>
      <c r="H234" s="4" t="n">
        <f aca="false">+G234+$S$148+$S$150+$S$152+$S$154+$S$156+$S$158</f>
        <v>1101.4991</v>
      </c>
      <c r="I234" s="25" t="n">
        <f aca="false">+(H234/H233-1)/(F234-F233)*30</f>
        <v>0.00329350100305609</v>
      </c>
      <c r="J234" s="18" t="n">
        <f aca="false">+J233*(1+I234)</f>
        <v>109.934361532748</v>
      </c>
      <c r="K234" s="3" t="n">
        <v>6087.6762</v>
      </c>
      <c r="L234" s="25" t="n">
        <f aca="false">+(K234/K233-1)/(F234-F233)*30</f>
        <v>0.00292278419423869</v>
      </c>
      <c r="M234" s="19" t="n">
        <f aca="false">+M233*(1+L234)</f>
        <v>107.874129078686</v>
      </c>
    </row>
    <row r="235" customFormat="false" ht="15" hidden="false" customHeight="false" outlineLevel="0" collapsed="false">
      <c r="A235" s="17" t="n">
        <v>45716</v>
      </c>
      <c r="B235" s="3" t="n">
        <v>24984.92</v>
      </c>
      <c r="C235" s="25" t="n">
        <f aca="false">(B235/B234-1)/(A235-A234)*30</f>
        <v>0.0041745675546369</v>
      </c>
      <c r="D235" s="19" t="n">
        <f aca="false">+D234*(1+C235)</f>
        <v>110.641458025224</v>
      </c>
      <c r="F235" s="17" t="n">
        <v>45716</v>
      </c>
      <c r="G235" s="4" t="n">
        <v>1103.7474</v>
      </c>
      <c r="H235" s="4" t="n">
        <f aca="false">+G235+$S$148+$S$150+$S$152+$S$154+$S$156+$S$158</f>
        <v>1105.8274</v>
      </c>
      <c r="I235" s="25" t="n">
        <f aca="false">+(H235/H234-1)/(F235-F234)*30</f>
        <v>0.00421013896944108</v>
      </c>
      <c r="J235" s="18" t="n">
        <f aca="false">+J234*(1+I235)</f>
        <v>110.397200472318</v>
      </c>
      <c r="K235" s="3" t="n">
        <v>6104.4912</v>
      </c>
      <c r="L235" s="25" t="n">
        <f aca="false">+(K235/K234-1)/(F235-F234)*30</f>
        <v>0.00295943326101547</v>
      </c>
      <c r="M235" s="19" t="n">
        <f aca="false">+M234*(1+L235)</f>
        <v>108.193375364285</v>
      </c>
    </row>
    <row r="236" customFormat="false" ht="15" hidden="false" customHeight="false" outlineLevel="0" collapsed="false">
      <c r="A236" s="17" t="n">
        <v>45747</v>
      </c>
      <c r="B236" s="3" t="n">
        <v>25092.7</v>
      </c>
      <c r="C236" s="25" t="n">
        <f aca="false">(B236/B235-1)/(A236-A235)*30</f>
        <v>0.00417464717943687</v>
      </c>
      <c r="D236" s="19" t="n">
        <f aca="false">+D235*(1+C236)</f>
        <v>111.103347075898</v>
      </c>
      <c r="F236" s="17" t="n">
        <v>45747</v>
      </c>
      <c r="G236" s="4" t="n">
        <v>1109.3763</v>
      </c>
      <c r="H236" s="4" t="n">
        <f aca="false">+G236+$S$148+$S$150+$S$152+$S$154+$S$156+$S$158</f>
        <v>1111.4563</v>
      </c>
      <c r="I236" s="25" t="n">
        <f aca="false">+(H236/H235-1)/(F236-F235)*30</f>
        <v>0.00492601519970036</v>
      </c>
      <c r="J236" s="18" t="n">
        <f aca="false">+J235*(1+I236)</f>
        <v>110.941018759849</v>
      </c>
      <c r="K236" s="3" t="n">
        <v>6123.1882</v>
      </c>
      <c r="L236" s="25" t="n">
        <f aca="false">+(K236/K235-1)/(F236-F235)*30</f>
        <v>0.00296402605474173</v>
      </c>
      <c r="M236" s="19" t="n">
        <f aca="false">+M235*(1+L236)</f>
        <v>108.514063347815</v>
      </c>
    </row>
    <row r="237" customFormat="false" ht="15" hidden="false" customHeight="false" outlineLevel="0" collapsed="false">
      <c r="A237" s="17" t="n">
        <v>45777</v>
      </c>
      <c r="B237" s="3" t="n">
        <v>25197.48</v>
      </c>
      <c r="C237" s="25" t="n">
        <f aca="false">(B237/B236-1)/(A237-A236)*30</f>
        <v>0.00417571644342774</v>
      </c>
      <c r="D237" s="19" t="n">
        <f aca="false">+D236*(1+C237)</f>
        <v>111.567283149202</v>
      </c>
      <c r="F237" s="17" t="n">
        <v>45777</v>
      </c>
      <c r="G237" s="4" t="n">
        <v>1114.9823</v>
      </c>
      <c r="H237" s="4" t="n">
        <f aca="false">+G237+$S$148+$S$150+$S$152+$S$154+$S$156+$S$158</f>
        <v>1117.0623</v>
      </c>
      <c r="I237" s="25" t="n">
        <f aca="false">+(H237/H236-1)/(F237-F236)*30</f>
        <v>0.00504383303239186</v>
      </c>
      <c r="J237" s="18" t="n">
        <f aca="false">+J236*(1+I237)</f>
        <v>111.500586734917</v>
      </c>
      <c r="K237" s="4" t="n">
        <v>6141.4105</v>
      </c>
      <c r="L237" s="25" t="n">
        <f aca="false">+(K237/K236-1)/(F237-F236)*30</f>
        <v>0.00297594968581905</v>
      </c>
      <c r="M237" s="19" t="n">
        <f aca="false">+M236*(1+L237)</f>
        <v>108.836995740542</v>
      </c>
    </row>
    <row r="238" customFormat="false" ht="15" hidden="false" customHeight="false" outlineLevel="0" collapsed="false">
      <c r="A238" s="17" t="n">
        <v>45808</v>
      </c>
      <c r="B238" s="3" t="n">
        <v>25302.66</v>
      </c>
      <c r="C238" s="25" t="n">
        <f aca="false">(B238/B237-1)/(A238-A237)*30</f>
        <v>0.00403957446435886</v>
      </c>
      <c r="D238" s="19" t="n">
        <f aca="false">+D237*(1+C238)</f>
        <v>112.01796749727</v>
      </c>
      <c r="F238" s="17" t="n">
        <v>45808</v>
      </c>
      <c r="G238" s="4" t="n">
        <v>1121.5682</v>
      </c>
      <c r="H238" s="4" t="n">
        <f aca="false">+G238+$S$148+$S$150+$S$152+$S$154+$S$156+$S$158</f>
        <v>1123.6482</v>
      </c>
      <c r="I238" s="25" t="n">
        <f aca="false">+(H238/H237-1)/(F238-F237)*30</f>
        <v>0.00570554714173343</v>
      </c>
      <c r="J238" s="18" t="n">
        <f aca="false">+J237*(1+I238)</f>
        <v>112.136758588864</v>
      </c>
      <c r="K238" s="3" t="n">
        <v>6160.386</v>
      </c>
      <c r="L238" s="25" t="n">
        <f aca="false">+(K238/K237-1)/(F238-F237)*30</f>
        <v>0.00299009276399519</v>
      </c>
      <c r="M238" s="19" t="n">
        <f aca="false">+M237*(1+L238)</f>
        <v>109.162428453961</v>
      </c>
    </row>
    <row r="239" customFormat="false" ht="15" hidden="false" customHeight="false" outlineLevel="0" collapsed="false">
      <c r="A239" s="17" t="n">
        <v>45838</v>
      </c>
      <c r="B239" s="3" t="n">
        <v>25411.83</v>
      </c>
      <c r="C239" s="25" t="n">
        <f aca="false">(B239/B238-1)/(A239-A238)*30</f>
        <v>0.00431456613652492</v>
      </c>
      <c r="D239" s="19" t="n">
        <f aca="false">+D238*(1+C239)</f>
        <v>112.501276426516</v>
      </c>
      <c r="F239" s="17" t="n">
        <v>45838</v>
      </c>
      <c r="G239" s="4" t="n">
        <v>1128.0511</v>
      </c>
      <c r="H239" s="4" t="n">
        <f aca="false">+G239+$S$148+$S$150+$S$152+$S$154+$S$156+$S$158</f>
        <v>1130.1311</v>
      </c>
      <c r="I239" s="25" t="n">
        <f aca="false">+(H239/H238-1)/(F239-F238)*30</f>
        <v>0.00576951042150031</v>
      </c>
      <c r="J239" s="18" t="n">
        <f aca="false">+J238*(1+I239)</f>
        <v>112.783732786176</v>
      </c>
      <c r="K239" s="3" t="n">
        <v>6178.849</v>
      </c>
      <c r="L239" s="25" t="n">
        <f aca="false">+(K239/K238-1)/(F239-F238)*30</f>
        <v>0.00299705245742721</v>
      </c>
      <c r="M239" s="19" t="n">
        <f aca="false">+M238*(1+L239)</f>
        <v>109.489593978417</v>
      </c>
    </row>
    <row r="240" customFormat="false" ht="15" hidden="false" customHeight="false" outlineLevel="0" collapsed="false">
      <c r="A240" s="17" t="n">
        <v>45869</v>
      </c>
      <c r="B240" s="3" t="n">
        <v>25521.26</v>
      </c>
      <c r="C240" s="25" t="n">
        <f aca="false">(B240/B239-1)/(A240-A239)*30</f>
        <v>0.00416735040333568</v>
      </c>
      <c r="D240" s="19" t="n">
        <f aca="false">+D239*(1+C240)</f>
        <v>112.970108666208</v>
      </c>
      <c r="F240" s="17" t="n">
        <v>45869</v>
      </c>
      <c r="G240" s="4" t="n">
        <v>1136.0265</v>
      </c>
      <c r="H240" s="4" t="n">
        <f aca="false">+G240+$S$148+$S$150+$S$152+$S$154+$S$156+$S$158</f>
        <v>1138.1065</v>
      </c>
      <c r="I240" s="25" t="n">
        <f aca="false">+(H240/H239-1)/(F240-F239)*30</f>
        <v>0.00682941035093899</v>
      </c>
      <c r="J240" s="18" t="n">
        <f aca="false">+J239*(1+I240)</f>
        <v>113.553979178283</v>
      </c>
      <c r="K240" s="3" t="n">
        <v>6197.08</v>
      </c>
      <c r="L240" s="25" t="n">
        <f aca="false">+(K240/K239-1)/(F240-F239)*30</f>
        <v>0.00285537051088415</v>
      </c>
      <c r="M240" s="19" t="n">
        <f aca="false">+M239*(1+L240)</f>
        <v>109.802227336312</v>
      </c>
    </row>
    <row r="241" customFormat="false" ht="15" hidden="false" customHeight="false" outlineLevel="0" collapsed="false">
      <c r="A241" s="17" t="n">
        <v>45900</v>
      </c>
      <c r="B241" s="3" t="n">
        <v>25619.09</v>
      </c>
      <c r="C241" s="25" t="n">
        <f aca="false">(B241/B240-1)/(A241-A240)*30</f>
        <v>0.00370962066717663</v>
      </c>
      <c r="D241" s="19" t="n">
        <f aca="false">+D240*(1+C241)</f>
        <v>113.389184916089</v>
      </c>
      <c r="F241" s="17" t="n">
        <v>45900</v>
      </c>
      <c r="G241" s="4" t="n">
        <v>1143.5864</v>
      </c>
      <c r="H241" s="4" t="n">
        <f aca="false">+G241+$S$148+$S$150+$S$152+$S$154+$S$156+$S$158</f>
        <v>1145.6664</v>
      </c>
      <c r="I241" s="25" t="n">
        <f aca="false">+(H241/H240-1)/(F241-F240)*30</f>
        <v>0.00642824925265304</v>
      </c>
      <c r="J241" s="18" t="n">
        <f aca="false">+J240*(1+I241)</f>
        <v>114.283932460072</v>
      </c>
      <c r="K241" s="3" t="n">
        <v>6215.6746</v>
      </c>
      <c r="L241" s="25" t="n">
        <f aca="false">+(K241/K240-1)/(F241-F240)*30</f>
        <v>0.00290375050726291</v>
      </c>
      <c r="M241" s="19" t="n">
        <f aca="false">+M240*(1+L241)</f>
        <v>110.121065609638</v>
      </c>
    </row>
    <row r="242" customFormat="false" ht="15" hidden="false" customHeight="false" outlineLevel="0" collapsed="false">
      <c r="A242" s="17" t="n">
        <v>45930</v>
      </c>
      <c r="B242" s="3" t="n">
        <v>25727.46</v>
      </c>
      <c r="C242" s="25" t="n">
        <f aca="false">(B242/B241-1)/(A242-A241)*30</f>
        <v>0.00423004876441735</v>
      </c>
      <c r="D242" s="19" t="n">
        <f aca="false">+D241*(1+C242)</f>
        <v>113.868826697642</v>
      </c>
      <c r="F242" s="17" t="n">
        <v>45930</v>
      </c>
      <c r="G242" s="4" t="n">
        <v>1150.4994</v>
      </c>
      <c r="H242" s="4" t="n">
        <f aca="false">+G242+$S$148+$S$150+$S$152+$S$154+$S$156+$S$158</f>
        <v>1152.5794</v>
      </c>
      <c r="I242" s="25" t="n">
        <f aca="false">+(H242/H241-1)/(F242-F241)*30</f>
        <v>0.00603404271959107</v>
      </c>
      <c r="J242" s="18" t="n">
        <f aca="false">+J241*(1+I242)</f>
        <v>114.973526590699</v>
      </c>
      <c r="K242" s="3" t="n">
        <v>6232.8399</v>
      </c>
      <c r="L242" s="25" t="n">
        <f aca="false">+(K242/K241-1)/(F242-F241)*30</f>
        <v>0.00276161496613736</v>
      </c>
      <c r="M242" s="19" t="n">
        <f aca="false">+M241*(1+L242)</f>
        <v>110.425177592513</v>
      </c>
    </row>
    <row r="243" customFormat="false" ht="15" hidden="false" customHeight="false" outlineLevel="0" collapsed="false">
      <c r="A243" s="17" t="n">
        <v>45961</v>
      </c>
      <c r="B243" s="3" t="n">
        <v>25829.5</v>
      </c>
      <c r="C243" s="25" t="n">
        <f aca="false">(B243/B242-1)/(A243-A242)*30</f>
        <v>0.00383824859106876</v>
      </c>
      <c r="D243" s="19" t="n">
        <f aca="false">+D242*(1+C243)</f>
        <v>114.30588356128</v>
      </c>
      <c r="F243" s="17" t="n">
        <v>45961</v>
      </c>
      <c r="G243" s="4" t="n">
        <v>1157.2054</v>
      </c>
      <c r="H243" s="4" t="n">
        <f aca="false">+G243+$S$148+$S$150+$S$152+$S$154+$S$156+$S$158</f>
        <v>1159.2854</v>
      </c>
      <c r="I243" s="25" t="n">
        <f aca="false">+(H243/H242-1)/(F243-F242)*30</f>
        <v>0.0056305686353191</v>
      </c>
      <c r="J243" s="18" t="n">
        <f aca="false">+J242*(1+I243)</f>
        <v>115.620892923412</v>
      </c>
      <c r="K243" s="3" t="n">
        <v>6250.6982</v>
      </c>
      <c r="L243" s="25" t="n">
        <f aca="false">+(K243/K242-1)/(F243-F242)*30</f>
        <v>0.00277276908820515</v>
      </c>
      <c r="M243" s="19" t="n">
        <f aca="false">+M242*(1+L243)</f>
        <v>110.731361111501</v>
      </c>
    </row>
    <row r="244" customFormat="false" ht="15" hidden="false" customHeight="false" outlineLevel="0" collapsed="false">
      <c r="A244" s="17" t="n">
        <v>45991</v>
      </c>
      <c r="B244" s="3" t="n">
        <v>25928.49</v>
      </c>
      <c r="C244" s="25" t="n">
        <f aca="false">(B244/B243-1)/(A244-A243)*30</f>
        <v>0.00383243965233548</v>
      </c>
      <c r="D244" s="19" t="n">
        <f aca="false">+D243*(1+C244)</f>
        <v>114.743953961936</v>
      </c>
      <c r="F244" s="17" t="n">
        <v>45991</v>
      </c>
      <c r="G244" s="4" t="n">
        <v>1166.3748</v>
      </c>
      <c r="H244" s="4" t="n">
        <f aca="false">+G244+$S$148+$S$150+$S$152+$S$154+$S$156+$S$158</f>
        <v>1168.4548</v>
      </c>
      <c r="I244" s="25" t="n">
        <f aca="false">+(H244/H243-1)/(F244-F243)*30</f>
        <v>0.00790952771422804</v>
      </c>
      <c r="J244" s="18" t="n">
        <f aca="false">+J243*(1+I244)</f>
        <v>116.535399580334</v>
      </c>
      <c r="K244" s="3" t="n">
        <v>6268.169</v>
      </c>
      <c r="L244" s="25" t="n">
        <f aca="false">+(K244/K243-1)/(F244-F243)*30</f>
        <v>0.00279501576319907</v>
      </c>
      <c r="M244" s="19" t="n">
        <f aca="false">+M243*(1+L244)</f>
        <v>111.040857011288</v>
      </c>
    </row>
    <row r="245" customFormat="false" ht="15" hidden="false" customHeight="false" outlineLevel="0" collapsed="false">
      <c r="A245" s="17" t="n">
        <v>46022</v>
      </c>
      <c r="B245" s="3" t="n">
        <v>26035.82</v>
      </c>
      <c r="C245" s="25" t="n">
        <f aca="false">(B245/B244-1)/(A245-A244)*30</f>
        <v>0.00400593100236385</v>
      </c>
      <c r="D245" s="19" t="n">
        <f aca="false">+D244*(1+C245)</f>
        <v>115.203610324446</v>
      </c>
      <c r="F245" s="17" t="n">
        <v>46022</v>
      </c>
      <c r="G245" s="69" t="n">
        <v>1174.132</v>
      </c>
      <c r="H245" s="4" t="n">
        <f aca="false">+G245+$S$148+$S$150+$S$152+$S$154+$S$156+$S$158</f>
        <v>1176.212</v>
      </c>
      <c r="I245" s="25" t="n">
        <f aca="false">+(H245/H244-1)/(F245-F244)*30</f>
        <v>0.00642469673789304</v>
      </c>
      <c r="J245" s="18" t="n">
        <f aca="false">+J244*(1+I245)</f>
        <v>117.284104181867</v>
      </c>
      <c r="K245" s="3" t="n">
        <v>6285.9566</v>
      </c>
      <c r="L245" s="25" t="n">
        <f aca="false">+(K245/K244-1)/(F245-F244)*30</f>
        <v>0.00274622564446067</v>
      </c>
      <c r="M245" s="19" t="n">
        <f aca="false">+M244*(1+L245)</f>
        <v>111.345800260395</v>
      </c>
    </row>
    <row r="246" customFormat="false" ht="15.75" hidden="false" customHeight="true" outlineLevel="0" collapsed="false">
      <c r="A246" s="17" t="n">
        <v>46053</v>
      </c>
      <c r="B246" s="3" t="n">
        <v>26136.9</v>
      </c>
      <c r="C246" s="25" t="n">
        <f aca="false">(B246/B245-1)/(A246-A245)*30</f>
        <v>0.00375710674135526</v>
      </c>
      <c r="D246" s="19" t="n">
        <f aca="false">+D245*(1+C246)</f>
        <v>115.636442585424</v>
      </c>
      <c r="F246" s="17" t="n">
        <v>46053</v>
      </c>
      <c r="G246" s="70" t="n">
        <v>1182.5751</v>
      </c>
      <c r="H246" s="4" t="n">
        <f aca="false">+G246+$S$148+$S$150+$S$152+$S$154+$S$156+$S$158</f>
        <v>1184.6551</v>
      </c>
      <c r="I246" s="25" t="n">
        <f aca="false">+(H246/H245-1)/(F246-F245)*30</f>
        <v>0.00694665752048423</v>
      </c>
      <c r="J246" s="18" t="n">
        <f aca="false">+J245*(1+I246)</f>
        <v>118.098836686215</v>
      </c>
      <c r="K246" s="3" t="n">
        <v>6303.0823</v>
      </c>
      <c r="L246" s="25" t="n">
        <f aca="false">+(K246/K245-1)/(F246-F245)*30</f>
        <v>0.00263655305296194</v>
      </c>
      <c r="M246" s="19" t="n">
        <f aca="false">+M245*(1+L246)</f>
        <v>111.639369370006</v>
      </c>
    </row>
    <row r="247" customFormat="false" ht="16.5" hidden="false" customHeight="true" outlineLevel="0" collapsed="false">
      <c r="A247" s="71" t="n">
        <v>46081</v>
      </c>
      <c r="B247" s="72" t="n">
        <v>26231.81</v>
      </c>
      <c r="C247" s="25" t="n">
        <f aca="false">(B247/B246-1)/(A247-A246)*30</f>
        <v>0.00389064065418173</v>
      </c>
      <c r="D247" s="19" t="n">
        <f aca="false">+D246*(1+C247)</f>
        <v>116.086342430052</v>
      </c>
      <c r="F247" s="71" t="n">
        <v>46081</v>
      </c>
      <c r="G247" s="69" t="n">
        <v>1189.2438</v>
      </c>
      <c r="H247" s="4" t="n">
        <f aca="false">+G247+$S$148+$S$150+$S$152+$S$154+$S$156+$S$158</f>
        <v>1191.3238</v>
      </c>
      <c r="I247" s="25" t="n">
        <f aca="false">+(H247/H246-1)/(F247-F246)*30</f>
        <v>0.0060313214489902</v>
      </c>
      <c r="J247" s="18" t="n">
        <f aca="false">+J246*(1+I247)</f>
        <v>118.811128733021</v>
      </c>
      <c r="K247" s="73" t="n">
        <v>6318.4947</v>
      </c>
      <c r="L247" s="25" t="n">
        <f aca="false">+(K247/K246-1)/(F247-F246)*30</f>
        <v>0.00261987467850238</v>
      </c>
      <c r="M247" s="19" t="n">
        <f aca="false">+M246*(1+L247)</f>
        <v>111.931850526943</v>
      </c>
    </row>
    <row r="248" customFormat="false" ht="16.5" hidden="false" customHeight="true" outlineLevel="0" collapsed="false">
      <c r="A248" s="71" t="n">
        <v>46112</v>
      </c>
      <c r="B248" s="72" t="n">
        <v>26333.64</v>
      </c>
      <c r="C248" s="25" t="n">
        <f aca="false">(B248/B247-1)/(A248-A247)*30</f>
        <v>0.00375670459988545</v>
      </c>
      <c r="D248" s="19" t="n">
        <f aca="false">+D247*(1+C248)</f>
        <v>116.522444526643</v>
      </c>
      <c r="F248" s="71" t="n">
        <v>46112</v>
      </c>
      <c r="G248" s="70" t="n">
        <v>1196.056</v>
      </c>
      <c r="H248" s="4" t="n">
        <f aca="false">+G248+$S$148+$S$150+$S$152+$S$154+$S$156+$S$158</f>
        <v>1198.136</v>
      </c>
      <c r="I248" s="25" t="n">
        <f aca="false">+(H248/H247-1)/(F248-F247)*30</f>
        <v>0.00553371939090219</v>
      </c>
      <c r="J248" s="18" t="n">
        <f aca="false">+J247*(1+I248)</f>
        <v>119.468596179946</v>
      </c>
      <c r="K248" s="74" t="n">
        <v>6335.4774</v>
      </c>
      <c r="L248" s="25" t="n">
        <f aca="false">+(K248/K247-1)/(F248-F247)*30</f>
        <v>0.00260107379179124</v>
      </c>
      <c r="M248" s="19" t="n">
        <f aca="false">+M247*(1+L248)</f>
        <v>112.222993529815</v>
      </c>
    </row>
    <row r="249" customFormat="false" ht="15.75" hidden="false" customHeight="true" outlineLevel="0" collapsed="false">
      <c r="A249" s="17" t="n">
        <v>46142</v>
      </c>
      <c r="B249" s="3" t="n">
        <v>19635.3400812264</v>
      </c>
      <c r="C249" s="25" t="n">
        <f aca="false">(B249/B248-1)/(A249-A248)*30</f>
        <v>-0.254362857499898</v>
      </c>
      <c r="D249" s="19" t="n">
        <f aca="false">+D248*(1+C249)</f>
        <v>86.8834625739727</v>
      </c>
      <c r="F249" s="17" t="n">
        <v>46142</v>
      </c>
      <c r="G249" s="4" t="n">
        <v>1202.794</v>
      </c>
      <c r="H249" s="4" t="n">
        <f aca="false">+G249+$S$148+$S$150+$S$152+$S$154+$S$156+$S$158</f>
        <v>1204.874</v>
      </c>
      <c r="I249" s="25" t="n">
        <f aca="false">+(H249/H248-1)/(F249-F248)*30</f>
        <v>0.0056237355358657</v>
      </c>
      <c r="J249" s="18" t="n">
        <f aca="false">+J248*(1+I249)</f>
        <v>120.140455969703</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1" colorId="64" zoomScale="76" zoomScaleNormal="76"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5.14"/>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46</v>
      </c>
    </row>
    <row r="2" customFormat="false" ht="15" hidden="false" customHeight="false" outlineLevel="0" collapsed="false">
      <c r="C2" s="76"/>
      <c r="D2" s="77"/>
      <c r="E2" s="77"/>
      <c r="F2" s="77"/>
      <c r="G2" s="77"/>
      <c r="H2" s="77"/>
      <c r="I2" s="77"/>
      <c r="J2" s="77"/>
      <c r="K2" s="77"/>
      <c r="L2" s="77"/>
      <c r="M2" s="77"/>
      <c r="N2" s="77"/>
      <c r="O2" s="77"/>
      <c r="P2" s="77"/>
      <c r="Q2" s="77"/>
      <c r="R2" s="77"/>
      <c r="S2" s="76" t="s">
        <v>47</v>
      </c>
      <c r="T2" s="81" t="n">
        <f aca="false">+'Datos ICP (2)'!AX29</f>
        <v>-0.254362857499898</v>
      </c>
      <c r="U2" s="81" t="n">
        <f aca="false">+'Datos ICP (2)'!AY29</f>
        <v>-0.248750231235289</v>
      </c>
      <c r="V2" s="81" t="n">
        <f aca="false">+'Datos ICP (2)'!AZ29</f>
        <v>-0.239809516977627</v>
      </c>
      <c r="W2" s="81" t="n">
        <f aca="false">+Q33</f>
        <v>0.0654251259349719</v>
      </c>
      <c r="X2" s="81" t="n">
        <f aca="false">+'Datos ICP (2)'!BB29</f>
        <v>-0.746250693705866</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+Q34</f>
        <v>0.0495295629197707</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0.0056237355358657</v>
      </c>
      <c r="U4" s="81" t="n">
        <f aca="false">+'Datos ICP (2)'!AY31</f>
        <v>0.0170673303985269</v>
      </c>
      <c r="V4" s="81" t="n">
        <f aca="false">+'Datos ICP (2)'!AZ31</f>
        <v>0.0393247426388705</v>
      </c>
      <c r="W4" s="81" t="n">
        <f aca="false">+Q35</f>
        <v>0.0632258045770224</v>
      </c>
      <c r="X4" s="81" t="n">
        <f aca="false">+'Datos ICP (2)'!BB31</f>
        <v>0.0512019911955808</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48</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false" customHeight="true" outlineLevel="0" collapsed="false">
      <c r="C30" s="76" t="n">
        <v>2023</v>
      </c>
      <c r="D30" s="77" t="s">
        <v>3</v>
      </c>
      <c r="E30" s="81"/>
      <c r="F30" s="81"/>
      <c r="G30" s="81"/>
      <c r="H30" s="81"/>
      <c r="I30" s="81"/>
      <c r="J30" s="81"/>
      <c r="K30" s="81"/>
      <c r="L30" s="81"/>
      <c r="M30" s="81" t="n">
        <f aca="false">+'Datos ICP (2)'!AM77</f>
        <v>0.00779534514134506</v>
      </c>
      <c r="N30" s="81" t="n">
        <f aca="false">+'Datos ICP (2)'!AN77</f>
        <v>0.00846015350417906</v>
      </c>
      <c r="O30" s="81" t="n">
        <f aca="false">+'Datos ICP (2)'!AO77</f>
        <v>0.00752661431064561</v>
      </c>
      <c r="P30" s="81" t="n">
        <f aca="false">+'Datos ICP (2)'!AP77</f>
        <v>0.00708194994827327</v>
      </c>
      <c r="Q30" s="81" t="n">
        <f aca="false">+'Datos ICP (2)'!AQ77</f>
        <v>0.100882275530511</v>
      </c>
      <c r="R30" s="77"/>
      <c r="S30" s="77"/>
      <c r="T30" s="77"/>
      <c r="U30" s="77"/>
      <c r="V30" s="77"/>
      <c r="W30" s="77"/>
      <c r="X30" s="77"/>
    </row>
    <row r="31" customFormat="false" ht="15" hidden="false" customHeight="true" outlineLevel="0" collapsed="false">
      <c r="C31" s="76"/>
      <c r="D31" s="77" t="s">
        <v>26</v>
      </c>
      <c r="E31" s="87"/>
      <c r="F31" s="87"/>
      <c r="G31" s="87"/>
      <c r="H31" s="87"/>
      <c r="I31" s="87"/>
      <c r="J31" s="87"/>
      <c r="K31" s="87"/>
      <c r="L31" s="87"/>
      <c r="M31" s="87" t="n">
        <f aca="false">+'Datos ICP (2)'!AM78</f>
        <v>0.00678478712990516</v>
      </c>
      <c r="N31" s="87" t="n">
        <f aca="false">+'Datos ICP (2)'!AN78</f>
        <v>0.00667611817591429</v>
      </c>
      <c r="O31" s="87" t="n">
        <f aca="false">+'Datos ICP (2)'!AO78</f>
        <v>0.00616956723192952</v>
      </c>
      <c r="P31" s="87" t="n">
        <f aca="false">+'Datos ICP (2)'!AP78</f>
        <v>0.00610155186395645</v>
      </c>
      <c r="Q31" s="81" t="n">
        <f aca="false">+'Datos ICP (2)'!AQ78</f>
        <v>0.0844938543904241</v>
      </c>
      <c r="R31" s="77"/>
      <c r="S31" s="77"/>
      <c r="T31" s="77"/>
      <c r="U31" s="77"/>
      <c r="V31" s="77"/>
      <c r="W31" s="77"/>
      <c r="X31" s="77"/>
    </row>
    <row r="32" customFormat="false" ht="15" hidden="false" customHeight="true" outlineLevel="0" collapsed="false">
      <c r="C32" s="76"/>
      <c r="D32" s="77" t="s">
        <v>38</v>
      </c>
      <c r="E32" s="87"/>
      <c r="F32" s="87"/>
      <c r="G32" s="87"/>
      <c r="H32" s="87"/>
      <c r="I32" s="87"/>
      <c r="J32" s="87"/>
      <c r="K32" s="87"/>
      <c r="L32" s="87"/>
      <c r="M32" s="87" t="n">
        <f aca="false">+'Datos ICP (2)'!AM79</f>
        <v>0.00675295385597963</v>
      </c>
      <c r="N32" s="87" t="n">
        <f aca="false">+'Datos ICP (2)'!AN79</f>
        <v>0.00895477708711034</v>
      </c>
      <c r="O32" s="87" t="n">
        <f aca="false">+'Datos ICP (2)'!AO79</f>
        <v>0.00721282743267615</v>
      </c>
      <c r="P32" s="87" t="n">
        <f aca="false">+'Datos ICP (2)'!AP79</f>
        <v>0.00708207035582875</v>
      </c>
      <c r="Q32" s="81" t="n">
        <f aca="false">+'Datos ICP (2)'!AQ79</f>
        <v>0.0910211759540149</v>
      </c>
      <c r="R32" s="77"/>
      <c r="S32" s="77"/>
      <c r="T32" s="77"/>
      <c r="U32" s="77"/>
      <c r="V32" s="77"/>
      <c r="W32" s="77"/>
      <c r="X32" s="77"/>
    </row>
    <row r="33" customFormat="false" ht="15" hidden="false" customHeight="true" outlineLevel="0" collapsed="false">
      <c r="C33" s="76" t="n">
        <v>2024</v>
      </c>
      <c r="D33" s="77" t="s">
        <v>3</v>
      </c>
      <c r="E33" s="81" t="n">
        <f aca="false">+'Datos ICP (2)'!AE80</f>
        <v>0.00735722532416316</v>
      </c>
      <c r="F33" s="81" t="n">
        <f aca="false">+'Datos ICP (2)'!AF80</f>
        <v>0.00611213912063557</v>
      </c>
      <c r="G33" s="81" t="n">
        <f aca="false">+'Datos ICP (2)'!AG80</f>
        <v>0.00564735171406094</v>
      </c>
      <c r="H33" s="81" t="n">
        <f aca="false">+'Datos ICP (2)'!AH80</f>
        <v>0.00609278396182833</v>
      </c>
      <c r="I33" s="81" t="n">
        <f aca="false">+'Datos ICP (2)'!AI80</f>
        <v>0.00551411929031809</v>
      </c>
      <c r="J33" s="81" t="n">
        <f aca="false">+'Datos ICP (2)'!AJ80</f>
        <v>0.00461354906321554</v>
      </c>
      <c r="K33" s="81" t="n">
        <f aca="false">+'Datos ICP (2)'!AK80</f>
        <v>0.00528435035284347</v>
      </c>
      <c r="L33" s="81" t="n">
        <f aca="false">+'Datos ICP (2)'!AL80</f>
        <v>0.00480235203759283</v>
      </c>
      <c r="M33" s="81" t="n">
        <f aca="false">+'Datos ICP (2)'!AM80</f>
        <v>0.00478104349541386</v>
      </c>
      <c r="N33" s="81" t="n">
        <f aca="false">+'Datos ICP (2)'!AN80</f>
        <v>0.00451044051641847</v>
      </c>
      <c r="O33" s="81" t="n">
        <f aca="false">+'Datos ICP (2)'!AO80</f>
        <v>0.0043843255475724</v>
      </c>
      <c r="P33" s="81" t="n">
        <f aca="false">+'Datos ICP (2)'!AP80</f>
        <v>0.00444626417327787</v>
      </c>
      <c r="Q33" s="81" t="n">
        <f aca="false">+'Datos ICP (2)'!$AQ$80</f>
        <v>0.0654251259349719</v>
      </c>
      <c r="R33" s="77"/>
      <c r="S33" s="77"/>
      <c r="T33" s="77"/>
      <c r="U33" s="77"/>
      <c r="V33" s="77"/>
      <c r="W33" s="77"/>
      <c r="X33" s="77"/>
    </row>
    <row r="34" customFormat="false" ht="15" hidden="false" customHeight="true" outlineLevel="0" collapsed="false">
      <c r="C34" s="76"/>
      <c r="D34" s="77" t="s">
        <v>26</v>
      </c>
      <c r="E34" s="87" t="n">
        <f aca="false">+'Datos ICP (2)'!AE81</f>
        <v>0.00587192975175177</v>
      </c>
      <c r="F34" s="87" t="n">
        <f aca="false">+'Datos ICP (2)'!AF81</f>
        <v>0.00508491077058904</v>
      </c>
      <c r="G34" s="87" t="n">
        <f aca="false">+'Datos ICP (2)'!AG81</f>
        <v>0.0044501495538698</v>
      </c>
      <c r="H34" s="87" t="n">
        <f aca="false">+'Datos ICP (2)'!AH81</f>
        <v>0.00472012403360989</v>
      </c>
      <c r="I34" s="87" t="n">
        <f aca="false">+'Datos ICP (2)'!AI81</f>
        <v>0.00416779685595303</v>
      </c>
      <c r="J34" s="87" t="n">
        <f aca="false">+'Datos ICP (2)'!AJ81</f>
        <v>0.00365019312776771</v>
      </c>
      <c r="K34" s="87" t="n">
        <f aca="false">+'Datos ICP (2)'!AK81</f>
        <v>0.00363412607508162</v>
      </c>
      <c r="L34" s="87" t="n">
        <f aca="false">+'Datos ICP (2)'!AL81</f>
        <v>0.00362766941593184</v>
      </c>
      <c r="M34" s="87" t="n">
        <f aca="false">+'Datos ICP (2)'!AM81</f>
        <v>0.0033754452875443</v>
      </c>
      <c r="N34" s="87" t="n">
        <f aca="false">+'Datos ICP (2)'!AN81</f>
        <v>0.00341081299567914</v>
      </c>
      <c r="O34" s="87" t="n">
        <f aca="false">+'Datos ICP (2)'!AO81</f>
        <v>0.00322037460491331</v>
      </c>
      <c r="P34" s="87" t="n">
        <f aca="false">+'Datos ICP (2)'!AP81</f>
        <v>0.003229855901979</v>
      </c>
      <c r="Q34" s="81" t="n">
        <f aca="false">+'Datos ICP (2)'!$AQ$81</f>
        <v>0.0495295629197707</v>
      </c>
      <c r="R34" s="77"/>
      <c r="S34" s="77"/>
      <c r="T34" s="77"/>
      <c r="U34" s="77"/>
      <c r="V34" s="77"/>
      <c r="W34" s="77"/>
      <c r="X34" s="77"/>
    </row>
    <row r="35" customFormat="false" ht="15" hidden="false" customHeight="true" outlineLevel="0" collapsed="false">
      <c r="C35" s="76"/>
      <c r="D35" s="77" t="s">
        <v>38</v>
      </c>
      <c r="E35" s="87" t="n">
        <f aca="false">+'Datos ICP (2)'!AE82</f>
        <v>0.00732389428015079</v>
      </c>
      <c r="F35" s="87" t="n">
        <f aca="false">+'Datos ICP (2)'!AF82</f>
        <v>0.00534370954803598</v>
      </c>
      <c r="G35" s="87" t="n">
        <f aca="false">+'Datos ICP (2)'!AG82</f>
        <v>0.00631702472161999</v>
      </c>
      <c r="H35" s="87" t="n">
        <f aca="false">+'Datos ICP (2)'!AH82</f>
        <v>0.00659888476433523</v>
      </c>
      <c r="I35" s="87" t="n">
        <f aca="false">+'Datos ICP (2)'!AI82</f>
        <v>0.00553131445312594</v>
      </c>
      <c r="J35" s="87" t="n">
        <f aca="false">+'Datos ICP (2)'!AJ82</f>
        <v>0.00472418099360561</v>
      </c>
      <c r="K35" s="87" t="n">
        <f aca="false">+'Datos ICP (2)'!AK82</f>
        <v>0.00397395876215256</v>
      </c>
      <c r="L35" s="87" t="n">
        <f aca="false">+'Datos ICP (2)'!AL82</f>
        <v>0.00466539128595755</v>
      </c>
      <c r="M35" s="87" t="n">
        <f aca="false">+'Datos ICP (2)'!AM82</f>
        <v>0.00549566313748384</v>
      </c>
      <c r="N35" s="87" t="n">
        <f aca="false">+'Datos ICP (2)'!AN82</f>
        <v>0.00452702916256742</v>
      </c>
      <c r="O35" s="87" t="n">
        <f aca="false">+'Datos ICP (2)'!AO82</f>
        <v>0.00279099206531219</v>
      </c>
      <c r="P35" s="87" t="n">
        <f aca="false">+'Datos ICP (2)'!AP82</f>
        <v>0.00418087352585439</v>
      </c>
      <c r="Q35" s="81" t="n">
        <f aca="false">+'Datos ICP (2)'!$AQ$82</f>
        <v>0.0632258045770224</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0.00340328436982462</v>
      </c>
      <c r="F38" s="87" t="n">
        <f aca="false">+'Datos ICP (2)'!AF85</f>
        <v>0.00392946303814501</v>
      </c>
      <c r="G38" s="87" t="n">
        <f aca="false">+'Datos ICP (2)'!AG85</f>
        <v>0.00509021570635704</v>
      </c>
      <c r="H38" s="87" t="n">
        <f aca="false">+'Datos ICP (2)'!AH85</f>
        <v>0.00504383303239186</v>
      </c>
      <c r="I38" s="87" t="n">
        <f aca="false">+'Datos ICP (2)'!AI85</f>
        <v>0.00589573204645788</v>
      </c>
      <c r="J38" s="87" t="n">
        <f aca="false">+'Datos ICP (2)'!AJ85</f>
        <v>0.00576951042150031</v>
      </c>
      <c r="K38" s="87" t="n">
        <f aca="false">+'Datos ICP (2)'!AK85</f>
        <v>0.00705705736263695</v>
      </c>
      <c r="L38" s="87" t="n">
        <f aca="false">+'Datos ICP (2)'!AL85</f>
        <v>0.00664252422774148</v>
      </c>
      <c r="M38" s="87" t="n">
        <f aca="false">+'Datos ICP (2)'!AM85</f>
        <v>0.00603404271959107</v>
      </c>
      <c r="N38" s="87" t="n">
        <f aca="false">+'Datos ICP (2)'!AN85</f>
        <v>0.0058182542564964</v>
      </c>
      <c r="O38" s="87" t="n">
        <f aca="false">+'Datos ICP (2)'!AO85</f>
        <v>0.00790952771422804</v>
      </c>
      <c r="P38" s="87" t="n">
        <f aca="false">+'Datos ICP (2)'!AP85</f>
        <v>0.00663885329582281</v>
      </c>
      <c r="Q38" s="81" t="n">
        <f aca="false">+'Datos ICP (2)'!AQ85</f>
        <v>0.0678283804317226</v>
      </c>
      <c r="R38" s="77"/>
      <c r="S38" s="77"/>
      <c r="T38" s="77"/>
      <c r="U38" s="77"/>
      <c r="V38" s="77"/>
      <c r="W38" s="77"/>
      <c r="X38" s="77"/>
    </row>
    <row r="39" customFormat="false" ht="15" hidden="false" customHeight="false" outlineLevel="0" collapsed="false">
      <c r="C39" s="76" t="n">
        <v>2026</v>
      </c>
      <c r="D39" s="77" t="s">
        <v>3</v>
      </c>
      <c r="E39" s="87" t="n">
        <f aca="false">+'Datos ICP (2)'!AE86</f>
        <v>0.00388234363273376</v>
      </c>
      <c r="F39" s="87" t="n">
        <f aca="false">+'Datos ICP (2)'!AF86</f>
        <v>0.00363126461056962</v>
      </c>
      <c r="G39" s="87" t="n">
        <f aca="false">+'Datos ICP (2)'!AG86</f>
        <v>0.0038819280865483</v>
      </c>
      <c r="H39" s="87" t="n">
        <f aca="false">+'Datos ICP (2)'!AH86</f>
        <v>-0.254362857499898</v>
      </c>
      <c r="I39" s="87"/>
      <c r="J39" s="87"/>
      <c r="K39" s="87"/>
      <c r="L39" s="87"/>
      <c r="M39" s="87"/>
      <c r="N39" s="87"/>
      <c r="O39" s="87"/>
      <c r="P39" s="87"/>
      <c r="Q39" s="87" t="n">
        <f aca="false">+'Datos ICP (2)'!AQ86</f>
        <v>-0.746250693705866</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0.00717821277116704</v>
      </c>
      <c r="F41" s="87" t="n">
        <f aca="false">+'Datos ICP (2)'!AF88</f>
        <v>0.00562923335239085</v>
      </c>
      <c r="G41" s="87" t="n">
        <f aca="false">+'Datos ICP (2)'!AG88</f>
        <v>0.00571817670393227</v>
      </c>
      <c r="H41" s="87" t="n">
        <f aca="false">+'Datos ICP (2)'!AH88</f>
        <v>0.0056237355358657</v>
      </c>
      <c r="I41" s="87"/>
      <c r="J41" s="87"/>
      <c r="K41" s="87"/>
      <c r="L41" s="87"/>
      <c r="M41" s="87"/>
      <c r="N41" s="87"/>
      <c r="O41" s="87"/>
      <c r="P41" s="87"/>
      <c r="Q41" s="87" t="n">
        <f aca="false">+'Datos ICP (2)'!AQ88</f>
        <v>0.0512019911955808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49</v>
      </c>
      <c r="K1" s="88"/>
      <c r="L1" s="91"/>
      <c r="N1" s="90" t="s">
        <v>50</v>
      </c>
      <c r="O1" s="88"/>
      <c r="P1" s="91"/>
      <c r="R1" s="90" t="s">
        <v>51</v>
      </c>
      <c r="S1" s="88"/>
      <c r="T1" s="91"/>
    </row>
    <row r="2" customFormat="false" ht="15" hidden="false" customHeight="false" outlineLevel="0" collapsed="false">
      <c r="C2" s="89"/>
      <c r="O2" s="92" t="s">
        <v>52</v>
      </c>
      <c r="P2" s="93" t="n">
        <v>0</v>
      </c>
    </row>
    <row r="3" customFormat="false" ht="15" hidden="false" customHeight="false" outlineLevel="0" collapsed="false">
      <c r="C3" s="89"/>
      <c r="K3" s="92" t="s">
        <v>53</v>
      </c>
      <c r="L3" s="93" t="n">
        <v>0.1367</v>
      </c>
      <c r="O3" s="92" t="s">
        <v>54</v>
      </c>
      <c r="P3" s="93" t="n">
        <v>0</v>
      </c>
      <c r="S3" s="92" t="s">
        <v>55</v>
      </c>
      <c r="T3" s="93" t="n">
        <v>1</v>
      </c>
    </row>
    <row r="4" customFormat="false" ht="15" hidden="false" customHeight="false" outlineLevel="0" collapsed="false">
      <c r="C4" s="89"/>
      <c r="K4" s="92" t="s">
        <v>56</v>
      </c>
      <c r="L4" s="93" t="n">
        <v>0.1268</v>
      </c>
      <c r="O4" s="92" t="s">
        <v>57</v>
      </c>
      <c r="P4" s="93" t="n">
        <v>0</v>
      </c>
      <c r="S4" s="92" t="s">
        <v>58</v>
      </c>
      <c r="T4" s="93" t="n">
        <v>0</v>
      </c>
    </row>
    <row r="5" customFormat="false" ht="15" hidden="false" customHeight="false" outlineLevel="0" collapsed="false">
      <c r="A5" s="88"/>
      <c r="B5" s="88"/>
      <c r="C5" s="89"/>
      <c r="K5" s="92" t="s">
        <v>59</v>
      </c>
      <c r="L5" s="93" t="n">
        <v>0.7365</v>
      </c>
      <c r="O5" s="92" t="s">
        <v>60</v>
      </c>
      <c r="P5" s="93" t="n">
        <v>0.7297</v>
      </c>
    </row>
    <row r="6" customFormat="false" ht="15" hidden="false" customHeight="false" outlineLevel="0" collapsed="false">
      <c r="A6" s="88"/>
      <c r="B6" s="88"/>
      <c r="C6" s="89"/>
      <c r="K6" s="92" t="s">
        <v>61</v>
      </c>
      <c r="L6" s="93" t="n">
        <v>0</v>
      </c>
      <c r="O6" s="92" t="s">
        <v>62</v>
      </c>
      <c r="P6" s="93" t="n">
        <v>0.2595</v>
      </c>
    </row>
    <row r="7" customFormat="false" ht="15" hidden="false" customHeight="false" outlineLevel="0" collapsed="false">
      <c r="B7" s="88"/>
      <c r="C7" s="89"/>
      <c r="L7" s="94" t="n">
        <f aca="false">SUM(L3:L6)</f>
        <v>1</v>
      </c>
      <c r="O7" s="92" t="s">
        <v>63</v>
      </c>
      <c r="P7" s="93" t="n">
        <v>0</v>
      </c>
      <c r="Q7" s="94"/>
    </row>
    <row r="8" customFormat="false" ht="15" hidden="false" customHeight="false" outlineLevel="0" collapsed="false">
      <c r="C8" s="89"/>
      <c r="O8" s="92" t="s">
        <v>64</v>
      </c>
      <c r="P8" s="93" t="n">
        <v>0.0107</v>
      </c>
    </row>
    <row r="9" customFormat="false" ht="15" hidden="false" customHeight="false" outlineLevel="0" collapsed="false">
      <c r="C9" s="89"/>
      <c r="O9" s="92" t="s">
        <v>65</v>
      </c>
      <c r="P9" s="93" t="n">
        <v>0</v>
      </c>
    </row>
    <row r="10" customFormat="false" ht="15" hidden="false" customHeight="false" outlineLevel="0" collapsed="false">
      <c r="C10" s="89"/>
      <c r="O10" s="92" t="s">
        <v>66</v>
      </c>
      <c r="P10" s="93" t="n">
        <v>0</v>
      </c>
    </row>
    <row r="11" customFormat="false" ht="15" hidden="false" customHeight="false" outlineLevel="0" collapsed="false">
      <c r="C11" s="89"/>
      <c r="O11" s="92" t="s">
        <v>67</v>
      </c>
      <c r="P11" s="93" t="n">
        <v>0</v>
      </c>
    </row>
    <row r="12" customFormat="false" ht="15" hidden="true" customHeight="false" outlineLevel="0" collapsed="false">
      <c r="C12" s="89"/>
      <c r="O12" s="92"/>
      <c r="P12" s="93"/>
    </row>
    <row r="13" customFormat="false" ht="15" hidden="false" customHeight="false" outlineLevel="0" collapsed="false">
      <c r="C13" s="89"/>
      <c r="O13" s="92" t="s">
        <v>68</v>
      </c>
      <c r="P13" s="93" t="n">
        <v>0</v>
      </c>
    </row>
    <row r="14" customFormat="false" ht="15" hidden="true" customHeight="false" outlineLevel="0" collapsed="false">
      <c r="A14" s="88" t="s">
        <v>69</v>
      </c>
      <c r="B14" s="95" t="n">
        <v>0</v>
      </c>
      <c r="C14" s="89"/>
    </row>
    <row r="15" customFormat="false" ht="15" hidden="false" customHeight="false" outlineLevel="0" collapsed="false">
      <c r="A15" s="88"/>
      <c r="B15" s="95"/>
      <c r="C15" s="89"/>
      <c r="P15" s="94" t="n">
        <f aca="false">SUM(P2:P14)</f>
        <v>0.9999</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