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<sst xmlns="http://schemas.openxmlformats.org/spreadsheetml/2006/main" count="246" uniqueCount="71">
  <si>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</si>
  <si>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</si>
  <si>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</si>
  <si>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</si>
  <si>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</si>
  <si>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</si>
  <si>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</si>
  <si>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</si>
  <si>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</si>
  <si>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</si>
  <si>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</si>
  <si>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</si>
  <si>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</si>
  <si>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</si>
  <si>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</si>
  <si>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</si>
  <si>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</si>
  <si>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</si>
  <si>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</si>
  <si>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Corto Plazo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</si>
  <si>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</si>
  <si>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</si>
  <si>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</si>
  <si>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</si>
  <si>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</si>
  <si>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</si>
  <si>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</si>
  <si>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Corto Plazo</t>
  </si>
  <si>
    <t xml:space="preserve">(*) Acum a Mar</t>
  </si>
  <si>
    <t xml:space="preserve">FONDO LIQUIDEZ Corto Plazo</t>
  </si>
  <si>
    <t xml:space="preserve">Corto Plazo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</si>
  <si>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</si>
  <si>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</si>
  <si>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</si>
  <si>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</si>
  <si>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</si>
  <si>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</si>
  <si>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</si>
  <si>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Corto Plazo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</si>
  <si>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</si>
  <si>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</si>
  <si>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</si>
  <si>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</si>
  <si>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</si>
  <si>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</si>
  <si>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</si>
  <si>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</si>
  <si>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</si>
  <si>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</si>
  <si>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</si>
  <si>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</si>
  <si>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</si>
  <si>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</si>
  <si>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</si>
  <si>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</si>
  <si>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</si>
  <si>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</si>
  <si>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</si>
  <si>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</si>
  <si>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</si>
  <si>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</si>
  <si>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Inmobiliaria</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</si>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</sst>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10.5"/>
      <color rgb="FF000000"/>
      <name val="Be Vietnam Pro Light"/>
      <family val="2"/>
    </font>
    <font>
      <sz val="11"/>
      <color theme="1"/>
      <name val="Be Vietnam Pro Light"/>
      <family val="0"/>
      <charset val="1"/>
    </font>
    <font>
      <sz val="9"/>
      <color theme="1"/>
      <name val="Be Vietnam Pro Medium"/>
      <family val="0"/>
      <charset val="1"/>
    </font>
    <font>
      <b val="true"/>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6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62" applyFont="true" applyBorder="false" applyAlignment="false" applyProtection="false">
      <alignment horizontal="general" vertical="bottom" textRotation="0" wrapText="false" indent="0" shrinkToFit="false"/>
      <protection locked="true" hidden="false"/>
    </xf>
    <xf numFmtId="168" fontId="8" fillId="0" borderId="0" xfId="62" applyFont="true" applyBorder="false" applyAlignment="false" applyProtection="false">
      <alignment horizontal="general" vertical="bottom" textRotation="0" wrapText="false" indent="0" shrinkToFit="false"/>
      <protection locked="true" hidden="false"/>
    </xf>
    <xf numFmtId="169" fontId="8" fillId="0"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false" applyProtection="false">
      <alignment horizontal="general" vertical="bottom" textRotation="0" wrapText="false" indent="0" shrinkToFit="false"/>
      <protection locked="true" hidden="false"/>
    </xf>
    <xf numFmtId="164" fontId="10" fillId="3" borderId="0" xfId="62" applyFont="true" applyBorder="false" applyAlignment="true" applyProtection="false">
      <alignment horizontal="center" vertical="bottom" textRotation="0" wrapText="false" indent="0" shrinkToFit="false"/>
      <protection locked="true" hidden="false"/>
    </xf>
    <xf numFmtId="164" fontId="8" fillId="4"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center" vertical="bottom" textRotation="0" wrapText="false" indent="0" shrinkToFit="false"/>
      <protection locked="true" hidden="false"/>
    </xf>
    <xf numFmtId="168" fontId="8" fillId="0" borderId="0" xfId="62" applyFont="true" applyBorder="false" applyAlignment="true" applyProtection="false">
      <alignment horizontal="center" vertical="bottom" textRotation="0" wrapText="false" indent="0" shrinkToFit="false"/>
      <protection locked="true" hidden="false"/>
    </xf>
    <xf numFmtId="164" fontId="8" fillId="0" borderId="2" xfId="63" applyFont="true" applyBorder="true" applyAlignment="false" applyProtection="false">
      <alignment horizontal="general" vertical="bottom" textRotation="0" wrapText="false" indent="0" shrinkToFit="false"/>
      <protection locked="true" hidden="false"/>
    </xf>
    <xf numFmtId="170" fontId="8" fillId="0" borderId="0" xfId="65" applyFont="true" applyBorder="false" applyAlignment="false" applyProtection="false">
      <alignment horizontal="general" vertical="bottom" textRotation="0" wrapText="false" indent="0" shrinkToFit="false"/>
      <protection locked="true" hidden="false"/>
    </xf>
    <xf numFmtId="164" fontId="10" fillId="2" borderId="0" xfId="62" applyFont="true" applyBorder="false" applyAlignment="true" applyProtection="false">
      <alignment horizontal="center" vertical="bottom" textRotation="0" wrapText="false" indent="0" shrinkToFit="false"/>
      <protection locked="true" hidden="false"/>
    </xf>
    <xf numFmtId="170" fontId="11" fillId="2" borderId="0" xfId="64" applyFont="true" applyBorder="false" applyAlignment="true" applyProtection="false">
      <alignment horizontal="center" vertical="bottom" textRotation="0" wrapText="false" indent="0" shrinkToFit="false"/>
      <protection locked="true" hidden="false"/>
    </xf>
    <xf numFmtId="170" fontId="12" fillId="2" borderId="0" xfId="64" applyFont="true" applyBorder="false" applyAlignment="true" applyProtection="false">
      <alignment horizontal="center" vertical="bottom" textRotation="0" wrapText="false" indent="0" shrinkToFit="false"/>
      <protection locked="true" hidden="false"/>
    </xf>
    <xf numFmtId="171" fontId="8" fillId="0" borderId="0" xfId="62" applyFont="true" applyBorder="false" applyAlignment="false" applyProtection="false">
      <alignment horizontal="general" vertical="bottom" textRotation="0" wrapText="false" indent="0" shrinkToFit="false"/>
      <protection locked="true" hidden="false"/>
    </xf>
    <xf numFmtId="172" fontId="8" fillId="0" borderId="0" xfId="62" applyFont="true" applyBorder="false" applyAlignment="false" applyProtection="false">
      <alignment horizontal="general" vertical="bottom" textRotation="0" wrapText="false" indent="0" shrinkToFit="false"/>
      <protection locked="true" hidden="false"/>
    </xf>
    <xf numFmtId="173" fontId="8" fillId="0" borderId="0" xfId="62" applyFont="true" applyBorder="false" applyAlignment="false" applyProtection="false">
      <alignment horizontal="general" vertical="bottom" textRotation="0" wrapText="false" indent="0" shrinkToFit="false"/>
      <protection locked="true" hidden="false"/>
    </xf>
    <xf numFmtId="174" fontId="8" fillId="0" borderId="0" xfId="62"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false" applyAlignment="true" applyProtection="false">
      <alignment horizontal="center" vertical="bottom" textRotation="0" wrapText="false" indent="0" shrinkToFit="false"/>
      <protection locked="true" hidden="false"/>
    </xf>
    <xf numFmtId="170" fontId="11" fillId="4" borderId="0" xfId="64" applyFont="true" applyBorder="false" applyAlignment="true" applyProtection="false">
      <alignment horizontal="center" vertical="bottom" textRotation="0" wrapText="false" indent="0" shrinkToFit="false"/>
      <protection locked="true" hidden="false"/>
    </xf>
    <xf numFmtId="170" fontId="12" fillId="4" borderId="0" xfId="64" applyFont="true" applyBorder="false" applyAlignment="true" applyProtection="false">
      <alignment horizontal="center" vertical="bottom" textRotation="0" wrapText="false" indent="0" shrinkToFit="false"/>
      <protection locked="true" hidden="false"/>
    </xf>
    <xf numFmtId="175" fontId="8" fillId="0" borderId="0" xfId="62" applyFont="true" applyBorder="false" applyAlignment="false" applyProtection="false">
      <alignment horizontal="general" vertical="bottom" textRotation="0" wrapText="false" indent="0" shrinkToFit="false"/>
      <protection locked="true" hidden="false"/>
    </xf>
    <xf numFmtId="170" fontId="8" fillId="0" borderId="0" xfId="64" applyFont="true" applyBorder="false" applyAlignment="false" applyProtection="false">
      <alignment horizontal="general" vertical="bottom" textRotation="0" wrapText="false" indent="0" shrinkToFit="false"/>
      <protection locked="true" hidden="false"/>
    </xf>
    <xf numFmtId="164" fontId="11" fillId="4" borderId="0" xfId="62" applyFont="true" applyBorder="false" applyAlignment="true" applyProtection="false">
      <alignment horizontal="left" vertical="bottom" textRotation="0" wrapText="false" indent="0" shrinkToFit="false"/>
      <protection locked="true" hidden="false"/>
    </xf>
    <xf numFmtId="170" fontId="11" fillId="0" borderId="0" xfId="64" applyFont="true" applyBorder="false" applyAlignment="true" applyProtection="false">
      <alignment horizontal="center" vertical="bottom" textRotation="0" wrapText="false" indent="0" shrinkToFit="false"/>
      <protection locked="true" hidden="false"/>
    </xf>
    <xf numFmtId="176" fontId="8" fillId="2" borderId="0" xfId="62" applyFont="true" applyBorder="false" applyAlignment="false" applyProtection="false">
      <alignment horizontal="general" vertical="bottom" textRotation="0" wrapText="false" indent="0" shrinkToFit="false"/>
      <protection locked="true" hidden="false"/>
    </xf>
    <xf numFmtId="173" fontId="8" fillId="2"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true" applyProtection="false">
      <alignment horizontal="right" vertical="bottom" textRotation="0" wrapText="false" indent="0" shrinkToFit="false"/>
      <protection locked="true" hidden="false"/>
    </xf>
    <xf numFmtId="171" fontId="8" fillId="5" borderId="0" xfId="62" applyFont="true" applyBorder="false" applyAlignment="false" applyProtection="false">
      <alignment horizontal="general" vertical="bottom" textRotation="0" wrapText="false" indent="0" shrinkToFit="false"/>
      <protection locked="true" hidden="false"/>
    </xf>
    <xf numFmtId="171" fontId="8" fillId="2" borderId="0" xfId="62" applyFont="true" applyBorder="false" applyAlignment="false" applyProtection="false">
      <alignment horizontal="general" vertical="bottom" textRotation="0" wrapText="false" indent="0" shrinkToFit="false"/>
      <protection locked="true" hidden="false"/>
    </xf>
    <xf numFmtId="172" fontId="8" fillId="2"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right" vertical="bottom" textRotation="0" wrapText="false" indent="0" shrinkToFit="false"/>
      <protection locked="true" hidden="false"/>
    </xf>
    <xf numFmtId="177" fontId="8" fillId="0" borderId="0" xfId="21"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true" applyProtection="false">
      <alignment horizontal="right" vertical="bottom" textRotation="0" wrapText="false" indent="0" shrinkToFit="false"/>
      <protection locked="true" hidden="false"/>
    </xf>
    <xf numFmtId="164" fontId="13" fillId="4" borderId="0" xfId="62" applyFont="true" applyBorder="false" applyAlignment="true" applyProtection="false">
      <alignment horizontal="center" vertical="bottom" textRotation="0" wrapText="false" indent="0" shrinkToFit="false"/>
      <protection locked="true" hidden="false"/>
    </xf>
    <xf numFmtId="164" fontId="14" fillId="2" borderId="0" xfId="62" applyFont="true" applyBorder="false" applyAlignment="true" applyProtection="false">
      <alignment horizontal="center" vertical="bottom" textRotation="0" wrapText="false" indent="0" shrinkToFit="false"/>
      <protection locked="true" hidden="false"/>
    </xf>
    <xf numFmtId="164" fontId="14" fillId="4" borderId="0" xfId="62" applyFont="true" applyBorder="false" applyAlignment="true" applyProtection="false">
      <alignment horizontal="center" vertical="bottom" textRotation="0" wrapText="false" indent="0" shrinkToFit="false"/>
      <protection locked="true" hidden="false"/>
    </xf>
    <xf numFmtId="164" fontId="10" fillId="0" borderId="0" xfId="62" applyFont="true" applyBorder="false" applyAlignment="true" applyProtection="false">
      <alignment horizontal="center" vertical="bottom" textRotation="0" wrapText="false" indent="0" shrinkToFit="false"/>
      <protection locked="true" hidden="false"/>
    </xf>
    <xf numFmtId="177" fontId="8" fillId="2" borderId="0" xfId="21"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true" applyAlignment="true" applyProtection="false">
      <alignment horizontal="center" vertical="center" textRotation="0" wrapText="false" indent="0" shrinkToFit="false"/>
      <protection locked="true" hidden="false"/>
    </xf>
    <xf numFmtId="170" fontId="15" fillId="2" borderId="0" xfId="64" applyFont="true" applyBorder="false" applyAlignment="true" applyProtection="false">
      <alignment horizontal="center" vertical="bottom" textRotation="0" wrapText="false" indent="0" shrinkToFit="false"/>
      <protection locked="true" hidden="false"/>
    </xf>
    <xf numFmtId="170" fontId="15" fillId="4" borderId="0" xfId="64" applyFont="true" applyBorder="false" applyAlignment="true" applyProtection="false">
      <alignment horizontal="center" vertical="bottom" textRotation="0" wrapText="false" indent="0" shrinkToFit="false"/>
      <protection locked="true" hidden="false"/>
    </xf>
    <xf numFmtId="164" fontId="16" fillId="4" borderId="0" xfId="62"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64" applyFont="true" applyBorder="false" applyAlignment="true" applyProtection="false">
      <alignment horizontal="center" vertical="bottom" textRotation="0" wrapText="false" indent="0" shrinkToFit="false"/>
      <protection locked="true" hidden="false"/>
    </xf>
    <xf numFmtId="179" fontId="8" fillId="0" borderId="0" xfId="66" applyFont="true" applyBorder="false" applyAlignment="false" applyProtection="false">
      <alignment horizontal="general" vertical="bottom" textRotation="0" wrapText="false" indent="0" shrinkToFit="false"/>
      <protection locked="true" hidden="false"/>
    </xf>
    <xf numFmtId="164" fontId="11" fillId="0" borderId="0" xfId="62" applyFont="true" applyBorder="false" applyAlignment="true" applyProtection="false">
      <alignment horizontal="left" vertical="bottom" textRotation="0" wrapText="false" indent="0" shrinkToFit="false"/>
      <protection locked="true" hidden="false"/>
    </xf>
    <xf numFmtId="164" fontId="17" fillId="3" borderId="0" xfId="62" applyFont="true" applyBorder="false" applyAlignment="true" applyProtection="false">
      <alignment horizontal="center" vertical="bottom" textRotation="0" wrapText="false" indent="0" shrinkToFit="false"/>
      <protection locked="true" hidden="false"/>
    </xf>
    <xf numFmtId="164" fontId="18" fillId="3" borderId="0" xfId="62" applyFont="true" applyBorder="false" applyAlignment="true" applyProtection="false">
      <alignment horizontal="center" vertical="bottom" textRotation="0" wrapText="false" indent="0" shrinkToFit="false"/>
      <protection locked="true" hidden="false"/>
    </xf>
    <xf numFmtId="164" fontId="19" fillId="4" borderId="0" xfId="62" applyFont="true" applyBorder="false" applyAlignment="true" applyProtection="false">
      <alignment horizontal="left" vertical="bottom" textRotation="0" wrapText="false" indent="0" shrinkToFit="false"/>
      <protection locked="true" hidden="false"/>
    </xf>
    <xf numFmtId="164" fontId="18" fillId="6" borderId="0" xfId="62" applyFont="true" applyBorder="false" applyAlignment="true" applyProtection="false">
      <alignment horizontal="center" vertical="bottom" textRotation="0" wrapText="false" indent="0" shrinkToFit="false"/>
      <protection locked="true" hidden="false"/>
    </xf>
    <xf numFmtId="170" fontId="20" fillId="6" borderId="0" xfId="64" applyFont="true" applyBorder="false" applyAlignment="true" applyProtection="false">
      <alignment horizontal="center" vertical="bottom" textRotation="0" wrapText="false" indent="0" shrinkToFit="false"/>
      <protection locked="true" hidden="false"/>
    </xf>
    <xf numFmtId="170" fontId="18" fillId="2" borderId="0" xfId="64" applyFont="true" applyBorder="false" applyAlignment="true" applyProtection="false">
      <alignment horizontal="center" vertical="bottom" textRotation="0" wrapText="false" indent="0" shrinkToFit="false"/>
      <protection locked="true" hidden="false"/>
    </xf>
    <xf numFmtId="164" fontId="18" fillId="2" borderId="0" xfId="62" applyFont="true" applyBorder="false" applyAlignment="true" applyProtection="false">
      <alignment horizontal="center" vertical="bottom" textRotation="0" wrapText="false" indent="0" shrinkToFit="false"/>
      <protection locked="true" hidden="false"/>
    </xf>
    <xf numFmtId="170" fontId="20" fillId="2" borderId="0" xfId="64" applyFont="true" applyBorder="false" applyAlignment="true" applyProtection="false">
      <alignment horizontal="center" vertical="bottom" textRotation="0" wrapText="false" indent="0" shrinkToFit="false"/>
      <protection locked="true" hidden="false"/>
    </xf>
    <xf numFmtId="164" fontId="17" fillId="6" borderId="0" xfId="62" applyFont="true" applyBorder="false" applyAlignment="true" applyProtection="false">
      <alignment horizontal="center" vertical="center" textRotation="0" wrapText="false" indent="0" shrinkToFit="false"/>
      <protection locked="true" hidden="false"/>
    </xf>
    <xf numFmtId="164" fontId="17" fillId="2" borderId="0" xfId="62" applyFont="true" applyBorder="false" applyAlignment="true" applyProtection="false">
      <alignment horizontal="center" vertical="center" textRotation="0" wrapText="false" indent="0" shrinkToFit="false"/>
      <protection locked="true" hidden="false"/>
    </xf>
    <xf numFmtId="170" fontId="8" fillId="0" borderId="0" xfId="62" applyFont="true" applyBorder="false" applyAlignment="false" applyProtection="false">
      <alignment horizontal="general" vertical="bottom" textRotation="0" wrapText="false" indent="0" shrinkToFit="false"/>
      <protection locked="true" hidden="false"/>
    </xf>
    <xf numFmtId="164" fontId="17" fillId="2" borderId="0" xfId="62"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64" applyFont="true" applyBorder="false" applyAlignment="false" applyProtection="false">
      <alignment horizontal="general" vertical="bottom" textRotation="0" wrapText="false" indent="0" shrinkToFit="false"/>
      <protection locked="true" hidden="false"/>
    </xf>
    <xf numFmtId="174" fontId="8" fillId="5" borderId="0" xfId="62" applyFont="true" applyBorder="false" applyAlignment="false" applyProtection="false">
      <alignment horizontal="general" vertical="bottom" textRotation="0" wrapText="false" indent="0" shrinkToFit="false"/>
      <protection locked="true" hidden="false"/>
    </xf>
    <xf numFmtId="164" fontId="21" fillId="0" borderId="0" xfId="62" applyFont="true" applyBorder="false" applyAlignment="false" applyProtection="false">
      <alignment horizontal="general" vertical="bottom" textRotation="0" wrapText="false" indent="0" shrinkToFit="false"/>
      <protection locked="true" hidden="false"/>
    </xf>
    <xf numFmtId="166" fontId="8" fillId="0" borderId="0" xfId="66" applyFont="true" applyBorder="false" applyAlignment="false" applyProtection="false">
      <alignment horizontal="general" vertical="bottom" textRotation="0" wrapText="false" indent="0" shrinkToFit="false"/>
      <protection locked="true" hidden="false"/>
    </xf>
    <xf numFmtId="166" fontId="8" fillId="0" borderId="0" xfId="62" applyFont="true" applyBorder="false" applyAlignment="false" applyProtection="false">
      <alignment horizontal="general" vertical="bottom" textRotation="0" wrapText="false" indent="0" shrinkToFit="false"/>
      <protection locked="true" hidden="false"/>
    </xf>
    <xf numFmtId="170" fontId="22" fillId="0" borderId="0" xfId="64"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78" fontId="33"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53">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2" xfId="21"/>
    <cellStyle name="Millares [0] 2 10" xfId="22"/>
    <cellStyle name="Millares [0] 2 11" xfId="23"/>
    <cellStyle name="Millares [0] 2 2" xfId="24"/>
    <cellStyle name="Millares [0] 2 2 2" xfId="25"/>
    <cellStyle name="Millares [0] 2 2 2 2" xfId="26"/>
    <cellStyle name="Millares [0] 2 2 3" xfId="27"/>
    <cellStyle name="Millares [0] 2 2 3 2" xfId="28"/>
    <cellStyle name="Millares [0] 2 2 4" xfId="29"/>
    <cellStyle name="Millares [0] 2 2 5" xfId="30"/>
    <cellStyle name="Millares [0] 2 2 6" xfId="31"/>
    <cellStyle name="Millares [0] 2 3" xfId="32"/>
    <cellStyle name="Millares [0] 2 3 2" xfId="33"/>
    <cellStyle name="Millares [0] 2 3 3" xfId="34"/>
    <cellStyle name="Millares [0] 2 3 4" xfId="35"/>
    <cellStyle name="Millares [0] 2 4" xfId="36"/>
    <cellStyle name="Millares [0] 2 4 2" xfId="37"/>
    <cellStyle name="Millares [0] 2 5" xfId="38"/>
    <cellStyle name="Millares [0] 2 5 2" xfId="39"/>
    <cellStyle name="Millares [0] 2 6" xfId="40"/>
    <cellStyle name="Millares [0] 2 6 2" xfId="41"/>
    <cellStyle name="Millares [0] 2 7" xfId="42"/>
    <cellStyle name="Millares [0] 2 7 2" xfId="43"/>
    <cellStyle name="Millares [0] 2 8" xfId="44"/>
    <cellStyle name="Millares [0] 2 9" xfId="45"/>
    <cellStyle name="Millares [0] 3" xfId="46"/>
    <cellStyle name="Millares [0] 3 2" xfId="47"/>
    <cellStyle name="Millares [0] 3 2 2" xfId="48"/>
    <cellStyle name="Millares [0] 3 3" xfId="49"/>
    <cellStyle name="Millares [0] 3 4" xfId="50"/>
    <cellStyle name="Millares [0] 3 5" xfId="51"/>
    <cellStyle name="Millares [0] 4" xfId="52"/>
    <cellStyle name="Millares [0] 4 2" xfId="53"/>
    <cellStyle name="Millares [0] 4 3" xfId="54"/>
    <cellStyle name="Millares [0] 4 4" xfId="55"/>
    <cellStyle name="Millares [0] 5" xfId="56"/>
    <cellStyle name="Millares [0] 5 2" xfId="57"/>
    <cellStyle name="Millares [0] 6" xfId="58"/>
    <cellStyle name="Millares [0] 7" xfId="59"/>
    <cellStyle name="Millares [0] 8" xfId="60"/>
    <cellStyle name="Millares [0] 9" xfId="61"/>
    <cellStyle name="Normal 2" xfId="62"/>
    <cellStyle name="Normal 54" xfId="63"/>
    <cellStyle name="Porcentaje 2" xfId="64"/>
    <cellStyle name="Porcentaje 29" xfId="65"/>
    <cellStyle name="Excel Built-in Comma [0]" xfId="66"/>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Corto Plazo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4550967"/>
        <c:axId val="32906634"/>
      </c:lineChart>
      <c:dateAx>
        <c:axId val="64550967"/>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2906634"/>
        <c:crosses val="autoZero"/>
        <c:auto val="1"/>
        <c:lblOffset val="100"/>
        <c:baseTimeUnit val="months"/>
        <c:majorUnit val="6"/>
        <c:majorTimeUnit val="months"/>
        <c:minorUnit val="6"/>
        <c:minorTimeUnit val="months"/>
        <c:noMultiLvlLbl val="0"/>
      </c:dateAx>
      <c:valAx>
        <c:axId val="3290663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455096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Corto Plazo</a:t>
            </a:r>
          </a:p>
        </c:rich>
      </c:tx>
      <c:layout>
        <c:manualLayout>
          <c:xMode val="edge"/>
          <c:yMode val="edge"/>
          <c:x val="0.358682446114386"/>
          <c:y val="0.0403829416884247"/>
        </c:manualLayout>
      </c:layout>
      <c:overlay val="0"/>
      <c:spPr>
        <a:noFill/>
        <a:ln w="0">
          <a:noFill/>
        </a:ln>
      </c:spPr>
    </c:title>
    <c:autoTitleDeleted val="0"/>
    <c:plotArea>
      <c:layout>
        <c:manualLayout>
          <c:layoutTarget val="inner"/>
          <c:xMode val="edge"/>
          <c:yMode val="edge"/>
          <c:x val="0.112406065787697"/>
          <c:y val="0.163794604003481"/>
          <c:w val="0.816316428924988"/>
          <c:h val="0.799216710182768"/>
        </c:manualLayout>
      </c:layout>
      <c:lineChart>
        <c:grouping val="standard"/>
        <c:varyColors val="0"/>
        <c:ser>
          <c:idx val="0"/>
          <c:order val="0"/>
          <c:tx>
            <c:strRef>
              <c:f>"FIP Liquidez Corto Plazo"</c:f>
              <c:strCache>
                <c:ptCount val="1"/>
                <c:pt idx="0">
                  <c:v>FIP Liquidez Corto Plazo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(2)'!$J$216:$J$245</c:f>
              <c:numCache>
                <c:formatCode>#,##0.00</c:formatCode>
                <c:ptCount val="30"/>
                <c:pt idx="0">
                  <c:v>100</c:v>
                </c:pt>
                <c:pt idx="1">
                  <c:v>101.051774932944</c:v>
                </c:pt>
                <c:pt idx="2">
                  <c:v>101.965651278476</c:v>
                </c:pt>
                <c:pt idx="3">
                  <c:v>102.83042549703</c:v>
                </c:pt>
                <c:pt idx="4">
                  <c:v>103.632364691212</c:v>
                </c:pt>
                <c:pt idx="5">
                  <c:v>104.381689983094</c:v>
                </c:pt>
                <c:pt idx="6">
                  <c:v>105.262168940413</c:v>
                </c:pt>
                <c:pt idx="7">
                  <c:v>105.950020685697</c:v>
                </c:pt>
                <c:pt idx="8">
                  <c:v>106.5251538893</c:v>
                </c:pt>
                <c:pt idx="9">
                  <c:v>107.180351013586</c:v>
                </c:pt>
                <c:pt idx="10">
                  <c:v>107.716853767937</c:v>
                </c:pt>
                <c:pt idx="11">
                  <c:v>108.240144945123</c:v>
                </c:pt>
                <c:pt idx="12">
                  <c:v>108.722139031451</c:v>
                </c:pt>
                <c:pt idx="13">
                  <c:v>109.158558208576</c:v>
                </c:pt>
                <c:pt idx="14">
                  <c:v>109.570726700549</c:v>
                </c:pt>
                <c:pt idx="15">
                  <c:v>109.940053659825</c:v>
                </c:pt>
                <c:pt idx="16">
                  <c:v>110.34255882502</c:v>
                </c:pt>
                <c:pt idx="17">
                  <c:v>110.774632912602</c:v>
                </c:pt>
                <c:pt idx="18">
                  <c:v>111.246621030276</c:v>
                </c:pt>
                <c:pt idx="19">
                  <c:v>111.667258251902</c:v>
                </c:pt>
                <c:pt idx="20">
                  <c:v>112.137799600062</c:v>
                </c:pt>
                <c:pt idx="21">
                  <c:v>112.695781284197</c:v>
                </c:pt>
                <c:pt idx="22">
                  <c:v>113.353857243692</c:v>
                </c:pt>
                <c:pt idx="23">
                  <c:v>114.000253244848</c:v>
                </c:pt>
                <c:pt idx="24">
                  <c:v>114.56272614217</c:v>
                </c:pt>
                <c:pt idx="25">
                  <c:v>115.208298307187</c:v>
                </c:pt>
                <c:pt idx="26">
                  <c:v>115.874387741063</c:v>
                </c:pt>
                <c:pt idx="27">
                  <c:v>116.565090017146</c:v>
                </c:pt>
                <c:pt idx="28">
                  <c:v>117.222898234683</c:v>
                </c:pt>
                <c:pt idx="29">
                  <c:v>117.9162201971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(2)'!$M$216:$M$244</c:f>
              <c:numCache>
                <c:formatCode>0.00</c:formatCode>
                <c:ptCount val="29"/>
                <c:pt idx="0">
                  <c:v>100</c:v>
                </c:pt>
                <c:pt idx="1">
                  <c:v>100.735124411072</c:v>
                </c:pt>
                <c:pt idx="2">
                  <c:v>101.418590786706</c:v>
                </c:pt>
                <c:pt idx="3">
                  <c:v>102.073831913151</c:v>
                </c:pt>
                <c:pt idx="4">
                  <c:v>102.70358328176</c:v>
                </c:pt>
                <c:pt idx="5">
                  <c:v>103.310019965639</c:v>
                </c:pt>
                <c:pt idx="6">
                  <c:v>103.897080462307</c:v>
                </c:pt>
                <c:pt idx="7">
                  <c:v>104.443605341764</c:v>
                </c:pt>
                <c:pt idx="8">
                  <c:v>104.893401790522</c:v>
                </c:pt>
                <c:pt idx="9">
                  <c:v>105.343501669393</c:v>
                </c:pt>
                <c:pt idx="10">
                  <c:v>105.768389071057</c:v>
                </c:pt>
                <c:pt idx="11">
                  <c:v>106.154464117979</c:v>
                </c:pt>
                <c:pt idx="12">
                  <c:v>106.527798349629</c:v>
                </c:pt>
                <c:pt idx="13">
                  <c:v>106.901779932873</c:v>
                </c:pt>
                <c:pt idx="14">
                  <c:v>107.262621042178</c:v>
                </c:pt>
                <c:pt idx="15">
                  <c:v>107.616672082631</c:v>
                </c:pt>
                <c:pt idx="16">
                  <c:v>107.963238080471</c:v>
                </c:pt>
                <c:pt idx="17">
                  <c:v>108.300695211159</c:v>
                </c:pt>
                <c:pt idx="18">
                  <c:v>108.617234771347</c:v>
                </c:pt>
                <c:pt idx="19">
                  <c:v>108.938680228649</c:v>
                </c:pt>
                <c:pt idx="20">
                  <c:v>109.261577315216</c:v>
                </c:pt>
                <c:pt idx="21">
                  <c:v>109.586734271899</c:v>
                </c:pt>
                <c:pt idx="22">
                  <c:v>109.914408773075</c:v>
                </c:pt>
                <c:pt idx="23">
                  <c:v>110.243828021995</c:v>
                </c:pt>
                <c:pt idx="24">
                  <c:v>110.558614997536</c:v>
                </c:pt>
                <c:pt idx="25">
                  <c:v>110.879649631918</c:v>
                </c:pt>
                <c:pt idx="26">
                  <c:v>111.185856531781</c:v>
                </c:pt>
                <c:pt idx="27">
                  <c:v>111.494149237818</c:v>
                </c:pt>
                <c:pt idx="28">
                  <c:v>111.805777142442</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(2)'!$D$216:$D$244</c:f>
              <c:numCache>
                <c:formatCode>0.00</c:formatCode>
                <c:ptCount val="29"/>
                <c:pt idx="0">
                  <c:v>100</c:v>
                </c:pt>
                <c:pt idx="1">
                  <c:v>100.85774586626</c:v>
                </c:pt>
                <c:pt idx="2">
                  <c:v>101.643966805465</c:v>
                </c:pt>
                <c:pt idx="3">
                  <c:v>102.476150897673</c:v>
                </c:pt>
                <c:pt idx="4">
                  <c:v>103.247449361519</c:v>
                </c:pt>
                <c:pt idx="5">
                  <c:v>103.95505575055</c:v>
                </c:pt>
                <c:pt idx="6">
                  <c:v>104.695204881592</c:v>
                </c:pt>
                <c:pt idx="7">
                  <c:v>105.357182458315</c:v>
                </c:pt>
                <c:pt idx="8">
                  <c:v>105.994670742185</c:v>
                </c:pt>
                <c:pt idx="9">
                  <c:v>106.581764042128</c:v>
                </c:pt>
                <c:pt idx="10">
                  <c:v>107.15051039158</c:v>
                </c:pt>
                <c:pt idx="11">
                  <c:v>107.64485452842</c:v>
                </c:pt>
                <c:pt idx="12">
                  <c:v>108.195338197784</c:v>
                </c:pt>
                <c:pt idx="13">
                  <c:v>108.69816926506</c:v>
                </c:pt>
                <c:pt idx="14">
                  <c:v>109.217859940188</c:v>
                </c:pt>
                <c:pt idx="15">
                  <c:v>109.694589611728</c:v>
                </c:pt>
                <c:pt idx="16">
                  <c:v>110.175526403393</c:v>
                </c:pt>
                <c:pt idx="17">
                  <c:v>110.649593657412</c:v>
                </c:pt>
                <c:pt idx="18">
                  <c:v>111.126575162673</c:v>
                </c:pt>
                <c:pt idx="19">
                  <c:v>111.590480557805</c:v>
                </c:pt>
                <c:pt idx="20">
                  <c:v>112.056331442718</c:v>
                </c:pt>
                <c:pt idx="21">
                  <c:v>112.524246908513</c:v>
                </c:pt>
                <c:pt idx="22">
                  <c:v>112.978796982946</c:v>
                </c:pt>
                <c:pt idx="23">
                  <c:v>113.466251474554</c:v>
                </c:pt>
                <c:pt idx="24">
                  <c:v>113.939105103401</c:v>
                </c:pt>
                <c:pt idx="25">
                  <c:v>114.361775962493</c:v>
                </c:pt>
                <c:pt idx="26">
                  <c:v>114.845531851599</c:v>
                </c:pt>
                <c:pt idx="27">
                  <c:v>115.286337552419</c:v>
                </c:pt>
                <c:pt idx="28">
                  <c:v>115.728165483828</c:v>
                </c:pt>
              </c:numCache>
            </c:numRef>
          </c:val>
          <c:smooth val="0"/>
        </c:ser>
        <c:hiLowLines>
          <c:spPr>
            <a:ln w="0">
              <a:noFill/>
            </a:ln>
          </c:spPr>
        </c:hiLowLines>
        <c:marker val="1"/>
        <c:axId val="43957001"/>
        <c:axId val="37996536"/>
      </c:lineChart>
      <c:dateAx>
        <c:axId val="4395700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7996536"/>
        <c:auto val="1"/>
        <c:lblOffset val="100"/>
        <c:baseTimeUnit val="days"/>
        <c:noMultiLvlLbl val="0"/>
      </c:dateAx>
      <c:valAx>
        <c:axId val="37996536"/>
        <c:scaling>
          <c:orientation val="minMax"/>
          <c:min val="80"/>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1050" spc="-1" strike="noStrike">
                <a:solidFill>
                  <a:srgbClr val="000000"/>
                </a:solidFill>
                <a:latin typeface="Be Vietnam Pro Light"/>
              </a:defRPr>
            </a:pPr>
          </a:p>
        </c:txPr>
        <c:crossAx val="43957001"/>
        <c:crosses val="autoZero"/>
        <c:crossBetween val="between"/>
        <c:majorUnit val="10"/>
      </c:valAx>
      <c:spPr>
        <a:noFill/>
        <a:ln w="0">
          <a:noFill/>
        </a:ln>
      </c:spPr>
    </c:plotArea>
    <c:legend>
      <c:legendPos val="r"/>
      <c:layout>
        <c:manualLayout>
          <c:xMode val="edge"/>
          <c:yMode val="edge"/>
          <c:x val="0.657141038558801"/>
          <c:y val="0.74221734283455"/>
          <c:w val="0.247536950672817"/>
          <c:h val="0.19317715821791"/>
        </c:manualLayout>
      </c:layout>
      <c:overlay val="0"/>
      <c:spPr>
        <a:noFill/>
        <a:ln w="0">
          <a:noFill/>
        </a:ln>
      </c:spPr>
      <c:txPr>
        <a:bodyPr/>
        <a:lstStyle/>
        <a:p>
          <a:pPr>
            <a:defRPr b="0" sz="105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0.2787</c:v>
                </c:pt>
                <c:pt idx="1">
                  <c:v>0.5883</c:v>
                </c:pt>
                <c:pt idx="2">
                  <c:v>0.1331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Inmobiliaria</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0.0279</c:v>
                </c:pt>
                <c:pt idx="3">
                  <c:v>0.9721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269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281520</xdr:colOff>
      <xdr:row>262</xdr:row>
      <xdr:rowOff>114480</xdr:rowOff>
    </xdr:from>
    <xdr:to>
      <xdr:col>10</xdr:col>
      <xdr:colOff>698760</xdr:colOff>
      <xdr:row>284</xdr:row>
      <xdr:rowOff>59760</xdr:rowOff>
    </xdr:to>
    <xdr:graphicFrame>
      <xdr:nvGraphicFramePr>
        <xdr:cNvPr id="1" name="Chart 2"/>
        <xdr:cNvGraphicFramePr/>
      </xdr:nvGraphicFramePr>
      <xdr:xfrm>
        <a:off x="2859480" y="50063760"/>
        <a:ext cx="7999920" cy="4136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11.42578125" defaultRowHeight="15" zeroHeight="false" outlineLevelRow="0" outlineLevelCol="0"/>
  <cols>
    <col collapsed="false" customWidth="true" hidden="false" outlineLevel="0" max="1" min="1" style="0" width="68.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8" colorId="64" zoomScale="129" zoomScaleNormal="129"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3" min="13" style="3" width="11.85"/>
    <col collapsed="false" customWidth="true" hidden="false" outlineLevel="0" max="14" min="14" style="3" width="12.86"/>
    <col collapsed="false" customWidth="true" hidden="false" outlineLevel="0" max="15" min="15" style="3" width="12"/>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71"/>
    <col collapsed="false" customWidth="true" hidden="false" outlineLevel="0" max="38" min="38" style="3" width="8.29"/>
    <col collapsed="false" customWidth="true" hidden="false" outlineLevel="0" max="39" min="39" style="3" width="7.57"/>
    <col collapsed="false" customWidth="true" hidden="false" outlineLevel="0" max="40" min="40" style="3" width="7.42"/>
    <col collapsed="false" customWidth="true" hidden="false" outlineLevel="0" max="41" min="41" style="3" width="9.14"/>
    <col collapsed="false" customWidth="true" hidden="false" outlineLevel="0" max="42" min="42" style="3" width="7.71"/>
    <col collapsed="false" customWidth="true" hidden="false" outlineLevel="0" max="43" min="43" style="3" width="9.14"/>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20"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20"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1224.69939629606</v>
      </c>
      <c r="AX22" s="33" t="n">
        <f aca="false">LOOKUP(AX19,$F$2:$F$2972,$H$2:$H$2972)</f>
        <v>1217.83989629606</v>
      </c>
      <c r="AY22" s="33" t="n">
        <f aca="false">LOOKUP(AY19,$F$2:$F$2972,$H$2:$H$2972)</f>
        <v>1204.34429629606</v>
      </c>
      <c r="AZ22" s="33" t="n">
        <f aca="false">LOOKUP(AZ19,$F$2:$F$2972,$H$2:$H$2972)</f>
        <v>1182.86039629606</v>
      </c>
      <c r="BA22" s="33" t="n">
        <f aca="false">LOOKUP(BA19,$F$2:$F$2972,$H$2:$H$2972)</f>
        <v>1142.74849629606</v>
      </c>
      <c r="BB22" s="33" t="n">
        <f aca="false">LOOKUP(BB19,$F$2:$F$2972,$H$2:$H$2972)</f>
        <v>0</v>
      </c>
    </row>
    <row r="23" customFormat="false" ht="15" hidden="false" customHeight="false" outlineLevel="0" collapsed="false">
      <c r="A23" s="17"/>
      <c r="B23" s="20"/>
      <c r="C23" s="25"/>
      <c r="D23" s="19"/>
      <c r="E23" s="19"/>
      <c r="F23" s="19"/>
      <c r="O23" s="3" t="n">
        <v>2026</v>
      </c>
      <c r="P23" s="20" t="n">
        <f aca="false">+B246</f>
        <v>26136.9</v>
      </c>
      <c r="Q23" s="19" t="n">
        <f aca="false">+B247</f>
        <v>26231.81</v>
      </c>
      <c r="R23" s="19" t="n">
        <f aca="false">+B248</f>
        <v>26333.64</v>
      </c>
      <c r="S23" s="20"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0.00563251378187091</v>
      </c>
      <c r="AY31" s="43" t="n">
        <f aca="false">$AW22/AY22-1</f>
        <v>0.0169013961062479</v>
      </c>
      <c r="AZ31" s="43" t="n">
        <f aca="false">$AW22/AZ22-1</f>
        <v>0.0353710379779493</v>
      </c>
      <c r="BA31" s="43" t="n">
        <f aca="false">$AW22/BA22-1</f>
        <v>0.0717138550307648</v>
      </c>
      <c r="BB31" s="43" t="n">
        <f aca="false">+AQ88</f>
        <v>0.0507041883187436</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t="n">
        <v>1000</v>
      </c>
      <c r="W34" s="20" t="n">
        <f aca="false">+H217</f>
        <v>1023.1605</v>
      </c>
      <c r="X34" s="20" t="n">
        <f aca="false">+H218</f>
        <v>1032.4136</v>
      </c>
      <c r="Y34" s="20" t="n">
        <f aca="false">+H219</f>
        <v>1041.4614</v>
      </c>
      <c r="Z34" s="20" t="n">
        <f aca="false">+H220</f>
        <v>1049.5834</v>
      </c>
      <c r="AA34" s="20" t="n">
        <f aca="false">+H221</f>
        <v>1057.4255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1066.6424</v>
      </c>
      <c r="Q35" s="20" t="n">
        <f aca="false">+H223</f>
        <v>1073.3802</v>
      </c>
      <c r="R35" s="20" t="n">
        <f aca="false">+H224</f>
        <v>1079.4011</v>
      </c>
      <c r="S35" s="20" t="n">
        <f aca="false">+H225</f>
        <v>1086.0401</v>
      </c>
      <c r="T35" s="20" t="n">
        <f aca="false">+H226</f>
        <v>1091.6576</v>
      </c>
      <c r="U35" s="20" t="n">
        <f aca="false">+H227</f>
        <v>1096.9609</v>
      </c>
      <c r="V35" s="20" t="n">
        <f aca="false">+H228</f>
        <v>1102.0085</v>
      </c>
      <c r="W35" s="20" t="n">
        <f aca="false">+H229</f>
        <v>1106.5795</v>
      </c>
      <c r="X35" s="20" t="n">
        <f aca="false">+H230</f>
        <v>1110.7578</v>
      </c>
      <c r="Y35" s="20" t="n">
        <f aca="false">+H231</f>
        <v>1114.6266</v>
      </c>
      <c r="Z35" s="20" t="n">
        <f aca="false">+H232</f>
        <v>1118.70739629606</v>
      </c>
      <c r="AA35" s="20" t="n">
        <f aca="false">+H233</f>
        <v>1123.23399629606</v>
      </c>
      <c r="AD35" s="21" t="n">
        <v>2023</v>
      </c>
      <c r="AE35" s="22"/>
      <c r="AF35" s="22"/>
      <c r="AG35" s="22"/>
      <c r="AH35" s="22"/>
      <c r="AI35" s="22"/>
      <c r="AJ35" s="22"/>
      <c r="AK35" s="22"/>
      <c r="AL35" s="22" t="n">
        <f aca="false">+(W34/V34-1)</f>
        <v>0.0231604999999999</v>
      </c>
      <c r="AM35" s="22" t="n">
        <f aca="false">+(X34/W34-1)</f>
        <v>0.00904364466767449</v>
      </c>
      <c r="AN35" s="22" t="n">
        <f aca="false">+(Y34/X34-1)</f>
        <v>0.00876373577411238</v>
      </c>
      <c r="AO35" s="22" t="n">
        <f aca="false">+(Z34/Y34-1)</f>
        <v>0.00779865677210867</v>
      </c>
      <c r="AP35" s="22" t="n">
        <f aca="false">+(AA34/Z34-1)</f>
        <v>0.00747163112526361</v>
      </c>
      <c r="AQ35" s="23" t="n">
        <f aca="false">+(AA34/V34-1)/COUNTA(AE35:AP35)*12</f>
        <v>0.1378212</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1128.17939629606</v>
      </c>
      <c r="Q36" s="20" t="n">
        <f aca="false">+H235</f>
        <v>1132.16079629606</v>
      </c>
      <c r="R36" s="20" t="n">
        <f aca="false">+H236</f>
        <v>1137.09049629606</v>
      </c>
      <c r="S36" s="20" t="n">
        <f aca="false">+H237</f>
        <v>1142.74849629606</v>
      </c>
      <c r="T36" s="20" t="n">
        <f aca="false">+H238</f>
        <v>1149.64389629606</v>
      </c>
      <c r="U36" s="20" t="n">
        <f aca="false">+H239</f>
        <v>1156.19969629606</v>
      </c>
      <c r="V36" s="20" t="n">
        <f aca="false">+H240</f>
        <v>1162.09449629606</v>
      </c>
      <c r="W36" s="20" t="n">
        <f aca="false">+H241</f>
        <v>1168.86129629606</v>
      </c>
      <c r="X36" s="20" t="n">
        <f aca="false">+H242</f>
        <v>1175.61919629606</v>
      </c>
      <c r="Y36" s="20" t="n">
        <f aca="false">+H243</f>
        <v>1182.86039629606</v>
      </c>
      <c r="Z36" s="20" t="n">
        <f aca="false">+H244</f>
        <v>1189.53559629606</v>
      </c>
      <c r="AA36" s="20" t="n">
        <f aca="false">+H245</f>
        <v>1196.80569629606</v>
      </c>
      <c r="AD36" s="21" t="n">
        <v>2024</v>
      </c>
      <c r="AE36" s="22" t="n">
        <f aca="false">+(P35/AA34-1)</f>
        <v>0.00871635874111232</v>
      </c>
      <c r="AF36" s="22" t="n">
        <f aca="false">+Q35/P35-1</f>
        <v>0.00631683120790982</v>
      </c>
      <c r="AG36" s="22" t="n">
        <f aca="false">+R35/Q35-1</f>
        <v>0.00560928923414084</v>
      </c>
      <c r="AH36" s="22" t="n">
        <f aca="false">+S35/R35-1</f>
        <v>0.00615063297600882</v>
      </c>
      <c r="AI36" s="22" t="n">
        <f aca="false">+T35/S35-1</f>
        <v>0.00517246094320067</v>
      </c>
      <c r="AJ36" s="22" t="n">
        <f aca="false">+U35/T35-1</f>
        <v>0.00485802508039157</v>
      </c>
      <c r="AK36" s="22" t="n">
        <f aca="false">+V35/U35-1</f>
        <v>0.00460144021541709</v>
      </c>
      <c r="AL36" s="22" t="n">
        <f aca="false">+W35/V35-1</f>
        <v>0.00414788089202567</v>
      </c>
      <c r="AM36" s="22" t="n">
        <f aca="false">+X35/W35-1</f>
        <v>0.0037758696957606</v>
      </c>
      <c r="AN36" s="22" t="n">
        <f aca="false">+Y35/X35-1</f>
        <v>0.00348302753309504</v>
      </c>
      <c r="AO36" s="22" t="n">
        <f aca="false">+Z35/Y35-1</f>
        <v>0.00366113306111271</v>
      </c>
      <c r="AP36" s="22" t="n">
        <f aca="false">+AA35/Z35-1</f>
        <v>0.00404627699341886</v>
      </c>
      <c r="AQ36" s="23" t="n">
        <f aca="false">+(AA35/AA34-1)/COUNTA(AE36:AP36)*12</f>
        <v>0.0622346409236925</v>
      </c>
      <c r="AR36" s="9"/>
      <c r="AS36" s="9"/>
    </row>
    <row r="37" customFormat="false" ht="15" hidden="false" customHeight="false" outlineLevel="0" collapsed="false">
      <c r="A37" s="17"/>
      <c r="B37" s="20"/>
      <c r="C37" s="25"/>
      <c r="D37" s="19"/>
      <c r="E37" s="19"/>
      <c r="F37" s="19"/>
      <c r="O37" s="3" t="n">
        <v>2026</v>
      </c>
      <c r="P37" s="20" t="n">
        <f aca="false">+H246</f>
        <v>1204.34429629606</v>
      </c>
      <c r="Q37" s="20" t="n">
        <f aca="false">+H247</f>
        <v>1210.81079629606</v>
      </c>
      <c r="R37" s="20" t="n">
        <f aca="false">+H248</f>
        <v>1217.83989629606</v>
      </c>
      <c r="S37" s="20" t="n">
        <f aca="false">+H249</f>
        <v>1224.69939629606</v>
      </c>
      <c r="T37" s="20"/>
      <c r="U37" s="20"/>
      <c r="V37" s="20"/>
      <c r="W37" s="20"/>
      <c r="X37" s="20"/>
      <c r="Y37" s="20"/>
      <c r="Z37" s="20"/>
      <c r="AA37" s="20"/>
      <c r="AD37" s="21" t="n">
        <v>2025</v>
      </c>
      <c r="AE37" s="22" t="n">
        <f aca="false">+(P36/AA35-1)</f>
        <v>0.00440282257865032</v>
      </c>
      <c r="AF37" s="22" t="n">
        <f aca="false">+(Q36/P36-1)</f>
        <v>0.00352904867175519</v>
      </c>
      <c r="AG37" s="22" t="n">
        <f aca="false">+(R36/Q36-1)</f>
        <v>0.00435424015398489</v>
      </c>
      <c r="AH37" s="22" t="n">
        <f aca="false">+(S36/R36-1)</f>
        <v>0.00497585725888161</v>
      </c>
      <c r="AI37" s="22" t="n">
        <f aca="false">+(T36/S36-1)</f>
        <v>0.00603404863130397</v>
      </c>
      <c r="AJ37" s="22" t="n">
        <f aca="false">+(U36/T36-1)</f>
        <v>0.00570246145012532</v>
      </c>
      <c r="AK37" s="22" t="n">
        <f aca="false">+(V36/U36-1)</f>
        <v>0.0050984272171013</v>
      </c>
      <c r="AL37" s="22" t="n">
        <f aca="false">+(W36/V36-1)</f>
        <v>0.0058229343840519</v>
      </c>
      <c r="AM37" s="22" t="n">
        <f aca="false">+(X36/W36-1)</f>
        <v>0.00578160986373222</v>
      </c>
      <c r="AN37" s="22" t="n">
        <f aca="false">+(Y36/X36-1)</f>
        <v>0.00615947751007662</v>
      </c>
      <c r="AO37" s="22" t="n">
        <f aca="false">+(Z36/Y36-1)</f>
        <v>0.00564326950238803</v>
      </c>
      <c r="AP37" s="22" t="n">
        <f aca="false">+(AA36/Z36-1)</f>
        <v>0.00611171285889833</v>
      </c>
      <c r="AQ37" s="23" t="n">
        <f aca="false">+(AA36/P36-1)/COUNTA(AE37:AP37)*12</f>
        <v>0.0608292442011513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0.00629893392330172</v>
      </c>
      <c r="AF38" s="22" t="n">
        <f aca="false">+(Q37/P37-1)</f>
        <v>0.00536931176565347</v>
      </c>
      <c r="AG38" s="22" t="n">
        <f aca="false">+(R37/Q37-1)</f>
        <v>0.0058052835517346</v>
      </c>
      <c r="AH38" s="22" t="n">
        <f aca="false">+S37/R37-1</f>
        <v>0.00563251378187091</v>
      </c>
      <c r="AQ38" s="23" t="n">
        <f aca="false">+(S37/P37-1)/COUNTA(AE38:AP38)*12</f>
        <v>0.0507041883187436</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18"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t="n">
        <f aca="false">+AL48</f>
        <v>0.00759628558108139</v>
      </c>
      <c r="AM78" s="60" t="n">
        <f aca="false">+AM48</f>
        <v>0.00678478712990516</v>
      </c>
      <c r="AN78" s="60" t="n">
        <f aca="false">+AN48</f>
        <v>0.00667611817591429</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t="n">
        <f aca="false">+AL35</f>
        <v>0.0231604999999999</v>
      </c>
      <c r="AM79" s="60" t="n">
        <f aca="false">+AM35</f>
        <v>0.00904364466767449</v>
      </c>
      <c r="AN79" s="60" t="n">
        <f aca="false">+AN35</f>
        <v>0.00876373577411238</v>
      </c>
      <c r="AO79" s="60" t="n">
        <f aca="false">+AO35</f>
        <v>0.00779865677210867</v>
      </c>
      <c r="AP79" s="60" t="n">
        <f aca="false">+AP35</f>
        <v>0.00747163112526361</v>
      </c>
      <c r="AQ79" s="60" t="n">
        <f aca="false">+AQ35</f>
        <v>0.1378212</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0.00871635874111232</v>
      </c>
      <c r="AF82" s="60" t="n">
        <f aca="false">+AF36</f>
        <v>0.00631683120790982</v>
      </c>
      <c r="AG82" s="60" t="n">
        <f aca="false">+AG36</f>
        <v>0.00560928923414084</v>
      </c>
      <c r="AH82" s="60" t="n">
        <f aca="false">+AH36</f>
        <v>0.00615063297600882</v>
      </c>
      <c r="AI82" s="60" t="n">
        <f aca="false">+AI36</f>
        <v>0.00517246094320067</v>
      </c>
      <c r="AJ82" s="60" t="n">
        <f aca="false">+AJ36</f>
        <v>0.00485802508039157</v>
      </c>
      <c r="AK82" s="60" t="n">
        <f aca="false">+AK36</f>
        <v>0.00460144021541709</v>
      </c>
      <c r="AL82" s="60" t="n">
        <f aca="false">+AL36</f>
        <v>0.00414788089202567</v>
      </c>
      <c r="AM82" s="60" t="n">
        <f aca="false">+AM36</f>
        <v>0.0037758696957606</v>
      </c>
      <c r="AN82" s="60" t="n">
        <f aca="false">+AN36</f>
        <v>0.00348302753309504</v>
      </c>
      <c r="AO82" s="60" t="n">
        <f aca="false">+AO36</f>
        <v>0.00366113306111271</v>
      </c>
      <c r="AP82" s="60" t="n">
        <f aca="false">+AP36</f>
        <v>0.00404627699341886</v>
      </c>
      <c r="AQ82" s="60" t="n">
        <f aca="false">+AQ36</f>
        <v>0.0622346409236925</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0.00440282257865032</v>
      </c>
      <c r="AF85" s="60" t="n">
        <f aca="false">+AF37</f>
        <v>0.00352904867175519</v>
      </c>
      <c r="AG85" s="60" t="n">
        <f aca="false">+AG37</f>
        <v>0.00435424015398489</v>
      </c>
      <c r="AH85" s="60" t="n">
        <f aca="false">+AH37</f>
        <v>0.00497585725888161</v>
      </c>
      <c r="AI85" s="60" t="n">
        <f aca="false">+AI37</f>
        <v>0.00603404863130397</v>
      </c>
      <c r="AJ85" s="60" t="n">
        <f aca="false">+AJ37</f>
        <v>0.00570246145012532</v>
      </c>
      <c r="AK85" s="60" t="n">
        <f aca="false">+AK37</f>
        <v>0.0050984272171013</v>
      </c>
      <c r="AL85" s="60" t="n">
        <f aca="false">+AL37</f>
        <v>0.0058229343840519</v>
      </c>
      <c r="AM85" s="60" t="n">
        <f aca="false">+AM37</f>
        <v>0.00578160986373222</v>
      </c>
      <c r="AN85" s="60" t="n">
        <f aca="false">+AN37</f>
        <v>0.00615947751007662</v>
      </c>
      <c r="AO85" s="60" t="n">
        <f aca="false">+AO37</f>
        <v>0.00564326950238803</v>
      </c>
      <c r="AP85" s="60" t="n">
        <f aca="false">+AP37</f>
        <v>0.00611171285889833</v>
      </c>
      <c r="AQ85" s="60" t="n">
        <f aca="false">+AQ37</f>
        <v>0.0608292442011513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0.00629893392330172</v>
      </c>
      <c r="AF88" s="60" t="n">
        <f aca="false">+AF38</f>
        <v>0.00536931176565347</v>
      </c>
      <c r="AG88" s="60" t="n">
        <f aca="false">+AG38</f>
        <v>0.0058052835517346</v>
      </c>
      <c r="AH88" s="60" t="n">
        <f aca="false">+AH38</f>
        <v>0.00563251378187091</v>
      </c>
      <c r="AI88" s="60"/>
      <c r="AJ88" s="60"/>
      <c r="AK88" s="60"/>
      <c r="AL88" s="60"/>
      <c r="AM88" s="60"/>
      <c r="AN88" s="60"/>
      <c r="AO88" s="60"/>
      <c r="AP88" s="60"/>
      <c r="AQ88" s="60" t="n">
        <f aca="false">+AQ38</f>
        <v>0.0507041883187436</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3"/>
      <c r="AE92" s="3"/>
    </row>
    <row r="93" s="4" customFormat="true" ht="15" hidden="false" customHeight="false" outlineLevel="0" collapsed="false">
      <c r="A93" s="17" t="n">
        <v>41394</v>
      </c>
      <c r="B93" s="20" t="n">
        <v>15164.77</v>
      </c>
      <c r="C93" s="25" t="n">
        <f aca="false">(B93/B92-1)/(A93-A92)*30</f>
        <v>0.00430136179565985</v>
      </c>
      <c r="D93" s="19"/>
      <c r="E93" s="19"/>
      <c r="F93" s="19"/>
      <c r="I93" s="5"/>
      <c r="AC93" s="3"/>
      <c r="AD93" s="3"/>
      <c r="AE93" s="3"/>
    </row>
    <row r="94" s="4" customFormat="true" ht="15" hidden="false" customHeight="false" outlineLevel="0" collapsed="false">
      <c r="A94" s="17" t="n">
        <v>41425</v>
      </c>
      <c r="B94" s="20" t="n">
        <v>15230.38</v>
      </c>
      <c r="C94" s="25" t="n">
        <f aca="false">(B94/B93-1)/(A94-A93)*30</f>
        <v>0.00418691139971771</v>
      </c>
      <c r="D94" s="19"/>
      <c r="E94" s="19"/>
      <c r="F94" s="19"/>
      <c r="I94" s="5"/>
      <c r="AC94" s="3"/>
      <c r="AD94" s="3"/>
      <c r="AE94" s="3"/>
    </row>
    <row r="95" s="4" customFormat="true" ht="15" hidden="false" customHeight="false" outlineLevel="0" collapsed="false">
      <c r="A95" s="17" t="n">
        <v>41453</v>
      </c>
      <c r="B95" s="20" t="n">
        <v>15289.74</v>
      </c>
      <c r="C95" s="25" t="n">
        <f aca="false">(B95/B94-1)/(A95-A94)*30</f>
        <v>0.00417586429228964</v>
      </c>
      <c r="D95" s="19"/>
      <c r="E95" s="19"/>
      <c r="F95" s="19"/>
      <c r="I95" s="5"/>
      <c r="AC95" s="3"/>
      <c r="AD95" s="3"/>
      <c r="AE95" s="3"/>
    </row>
    <row r="96" s="4" customFormat="true" ht="15" hidden="false" customHeight="false" outlineLevel="0" collapsed="false">
      <c r="A96" s="17" t="n">
        <v>41486</v>
      </c>
      <c r="B96" s="20" t="n">
        <v>15360.27</v>
      </c>
      <c r="C96" s="25" t="n">
        <f aca="false">(B96/B95-1)/(A96-A95)*30</f>
        <v>0.0041935429783752</v>
      </c>
      <c r="D96" s="19"/>
      <c r="E96" s="19"/>
      <c r="F96" s="19"/>
      <c r="I96" s="5"/>
      <c r="AC96" s="3"/>
      <c r="AD96" s="3"/>
      <c r="AE96" s="3"/>
    </row>
    <row r="97" s="4" customFormat="true" ht="15" hidden="false" customHeight="false" outlineLevel="0" collapsed="false">
      <c r="A97" s="17" t="n">
        <v>41516</v>
      </c>
      <c r="B97" s="20" t="n">
        <v>15424.43</v>
      </c>
      <c r="C97" s="25" t="n">
        <f aca="false">(B97/B96-1)/(A97-A96)*30</f>
        <v>0.00417700990933101</v>
      </c>
      <c r="D97" s="19"/>
      <c r="E97" s="19"/>
      <c r="F97" s="19"/>
      <c r="I97" s="5"/>
      <c r="AC97" s="3"/>
      <c r="AD97" s="3"/>
      <c r="AE97" s="3"/>
    </row>
    <row r="98" s="4" customFormat="true" ht="15" hidden="false" customHeight="false" outlineLevel="0" collapsed="false">
      <c r="A98" s="17" t="n">
        <v>41547</v>
      </c>
      <c r="B98" s="20" t="n">
        <v>15490.99</v>
      </c>
      <c r="C98" s="25" t="n">
        <f aca="false">(B98/B97-1)/(A98-A97)*30</f>
        <v>0.00417603134934674</v>
      </c>
      <c r="D98" s="19"/>
      <c r="E98" s="19"/>
      <c r="F98" s="19"/>
      <c r="I98" s="5"/>
      <c r="AC98" s="3"/>
      <c r="AD98" s="3"/>
      <c r="AE98" s="3"/>
    </row>
    <row r="99" s="4" customFormat="true" ht="15" hidden="false" customHeight="false" outlineLevel="0" collapsed="false">
      <c r="A99" s="17" t="n">
        <v>41578</v>
      </c>
      <c r="B99" s="20" t="n">
        <v>15554.36</v>
      </c>
      <c r="C99" s="25" t="n">
        <f aca="false">(B99/B98-1)/(A99-A98)*30</f>
        <v>0.00395880485699199</v>
      </c>
      <c r="D99" s="19"/>
      <c r="E99" s="19"/>
      <c r="F99" s="19"/>
      <c r="I99" s="5"/>
      <c r="AC99" s="3"/>
      <c r="AD99" s="3"/>
      <c r="AE99" s="3"/>
    </row>
    <row r="100" s="4" customFormat="true" ht="15" hidden="false" customHeight="false" outlineLevel="0" collapsed="false">
      <c r="A100" s="17" t="n">
        <v>41607</v>
      </c>
      <c r="B100" s="20" t="n">
        <v>15615.06</v>
      </c>
      <c r="C100" s="25" t="n">
        <f aca="false">(B100/B99-1)/(A100-A99)*30</f>
        <v>0.00403700978042654</v>
      </c>
      <c r="D100" s="19"/>
      <c r="E100" s="19"/>
      <c r="F100" s="19"/>
      <c r="I100" s="5"/>
      <c r="AC100" s="3"/>
      <c r="AD100" s="3"/>
      <c r="AE100" s="3"/>
    </row>
    <row r="101" s="4" customFormat="true" ht="15" hidden="false" customHeight="false" outlineLevel="0" collapsed="false">
      <c r="A101" s="17" t="n">
        <v>41639</v>
      </c>
      <c r="B101" s="20" t="n">
        <v>15675.68</v>
      </c>
      <c r="C101" s="25" t="n">
        <f aca="false">(B101/B100-1)/(A101-A100)*30</f>
        <v>0.00363951531406219</v>
      </c>
      <c r="D101" s="19"/>
      <c r="E101" s="19"/>
      <c r="F101" s="19"/>
      <c r="I101" s="5"/>
      <c r="AC101" s="3"/>
      <c r="AD101" s="3"/>
      <c r="AE101" s="3"/>
    </row>
    <row r="102" s="4" customFormat="true" ht="15" hidden="false" customHeight="false" outlineLevel="0" collapsed="false">
      <c r="A102" s="17" t="n">
        <v>41670</v>
      </c>
      <c r="B102" s="20" t="n">
        <v>15738.45</v>
      </c>
      <c r="C102" s="25" t="n">
        <f aca="false">(B102/B101-1)/(A102-A101)*30</f>
        <v>0.0038751212891769</v>
      </c>
      <c r="D102" s="19"/>
      <c r="E102" s="19"/>
      <c r="F102" s="19"/>
      <c r="I102" s="5"/>
      <c r="AC102" s="3"/>
      <c r="AD102" s="17" t="n">
        <v>43008</v>
      </c>
      <c r="AE102" s="62" t="n">
        <v>0.00311210000000006</v>
      </c>
    </row>
    <row r="103" s="4" customFormat="true" ht="15" hidden="false" customHeight="false" outlineLevel="0" collapsed="false">
      <c r="A103" s="17" t="n">
        <v>41698</v>
      </c>
      <c r="B103" s="20" t="n">
        <v>15792.47</v>
      </c>
      <c r="C103" s="25" t="n">
        <f aca="false">(B103/B102-1)/(A103-A102)*30</f>
        <v>0.00367752678494823</v>
      </c>
      <c r="D103" s="19"/>
      <c r="E103" s="19"/>
      <c r="F103" s="19"/>
      <c r="I103" s="5"/>
      <c r="AC103" s="3"/>
      <c r="AD103" s="17" t="n">
        <v>43039</v>
      </c>
      <c r="AE103" s="62" t="n">
        <v>0.00266354947734888</v>
      </c>
    </row>
    <row r="104" s="4" customFormat="true" ht="15" hidden="false" customHeight="false" outlineLevel="0" collapsed="false">
      <c r="A104" s="17" t="n">
        <v>41729</v>
      </c>
      <c r="B104" s="20" t="n">
        <v>15848.53</v>
      </c>
      <c r="C104" s="25" t="n">
        <f aca="false">(B104/B103-1)/(A104-A103)*30</f>
        <v>0.00343528358155682</v>
      </c>
      <c r="D104" s="19"/>
      <c r="E104" s="19"/>
      <c r="F104" s="19"/>
      <c r="I104" s="5"/>
      <c r="AC104" s="3"/>
      <c r="AD104" s="17" t="n">
        <v>43069</v>
      </c>
      <c r="AE104" s="62" t="n">
        <v>0.00270401929468234</v>
      </c>
    </row>
    <row r="105" s="4" customFormat="true" ht="15" hidden="false" customHeight="false" outlineLevel="0" collapsed="false">
      <c r="A105" s="17" t="n">
        <v>41759</v>
      </c>
      <c r="B105" s="20" t="n">
        <v>15901.43</v>
      </c>
      <c r="C105" s="25" t="n">
        <f aca="false">(B105/B104-1)/(A105-A104)*30</f>
        <v>0.00333784899924461</v>
      </c>
      <c r="D105" s="19"/>
      <c r="E105" s="19"/>
      <c r="F105" s="19"/>
      <c r="I105" s="5"/>
      <c r="AC105" s="3"/>
      <c r="AD105" s="17" t="n">
        <v>43100</v>
      </c>
      <c r="AE105" s="62" t="n">
        <v>0.00300965446914445</v>
      </c>
    </row>
    <row r="106" s="4" customFormat="true" ht="15" hidden="false" customHeight="false" outlineLevel="0" collapsed="false">
      <c r="A106" s="17" t="n">
        <v>41789</v>
      </c>
      <c r="B106" s="20" t="n">
        <v>15954.5</v>
      </c>
      <c r="C106" s="25" t="n">
        <f aca="false">(B106/B105-1)/(A106-A105)*30</f>
        <v>0.0033374356897462</v>
      </c>
      <c r="D106" s="19"/>
      <c r="E106" s="19"/>
      <c r="F106" s="19"/>
      <c r="I106" s="5"/>
      <c r="AC106" s="3"/>
      <c r="AD106" s="17" t="n">
        <v>43131</v>
      </c>
      <c r="AE106" s="62" t="n">
        <v>0.00473727239934226</v>
      </c>
    </row>
    <row r="107" s="4" customFormat="true" ht="15" hidden="false" customHeight="false" outlineLevel="0" collapsed="false">
      <c r="A107" s="17" t="n">
        <v>41820</v>
      </c>
      <c r="B107" s="20" t="n">
        <v>16009.53</v>
      </c>
      <c r="C107" s="25" t="n">
        <f aca="false">(B107/B106-1)/(A107-A106)*30</f>
        <v>0.00333791962829792</v>
      </c>
      <c r="D107" s="19"/>
      <c r="E107" s="19"/>
      <c r="F107" s="19"/>
      <c r="I107" s="5"/>
      <c r="AC107" s="3"/>
      <c r="AD107" s="17" t="n">
        <v>43159</v>
      </c>
      <c r="AE107" s="62" t="n">
        <v>0.00378152301954046</v>
      </c>
    </row>
    <row r="108" s="4" customFormat="true" ht="15" hidden="false" customHeight="false" outlineLevel="0" collapsed="false">
      <c r="A108" s="17" t="n">
        <v>41851</v>
      </c>
      <c r="B108" s="20" t="n">
        <v>16063.18</v>
      </c>
      <c r="C108" s="25" t="n">
        <f aca="false">(B108/B107-1)/(A108-A107)*30</f>
        <v>0.00324302804883782</v>
      </c>
      <c r="D108" s="19"/>
      <c r="E108" s="19"/>
      <c r="F108" s="19"/>
      <c r="I108" s="5"/>
      <c r="AC108" s="3"/>
      <c r="AD108" s="17" t="n">
        <v>43190</v>
      </c>
      <c r="AE108" s="62" t="n">
        <v>0.00300527511908573</v>
      </c>
    </row>
    <row r="109" s="4" customFormat="true" ht="15" hidden="false" customHeight="false" outlineLevel="0" collapsed="false">
      <c r="A109" s="17" t="n">
        <v>41880</v>
      </c>
      <c r="B109" s="20" t="n">
        <v>16110.55</v>
      </c>
      <c r="C109" s="25" t="n">
        <f aca="false">(B109/B108-1)/(A109-A108)*30</f>
        <v>0.00305066918728811</v>
      </c>
      <c r="D109" s="19"/>
      <c r="E109" s="19"/>
      <c r="F109" s="19"/>
      <c r="I109" s="5"/>
      <c r="AC109" s="3"/>
      <c r="AD109" s="17" t="n">
        <v>43220</v>
      </c>
      <c r="AE109" s="62" t="n">
        <v>0.00316130254575997</v>
      </c>
    </row>
    <row r="110" s="4" customFormat="true" ht="15" hidden="false" customHeight="false" outlineLevel="0" collapsed="false">
      <c r="A110" s="17" t="n">
        <v>41912</v>
      </c>
      <c r="B110" s="20" t="n">
        <v>16158.37</v>
      </c>
      <c r="C110" s="25" t="n">
        <f aca="false">(B110/B109-1)/(A110-A109)*30</f>
        <v>0.0027827262259824</v>
      </c>
      <c r="D110" s="19"/>
      <c r="E110" s="19"/>
      <c r="F110" s="19"/>
      <c r="I110" s="5"/>
      <c r="AC110" s="3"/>
      <c r="AD110" s="17" t="n">
        <v>43251</v>
      </c>
      <c r="AE110" s="62" t="n">
        <v>0.00310067866389014</v>
      </c>
    </row>
    <row r="111" s="4" customFormat="true" ht="15" hidden="false" customHeight="false" outlineLevel="0" collapsed="false">
      <c r="A111" s="17" t="n">
        <v>41943</v>
      </c>
      <c r="B111" s="20" t="n">
        <v>16200.86</v>
      </c>
      <c r="C111" s="25" t="n">
        <f aca="false">(B111/B110-1)/(A111-A110)*30</f>
        <v>0.00254477121384836</v>
      </c>
      <c r="D111" s="19"/>
      <c r="E111" s="19"/>
      <c r="F111" s="19"/>
      <c r="I111" s="5"/>
      <c r="AC111" s="3"/>
      <c r="AD111" s="17" t="n">
        <v>43281</v>
      </c>
      <c r="AE111" s="62" t="n">
        <v>0.00287709140845549</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43312</v>
      </c>
      <c r="AE112" s="62" t="n">
        <v>0.00279025405786912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43343</v>
      </c>
      <c r="AE113" s="62" t="n">
        <v>0.00269722002207049</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43373</v>
      </c>
      <c r="AE114" s="62" t="n">
        <v>0.00294678677406712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43404</v>
      </c>
      <c r="AE115" s="62" t="n">
        <v>0.00273411579812808</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43434</v>
      </c>
      <c r="AE116" s="62" t="n">
        <v>0.00284409288655185</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43465</v>
      </c>
      <c r="AE117" s="62" t="n">
        <v>0.00262659891580654</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43496</v>
      </c>
      <c r="AE118" s="62" t="n">
        <v>0.00281430328228941</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17" t="n">
        <v>43524</v>
      </c>
      <c r="AE119" s="62" t="n">
        <v>0.00282360638687196</v>
      </c>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17" t="n">
        <v>43555</v>
      </c>
      <c r="AE120" s="62" t="n">
        <v>0.00286536279403882</v>
      </c>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17" t="n">
        <v>43585</v>
      </c>
      <c r="AE121" s="62" t="n">
        <v>0.00293240905161363</v>
      </c>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C147" s="4"/>
      <c r="AD147" s="4"/>
      <c r="AE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C148" s="4"/>
      <c r="AD148" s="4"/>
      <c r="AE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c r="AC149" s="4"/>
      <c r="AD149" s="4"/>
      <c r="AE149" s="4"/>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c r="AC150" s="4"/>
      <c r="AD150" s="4"/>
      <c r="AE150" s="4"/>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c r="AC151" s="4"/>
      <c r="AD151" s="4"/>
      <c r="AE151" s="4"/>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c r="AC152" s="4"/>
      <c r="AD152" s="4"/>
      <c r="AE152" s="4"/>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c r="AC153" s="4"/>
      <c r="AD153" s="4"/>
      <c r="AE153" s="4"/>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c r="AC154" s="4"/>
      <c r="AD154" s="4"/>
      <c r="AE154" s="4"/>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c r="AC155" s="4"/>
      <c r="AD155" s="4"/>
      <c r="AE155" s="4"/>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c r="AC156" s="4"/>
      <c r="AD156" s="4"/>
      <c r="AE156" s="4"/>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C157" s="4"/>
      <c r="AD157" s="4"/>
      <c r="AE157" s="4"/>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12.16</v>
      </c>
      <c r="AC158" s="4"/>
      <c r="AD158" s="4"/>
      <c r="AE158" s="4"/>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c r="AC159" s="4"/>
      <c r="AD159" s="4"/>
      <c r="AE159" s="4"/>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11.4547962960558</v>
      </c>
      <c r="AD160" s="4"/>
      <c r="AE160" s="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c r="AF172" s="65"/>
      <c r="AG172" s="65"/>
      <c r="AH172" s="65"/>
      <c r="AI172" s="65"/>
      <c r="AJ172" s="65"/>
      <c r="AK172" s="65"/>
      <c r="AL172" s="65"/>
      <c r="AM172" s="65"/>
      <c r="AN172" s="65"/>
      <c r="AO172" s="65"/>
      <c r="AP172" s="65"/>
      <c r="AQ172" s="65"/>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c r="AD193" s="65"/>
      <c r="AE193" s="65"/>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v>100</v>
      </c>
      <c r="F216" s="17" t="n">
        <v>45138</v>
      </c>
      <c r="G216" s="4" t="n">
        <v>1000</v>
      </c>
      <c r="H216" s="4" t="n">
        <f aca="false">+G216+$S$148+$S$150+$S$152+$S$154+$S$156+$S$158</f>
        <v>1012.16</v>
      </c>
      <c r="I216" s="25" t="n">
        <v>0</v>
      </c>
      <c r="J216" s="18" t="n">
        <v>100</v>
      </c>
      <c r="K216" s="3" t="n">
        <v>5593.984</v>
      </c>
      <c r="L216" s="68" t="n">
        <f aca="false">+(K216/K215-1)/(F216-A215)*30</f>
        <v>0.00793981170339564</v>
      </c>
      <c r="M216" s="19" t="n">
        <v>100</v>
      </c>
    </row>
    <row r="217" customFormat="false" ht="15" hidden="false" customHeight="false" outlineLevel="0" collapsed="false">
      <c r="A217" s="17" t="n">
        <v>45169</v>
      </c>
      <c r="B217" s="3" t="n">
        <v>22551.92</v>
      </c>
      <c r="C217" s="25" t="n">
        <f aca="false">(B217/B216-1)/(A217-A216)*30</f>
        <v>0.00857745866259888</v>
      </c>
      <c r="D217" s="19" t="n">
        <f aca="false">+D216*(1+C217)</f>
        <v>100.85774586626</v>
      </c>
      <c r="F217" s="17" t="n">
        <v>45169</v>
      </c>
      <c r="G217" s="4" t="n">
        <v>1011.0005</v>
      </c>
      <c r="H217" s="4" t="n">
        <f aca="false">+G217+$S$148+$S$150+$S$152+$S$154+$S$156+$S$158</f>
        <v>1023.1605</v>
      </c>
      <c r="I217" s="25" t="n">
        <f aca="false">+(H217/H216-1)/(F217-F216)*30</f>
        <v>0.0105177493294443</v>
      </c>
      <c r="J217" s="18" t="n">
        <f aca="false">+J216*(1+I217)</f>
        <v>101.051774932944</v>
      </c>
      <c r="K217" s="18" t="n">
        <v>5636.4775</v>
      </c>
      <c r="L217" s="68" t="n">
        <f aca="false">+(K217/K216-1)/(F217-A216)*30</f>
        <v>0.00735124411072392</v>
      </c>
      <c r="M217" s="19" t="n">
        <f aca="false">+M216*(1+L217)</f>
        <v>100.735124411072</v>
      </c>
    </row>
    <row r="218" customFormat="false" ht="15" hidden="false" customHeight="false" outlineLevel="0" collapsed="false">
      <c r="A218" s="17" t="n">
        <v>45199</v>
      </c>
      <c r="B218" s="3" t="n">
        <v>22727.72</v>
      </c>
      <c r="C218" s="25" t="n">
        <f aca="false">(B218/B217-1)/(A218-A217)*30</f>
        <v>0.00779534514134506</v>
      </c>
      <c r="D218" s="19" t="n">
        <f aca="false">+D217*(1+C218)</f>
        <v>101.643966805465</v>
      </c>
      <c r="F218" s="17" t="n">
        <v>45199</v>
      </c>
      <c r="G218" s="4" t="n">
        <v>1020.2536</v>
      </c>
      <c r="H218" s="4" t="n">
        <f aca="false">+G218+$S$148+$S$150+$S$152+$S$154+$S$156+$S$158</f>
        <v>1032.4136</v>
      </c>
      <c r="I218" s="25" t="n">
        <f aca="false">+(H218/H217-1)/(F218-F217)*30</f>
        <v>0.00904364466767449</v>
      </c>
      <c r="J218" s="18" t="n">
        <f aca="false">+J217*(1+I218)</f>
        <v>101.965651278476</v>
      </c>
      <c r="K218" s="18" t="n">
        <v>5674.7198</v>
      </c>
      <c r="L218" s="68" t="n">
        <f aca="false">+(K218/K217-1)/(F218-A217)*30</f>
        <v>0.00678478712990516</v>
      </c>
      <c r="M218" s="19" t="n">
        <f aca="false">+M217*(1+L218)</f>
        <v>101.418590786706</v>
      </c>
    </row>
    <row r="219" customFormat="false" ht="15" hidden="false" customHeight="false" outlineLevel="0" collapsed="false">
      <c r="A219" s="17" t="n">
        <v>45230</v>
      </c>
      <c r="B219" s="19" t="n">
        <v>22920</v>
      </c>
      <c r="C219" s="25" t="n">
        <f aca="false">(B219/B218-1)/(A219-A218)*30</f>
        <v>0.0081872453266249</v>
      </c>
      <c r="D219" s="19" t="n">
        <f aca="false">+D218*(1+C219)</f>
        <v>102.476150897673</v>
      </c>
      <c r="F219" s="17" t="n">
        <v>45230</v>
      </c>
      <c r="G219" s="4" t="n">
        <v>1029.3014</v>
      </c>
      <c r="H219" s="4" t="n">
        <f aca="false">+G219+$S$148+$S$150+$S$152+$S$154+$S$156+$S$158</f>
        <v>1041.4614</v>
      </c>
      <c r="I219" s="25" t="n">
        <f aca="false">+(H219/H218-1)/(F219-F218)*30</f>
        <v>0.00848103462010875</v>
      </c>
      <c r="J219" s="18" t="n">
        <f aca="false">+J218*(1+I219)</f>
        <v>102.83042549703</v>
      </c>
      <c r="K219" s="18" t="n">
        <v>5712.6049</v>
      </c>
      <c r="L219" s="68" t="n">
        <f aca="false">+(K219/K218-1)/(F219-A218)*30</f>
        <v>0.00646075952507835</v>
      </c>
      <c r="M219" s="19" t="n">
        <f aca="false">+M218*(1+L219)</f>
        <v>102.073831913151</v>
      </c>
    </row>
    <row r="220" customFormat="false" ht="15" hidden="false" customHeight="false" outlineLevel="0" collapsed="false">
      <c r="A220" s="17" t="n">
        <v>45260</v>
      </c>
      <c r="B220" s="3" t="n">
        <v>23092.51</v>
      </c>
      <c r="C220" s="25" t="n">
        <f aca="false">(B220/B219-1)/(A220-A219)*30</f>
        <v>0.00752661431064561</v>
      </c>
      <c r="D220" s="19" t="n">
        <f aca="false">+D219*(1+C220)</f>
        <v>103.247449361519</v>
      </c>
      <c r="F220" s="17" t="n">
        <v>45260</v>
      </c>
      <c r="G220" s="4" t="n">
        <v>1037.4234</v>
      </c>
      <c r="H220" s="4" t="n">
        <f aca="false">+G220+$S$148+$S$150+$S$152+$S$154+$S$156+$S$158</f>
        <v>1049.5834</v>
      </c>
      <c r="I220" s="25" t="n">
        <f aca="false">+(H220/H219-1)/(F220-F219)*30</f>
        <v>0.00779865677210867</v>
      </c>
      <c r="J220" s="18" t="n">
        <f aca="false">+J219*(1+I220)</f>
        <v>103.632364691212</v>
      </c>
      <c r="K220" s="3" t="n">
        <v>5747.8492</v>
      </c>
      <c r="L220" s="68" t="n">
        <f aca="false">+(K220/K219-1)/(F220-A219)*30</f>
        <v>0.00616956723192952</v>
      </c>
      <c r="M220" s="19" t="n">
        <f aca="false">+M219*(1+L220)</f>
        <v>102.70358328176</v>
      </c>
    </row>
    <row r="221" customFormat="false" ht="15" hidden="false" customHeight="false" outlineLevel="0" collapsed="false">
      <c r="A221" s="17" t="n">
        <v>45291</v>
      </c>
      <c r="B221" s="3" t="n">
        <v>23256.05</v>
      </c>
      <c r="C221" s="25" t="n">
        <f aca="false">(B221/B220-1)/(A221-A220)*30</f>
        <v>0.00685349994994187</v>
      </c>
      <c r="D221" s="19" t="n">
        <f aca="false">+D220*(1+C221)</f>
        <v>103.95505575055</v>
      </c>
      <c r="F221" s="17" t="n">
        <v>45291</v>
      </c>
      <c r="G221" s="4" t="n">
        <v>1045.2655</v>
      </c>
      <c r="H221" s="4" t="n">
        <f aca="false">+G221+$S$148+$S$150+$S$152+$S$154+$S$156+$S$158</f>
        <v>1057.4255</v>
      </c>
      <c r="I221" s="25" t="n">
        <f aca="false">+(H221/H220-1)/(F221-F220)*30</f>
        <v>0.00723061076638414</v>
      </c>
      <c r="J221" s="18" t="n">
        <f aca="false">+J220*(1+I221)</f>
        <v>104.381689983094</v>
      </c>
      <c r="K221" s="3" t="n">
        <v>5782.92</v>
      </c>
      <c r="L221" s="68" t="n">
        <f aca="false">+(K221/K220-1)/(F221-A220)*30</f>
        <v>0.00590472761028043</v>
      </c>
      <c r="M221" s="19" t="n">
        <f aca="false">+M220*(1+L221)</f>
        <v>103.310019965639</v>
      </c>
    </row>
    <row r="222" customFormat="false" ht="15" hidden="false" customHeight="false" outlineLevel="0" collapsed="false">
      <c r="A222" s="17" t="n">
        <v>45322</v>
      </c>
      <c r="B222" s="3" t="n">
        <v>23427.15</v>
      </c>
      <c r="C222" s="25" t="n">
        <f aca="false">(B222/B221-1)/(A222-A221)*30</f>
        <v>0.00711989547499661</v>
      </c>
      <c r="D222" s="19" t="n">
        <f aca="false">+D221*(1+C222)</f>
        <v>104.695204881592</v>
      </c>
      <c r="F222" s="17" t="n">
        <v>45322</v>
      </c>
      <c r="G222" s="4" t="n">
        <v>1054.4824</v>
      </c>
      <c r="H222" s="4" t="n">
        <f aca="false">+G222+$S$148+$S$150+$S$152+$S$154+$S$156+$S$158</f>
        <v>1066.6424</v>
      </c>
      <c r="I222" s="25" t="n">
        <f aca="false">+(H222/H221-1)/(F222-F221)*30</f>
        <v>0.00843518587849579</v>
      </c>
      <c r="J222" s="18" t="n">
        <f aca="false">+J221*(1+I222)</f>
        <v>105.262168940413</v>
      </c>
      <c r="K222" s="3" t="n">
        <v>5816.8769</v>
      </c>
      <c r="L222" s="68" t="n">
        <f aca="false">+(K222/K221-1)/(F222-A221)*30</f>
        <v>0.00568251266298558</v>
      </c>
      <c r="M222" s="19" t="n">
        <f aca="false">+M221*(1+L222)</f>
        <v>103.897080462307</v>
      </c>
    </row>
    <row r="223" customFormat="false" ht="15" hidden="false" customHeight="false" outlineLevel="0" collapsed="false">
      <c r="A223" s="17" t="n">
        <v>45351</v>
      </c>
      <c r="B223" s="3" t="n">
        <v>23570.34</v>
      </c>
      <c r="C223" s="25" t="n">
        <f aca="false">(B223/B222-1)/(A223-A222)*30</f>
        <v>0.00632290253858852</v>
      </c>
      <c r="D223" s="19" t="n">
        <f aca="false">+D222*(1+C223)</f>
        <v>105.357182458315</v>
      </c>
      <c r="F223" s="17" t="n">
        <v>45351</v>
      </c>
      <c r="G223" s="4" t="n">
        <v>1061.2202</v>
      </c>
      <c r="H223" s="4" t="n">
        <f aca="false">+G223+$S$148+$S$150+$S$152+$S$154+$S$156+$S$158</f>
        <v>1073.3802</v>
      </c>
      <c r="I223" s="25" t="n">
        <f aca="false">+(H223/H222-1)/(F223-F222)*30</f>
        <v>0.00653465297369982</v>
      </c>
      <c r="J223" s="18" t="n">
        <f aca="false">+J222*(1+I223)</f>
        <v>105.950020685697</v>
      </c>
      <c r="K223" s="3" t="n">
        <v>5846.4552</v>
      </c>
      <c r="L223" s="68" t="n">
        <f aca="false">+(K223/K222-1)/(F223-A222)*30</f>
        <v>0.005260252521299</v>
      </c>
      <c r="M223" s="19" t="n">
        <f aca="false">+M222*(1+L223)</f>
        <v>104.443605341764</v>
      </c>
    </row>
    <row r="224" customFormat="false" ht="15" hidden="false" customHeight="false" outlineLevel="0" collapsed="false">
      <c r="A224" s="17" t="n">
        <v>45379</v>
      </c>
      <c r="B224" s="3" t="n">
        <v>23703.45</v>
      </c>
      <c r="C224" s="25" t="n">
        <f aca="false">(B224/B223-1)/(A224-A223)*30</f>
        <v>0.00605073397935101</v>
      </c>
      <c r="D224" s="19" t="n">
        <f aca="false">+D223*(1+C224)</f>
        <v>105.994670742185</v>
      </c>
      <c r="F224" s="17" t="n">
        <v>45382</v>
      </c>
      <c r="G224" s="4" t="n">
        <v>1067.2411</v>
      </c>
      <c r="H224" s="4" t="n">
        <f aca="false">+G224+$S$148+$S$150+$S$152+$S$154+$S$156+$S$158</f>
        <v>1079.4011</v>
      </c>
      <c r="I224" s="25" t="n">
        <f aca="false">+(H224/H223-1)/(F224-F223)*30</f>
        <v>0.00542834442013629</v>
      </c>
      <c r="J224" s="18" t="n">
        <f aca="false">+J223*(1+I224)</f>
        <v>106.5251538893</v>
      </c>
      <c r="K224" s="3" t="n">
        <v>5872.4728</v>
      </c>
      <c r="L224" s="68" t="n">
        <f aca="false">+(K224/K223-1)/(F224-A223)*30</f>
        <v>0.00430659634245464</v>
      </c>
      <c r="M224" s="19" t="n">
        <f aca="false">+M223*(1+L224)</f>
        <v>104.893401790522</v>
      </c>
    </row>
    <row r="225" customFormat="false" ht="15" hidden="false" customHeight="false" outlineLevel="0" collapsed="false">
      <c r="A225" s="17" t="n">
        <v>45412</v>
      </c>
      <c r="B225" s="3" t="n">
        <v>23847.87</v>
      </c>
      <c r="C225" s="25" t="n">
        <f aca="false">(B225/B224-1)/(A225-A224)*30</f>
        <v>0.00553889451075303</v>
      </c>
      <c r="D225" s="19" t="n">
        <f aca="false">+D224*(1+C225)</f>
        <v>106.581764042128</v>
      </c>
      <c r="F225" s="17" t="n">
        <v>45412</v>
      </c>
      <c r="G225" s="4" t="n">
        <v>1073.8801</v>
      </c>
      <c r="H225" s="4" t="n">
        <f aca="false">+G225+$S$148+$S$150+$S$152+$S$154+$S$156+$S$158</f>
        <v>1086.0401</v>
      </c>
      <c r="I225" s="25" t="n">
        <f aca="false">+(H225/H224-1)/(F225-F224)*30</f>
        <v>0.00615063297600882</v>
      </c>
      <c r="J225" s="18" t="n">
        <f aca="false">+J224*(1+I225)</f>
        <v>107.180351013586</v>
      </c>
      <c r="K225" s="3" t="n">
        <v>5900.1916</v>
      </c>
      <c r="L225" s="68" t="n">
        <f aca="false">+(K225/K224-1)/(F225-A224)*30</f>
        <v>0.00429102184873626</v>
      </c>
      <c r="M225" s="19" t="n">
        <f aca="false">+M224*(1+L225)</f>
        <v>105.343501669393</v>
      </c>
    </row>
    <row r="226" customFormat="false" ht="15" hidden="false" customHeight="false" outlineLevel="0" collapsed="false">
      <c r="A226" s="17" t="n">
        <v>45443</v>
      </c>
      <c r="B226" s="3" t="n">
        <v>23979.37</v>
      </c>
      <c r="C226" s="25" t="n">
        <f aca="false">(B226/B225-1)/(A226-A225)*30</f>
        <v>0.00533624447450137</v>
      </c>
      <c r="D226" s="19" t="n">
        <f aca="false">+D225*(1+C226)</f>
        <v>107.15051039158</v>
      </c>
      <c r="F226" s="17" t="n">
        <v>45443</v>
      </c>
      <c r="G226" s="4" t="n">
        <v>1079.4976</v>
      </c>
      <c r="H226" s="4" t="n">
        <f aca="false">+G226+$S$148+$S$150+$S$152+$S$154+$S$156+$S$158</f>
        <v>1091.6576</v>
      </c>
      <c r="I226" s="25" t="n">
        <f aca="false">+(H226/H225-1)/(F226-F225)*30</f>
        <v>0.00500560736438775</v>
      </c>
      <c r="J226" s="18" t="n">
        <f aca="false">+J225*(1+I226)</f>
        <v>107.716853767937</v>
      </c>
      <c r="K226" s="3" t="n">
        <v>5924.7824</v>
      </c>
      <c r="L226" s="68" t="n">
        <f aca="false">+(K226/K225-1)/(F226-A225)*30</f>
        <v>0.00403335179608358</v>
      </c>
      <c r="M226" s="19" t="n">
        <f aca="false">+M225*(1+L226)</f>
        <v>105.768389071057</v>
      </c>
    </row>
    <row r="227" customFormat="false" ht="15" hidden="false" customHeight="false" outlineLevel="0" collapsed="false">
      <c r="A227" s="17" t="n">
        <v>45473</v>
      </c>
      <c r="B227" s="19" t="n">
        <v>24090</v>
      </c>
      <c r="C227" s="25" t="n">
        <f aca="false">(B227/B226-1)/(A227-A226)*30</f>
        <v>0.00461354906321554</v>
      </c>
      <c r="D227" s="19" t="n">
        <f aca="false">+D226*(1+C227)</f>
        <v>107.64485452842</v>
      </c>
      <c r="F227" s="17" t="n">
        <v>45473</v>
      </c>
      <c r="G227" s="4" t="n">
        <v>1084.8009</v>
      </c>
      <c r="H227" s="4" t="n">
        <f aca="false">+G227+$S$148+$S$150+$S$152+$S$154+$S$156+$S$158</f>
        <v>1096.9609</v>
      </c>
      <c r="I227" s="25" t="n">
        <f aca="false">+(H227/H226-1)/(F227-F226)*30</f>
        <v>0.00485802508039157</v>
      </c>
      <c r="J227" s="18" t="n">
        <f aca="false">+J226*(1+I227)</f>
        <v>108.240144945123</v>
      </c>
      <c r="K227" s="3" t="n">
        <v>5946.409</v>
      </c>
      <c r="L227" s="68" t="n">
        <f aca="false">+(K227/K226-1)/(F227-A226)*30</f>
        <v>0.00365019312776771</v>
      </c>
      <c r="M227" s="19" t="n">
        <f aca="false">+M226*(1+L227)</f>
        <v>106.154464117979</v>
      </c>
    </row>
    <row r="228" customFormat="false" ht="15" hidden="false" customHeight="false" outlineLevel="0" collapsed="false">
      <c r="A228" s="17" t="n">
        <v>45504</v>
      </c>
      <c r="B228" s="3" t="n">
        <v>24217.3</v>
      </c>
      <c r="C228" s="25" t="n">
        <f aca="false">(B228/B227-1)/(A228-A227)*30</f>
        <v>0.00511388743823562</v>
      </c>
      <c r="D228" s="19" t="n">
        <f aca="false">+D227*(1+C228)</f>
        <v>108.195338197784</v>
      </c>
      <c r="F228" s="17" t="n">
        <v>45504</v>
      </c>
      <c r="G228" s="4" t="n">
        <v>1089.8485</v>
      </c>
      <c r="H228" s="4" t="n">
        <f aca="false">+G228+$S$148+$S$150+$S$152+$S$154+$S$156+$S$158</f>
        <v>1102.0085</v>
      </c>
      <c r="I228" s="25" t="n">
        <f aca="false">+(H228/H227-1)/(F228-F227)*30</f>
        <v>0.00445300666008105</v>
      </c>
      <c r="J228" s="18" t="n">
        <f aca="false">+J227*(1+I228)</f>
        <v>108.722139031451</v>
      </c>
      <c r="K228" s="3" t="n">
        <v>5968.019</v>
      </c>
      <c r="L228" s="68" t="n">
        <f aca="false">+(K228/K227-1)/(F228-A227)*30</f>
        <v>0.00351689620169189</v>
      </c>
      <c r="M228" s="19" t="n">
        <f aca="false">+M227*(1+L228)</f>
        <v>106.527798349629</v>
      </c>
    </row>
    <row r="229" customFormat="false" ht="15" hidden="false" customHeight="false" outlineLevel="0" collapsed="false">
      <c r="A229" s="17" t="n">
        <v>45535</v>
      </c>
      <c r="B229" s="3" t="n">
        <v>24333.6</v>
      </c>
      <c r="C229" s="25" t="n">
        <f aca="false">(B229/B228-1)/(A229-A228)*30</f>
        <v>0.004647437455735</v>
      </c>
      <c r="D229" s="19" t="n">
        <f aca="false">+D228*(1+C229)</f>
        <v>108.69816926506</v>
      </c>
      <c r="F229" s="17" t="n">
        <v>45535</v>
      </c>
      <c r="G229" s="4" t="n">
        <v>1094.4195</v>
      </c>
      <c r="H229" s="4" t="n">
        <f aca="false">+G229+$S$148+$S$150+$S$152+$S$154+$S$156+$S$158</f>
        <v>1106.5795</v>
      </c>
      <c r="I229" s="25" t="n">
        <f aca="false">+(H229/H228-1)/(F229-F228)*30</f>
        <v>0.00401407828260549</v>
      </c>
      <c r="J229" s="18" t="n">
        <f aca="false">+J228*(1+I229)</f>
        <v>109.158558208576</v>
      </c>
      <c r="K229" s="3" t="n">
        <v>5989.669</v>
      </c>
      <c r="L229" s="68" t="n">
        <f aca="false">+(K229/K228-1)/(F229-A228)*30</f>
        <v>0.00351064782186953</v>
      </c>
      <c r="M229" s="19" t="n">
        <f aca="false">+M228*(1+L229)</f>
        <v>106.901779932873</v>
      </c>
    </row>
    <row r="230" customFormat="false" ht="15" hidden="false" customHeight="false" outlineLevel="0" collapsed="false">
      <c r="A230" s="17" t="n">
        <v>45565</v>
      </c>
      <c r="B230" s="3" t="n">
        <v>24449.94</v>
      </c>
      <c r="C230" s="25" t="n">
        <f aca="false">(B230/B229-1)/(A230-A229)*30</f>
        <v>0.00478104349541386</v>
      </c>
      <c r="D230" s="19" t="n">
        <f aca="false">+D229*(1+C230)</f>
        <v>109.217859940188</v>
      </c>
      <c r="F230" s="17" t="n">
        <v>45565</v>
      </c>
      <c r="G230" s="4" t="n">
        <v>1098.5978</v>
      </c>
      <c r="H230" s="4" t="n">
        <f aca="false">+G230+$S$148+$S$150+$S$152+$S$154+$S$156+$S$158</f>
        <v>1110.7578</v>
      </c>
      <c r="I230" s="25" t="n">
        <f aca="false">+(H230/H229-1)/(F230-F229)*30</f>
        <v>0.0037758696957606</v>
      </c>
      <c r="J230" s="18" t="n">
        <f aca="false">+J229*(1+I230)</f>
        <v>109.570726700549</v>
      </c>
      <c r="K230" s="3" t="n">
        <v>6009.8868</v>
      </c>
      <c r="L230" s="68" t="n">
        <f aca="false">+(K230/K229-1)/(F230-A229)*30</f>
        <v>0.0033754452875443</v>
      </c>
      <c r="M230" s="19" t="n">
        <f aca="false">+M229*(1+L230)</f>
        <v>107.262621042178</v>
      </c>
    </row>
    <row r="231" customFormat="false" ht="15" hidden="false" customHeight="false" outlineLevel="0" collapsed="false">
      <c r="A231" s="17" t="n">
        <v>45596</v>
      </c>
      <c r="B231" s="3" t="n">
        <v>24560.22</v>
      </c>
      <c r="C231" s="25" t="n">
        <f aca="false">(B231/B230-1)/(A231-A230)*30</f>
        <v>0.00436494243524368</v>
      </c>
      <c r="D231" s="19" t="n">
        <f aca="false">+D230*(1+C231)</f>
        <v>109.694589611728</v>
      </c>
      <c r="F231" s="17" t="n">
        <v>45596</v>
      </c>
      <c r="G231" s="4" t="n">
        <v>1102.4666</v>
      </c>
      <c r="H231" s="4" t="n">
        <f aca="false">+G231+$S$148+$S$150+$S$152+$S$154+$S$156+$S$158</f>
        <v>1114.6266</v>
      </c>
      <c r="I231" s="25" t="n">
        <f aca="false">+(H231/H230-1)/(F231-F230)*30</f>
        <v>0.00337067180622101</v>
      </c>
      <c r="J231" s="18" t="n">
        <f aca="false">+J230*(1+I231)</f>
        <v>109.940053659825</v>
      </c>
      <c r="K231" s="3" t="n">
        <v>6030.3854</v>
      </c>
      <c r="L231" s="68" t="n">
        <f aca="false">+(K231/K230-1)/(F231-A230)*30</f>
        <v>0.00330078677001207</v>
      </c>
      <c r="M231" s="19" t="n">
        <f aca="false">+M230*(1+L231)</f>
        <v>107.616672082631</v>
      </c>
    </row>
    <row r="232" customFormat="false" ht="15" hidden="false" customHeight="false" outlineLevel="0" collapsed="false">
      <c r="A232" s="17" t="n">
        <v>45626</v>
      </c>
      <c r="B232" s="3" t="n">
        <v>24667.9</v>
      </c>
      <c r="C232" s="25" t="n">
        <f aca="false">(B232/B231-1)/(A232-A231)*30</f>
        <v>0.0043843255475724</v>
      </c>
      <c r="D232" s="19" t="n">
        <f aca="false">+D231*(1+C232)</f>
        <v>110.175526403393</v>
      </c>
      <c r="F232" s="17" t="n">
        <v>45626</v>
      </c>
      <c r="G232" s="4" t="n">
        <v>1095.0926</v>
      </c>
      <c r="H232" s="4" t="n">
        <f aca="false">+G232+$S$148+$S$150+$S$152+$S$154+$S$156+$S$158+$S$160</f>
        <v>1118.70739629606</v>
      </c>
      <c r="I232" s="25" t="n">
        <f aca="false">+(H232/H231-1)/(F232-F231)*30</f>
        <v>0.00366113306111271</v>
      </c>
      <c r="J232" s="18" t="n">
        <f aca="false">+J231*(1+I232)</f>
        <v>110.34255882502</v>
      </c>
      <c r="K232" s="3" t="n">
        <v>6049.8055</v>
      </c>
      <c r="L232" s="68" t="n">
        <f aca="false">+(K232/K231-1)/(F232-A231)*30</f>
        <v>0.00322037460491331</v>
      </c>
      <c r="M232" s="19" t="n">
        <f aca="false">+M231*(1+L232)</f>
        <v>107.963238080471</v>
      </c>
    </row>
    <row r="233" customFormat="false" ht="15" hidden="false" customHeight="false" outlineLevel="0" collapsed="false">
      <c r="A233" s="17" t="n">
        <v>45657</v>
      </c>
      <c r="B233" s="3" t="n">
        <v>24777.58</v>
      </c>
      <c r="C233" s="25" t="n">
        <f aca="false">(B233/B232-1)/(A233-A232)*30</f>
        <v>0.00430283629672052</v>
      </c>
      <c r="D233" s="19" t="n">
        <f aca="false">+D232*(1+C233)</f>
        <v>110.649593657412</v>
      </c>
      <c r="F233" s="17" t="n">
        <v>45657</v>
      </c>
      <c r="G233" s="4" t="n">
        <v>1099.6192</v>
      </c>
      <c r="H233" s="4" t="n">
        <f aca="false">+G233+$S$148+$S$150+$S$152+$S$154+$S$156+$S$158+$S$160</f>
        <v>1123.23399629606</v>
      </c>
      <c r="I233" s="25" t="n">
        <f aca="false">+(H233/H232-1)/(F233-F232)*30</f>
        <v>0.00391575192911503</v>
      </c>
      <c r="J233" s="18" t="n">
        <f aca="false">+J232*(1+I233)</f>
        <v>110.774632912602</v>
      </c>
      <c r="K233" s="3" t="n">
        <v>6069.3455</v>
      </c>
      <c r="L233" s="68" t="n">
        <f aca="false">+(K233/K232-1)/(F233-A232)*30</f>
        <v>0.00312566700191516</v>
      </c>
      <c r="M233" s="19" t="n">
        <f aca="false">+M232*(1+L233)</f>
        <v>108.300695211159</v>
      </c>
    </row>
    <row r="234" customFormat="false" ht="15" hidden="false" customHeight="false" outlineLevel="0" collapsed="false">
      <c r="A234" s="17" t="n">
        <v>45688</v>
      </c>
      <c r="B234" s="3" t="n">
        <v>24887.95</v>
      </c>
      <c r="C234" s="25" t="n">
        <f aca="false">(B234/B233-1)/(A234-A233)*30</f>
        <v>0.00431073887842782</v>
      </c>
      <c r="D234" s="19" t="n">
        <f aca="false">+D233*(1+C234)</f>
        <v>111.126575162673</v>
      </c>
      <c r="F234" s="17" t="n">
        <v>45688</v>
      </c>
      <c r="G234" s="4" t="n">
        <v>1104.5646</v>
      </c>
      <c r="H234" s="4" t="n">
        <f aca="false">+G234+$S$148+$S$150+$S$152+$S$154+$S$156+$S$158+$S$160</f>
        <v>1128.17939629606</v>
      </c>
      <c r="I234" s="25" t="n">
        <f aca="false">+(H234/H233-1)/(F234-F233)*30</f>
        <v>0.00426079604385515</v>
      </c>
      <c r="J234" s="18" t="n">
        <f aca="false">+J233*(1+I234)</f>
        <v>111.246621030276</v>
      </c>
      <c r="K234" s="3" t="n">
        <v>6087.6762</v>
      </c>
      <c r="L234" s="68" t="n">
        <f aca="false">+(K234/K233-1)/(F234-A233)*30</f>
        <v>0.00292278419423869</v>
      </c>
      <c r="M234" s="19" t="n">
        <f aca="false">+M233*(1+L234)</f>
        <v>108.617234771347</v>
      </c>
    </row>
    <row r="235" customFormat="false" ht="15" hidden="false" customHeight="false" outlineLevel="0" collapsed="false">
      <c r="A235" s="17" t="n">
        <v>45716</v>
      </c>
      <c r="B235" s="3" t="n">
        <v>24984.92</v>
      </c>
      <c r="C235" s="25" t="n">
        <f aca="false">(B235/B234-1)/(A235-A234)*30</f>
        <v>0.0041745675546369</v>
      </c>
      <c r="D235" s="19" t="n">
        <f aca="false">+D234*(1+C235)</f>
        <v>111.590480557805</v>
      </c>
      <c r="F235" s="17" t="n">
        <v>45716</v>
      </c>
      <c r="G235" s="4" t="n">
        <v>1108.546</v>
      </c>
      <c r="H235" s="4" t="n">
        <f aca="false">+G235+$S$148+$S$150+$S$152+$S$154+$S$156+$S$158+$S$160</f>
        <v>1132.16079629606</v>
      </c>
      <c r="I235" s="25" t="n">
        <f aca="false">+(H235/H234-1)/(F235-F234)*30</f>
        <v>0.00378112357688056</v>
      </c>
      <c r="J235" s="18" t="n">
        <f aca="false">+J234*(1+I235)</f>
        <v>111.667258251902</v>
      </c>
      <c r="K235" s="3" t="n">
        <v>6104.4912</v>
      </c>
      <c r="L235" s="68" t="n">
        <f aca="false">+(K235/K234-1)/(F235-A234)*30</f>
        <v>0.00295943326101547</v>
      </c>
      <c r="M235" s="19" t="n">
        <f aca="false">+M234*(1+L235)</f>
        <v>108.938680228649</v>
      </c>
    </row>
    <row r="236" customFormat="false" ht="15" hidden="false" customHeight="false" outlineLevel="0" collapsed="false">
      <c r="A236" s="17" t="n">
        <v>45747</v>
      </c>
      <c r="B236" s="3" t="n">
        <v>25092.7</v>
      </c>
      <c r="C236" s="25" t="n">
        <f aca="false">(B236/B235-1)/(A236-A235)*30</f>
        <v>0.00417464717943687</v>
      </c>
      <c r="D236" s="19" t="n">
        <f aca="false">+D235*(1+C236)</f>
        <v>112.056331442718</v>
      </c>
      <c r="F236" s="17" t="n">
        <v>45747</v>
      </c>
      <c r="G236" s="4" t="n">
        <v>1113.4757</v>
      </c>
      <c r="H236" s="4" t="n">
        <f aca="false">+G236+$S$148+$S$150+$S$152+$S$154+$S$156+$S$158+$S$160</f>
        <v>1137.09049629606</v>
      </c>
      <c r="I236" s="25" t="n">
        <f aca="false">+(H236/H235-1)/(F236-F235)*30</f>
        <v>0.00421378079417893</v>
      </c>
      <c r="J236" s="18" t="n">
        <f aca="false">+J235*(1+I236)</f>
        <v>112.137799600062</v>
      </c>
      <c r="K236" s="3" t="n">
        <v>6123.1882</v>
      </c>
      <c r="L236" s="68" t="n">
        <f aca="false">+(K236/K235-1)/(F236-A235)*30</f>
        <v>0.00296402605474173</v>
      </c>
      <c r="M236" s="19" t="n">
        <f aca="false">+M235*(1+L236)</f>
        <v>109.261577315216</v>
      </c>
    </row>
    <row r="237" customFormat="false" ht="15" hidden="false" customHeight="false" outlineLevel="0" collapsed="false">
      <c r="A237" s="17" t="n">
        <v>45777</v>
      </c>
      <c r="B237" s="3" t="n">
        <v>25197.48</v>
      </c>
      <c r="C237" s="25" t="n">
        <f aca="false">(B237/B236-1)/(A237-A236)*30</f>
        <v>0.00417571644342774</v>
      </c>
      <c r="D237" s="19" t="n">
        <f aca="false">+D236*(1+C237)</f>
        <v>112.524246908513</v>
      </c>
      <c r="F237" s="17" t="n">
        <v>45777</v>
      </c>
      <c r="G237" s="4" t="n">
        <v>1119.1337</v>
      </c>
      <c r="H237" s="4" t="n">
        <f aca="false">+G237+$S$148+$S$150+$S$152+$S$154+$S$156+$S$158+$S$160</f>
        <v>1142.74849629606</v>
      </c>
      <c r="I237" s="25" t="n">
        <f aca="false">+(H237/H236-1)/(F237-F236)*30</f>
        <v>0.00497585725888161</v>
      </c>
      <c r="J237" s="18" t="n">
        <f aca="false">+J236*(1+I237)</f>
        <v>112.695781284197</v>
      </c>
      <c r="K237" s="3" t="n">
        <v>6141.4105</v>
      </c>
      <c r="L237" s="68" t="n">
        <f aca="false">+(K237/K236-1)/(F237-A236)*30</f>
        <v>0.00297594968581905</v>
      </c>
      <c r="M237" s="19" t="n">
        <f aca="false">+M236*(1+L237)</f>
        <v>109.586734271899</v>
      </c>
    </row>
    <row r="238" customFormat="false" ht="15" hidden="false" customHeight="false" outlineLevel="0" collapsed="false">
      <c r="A238" s="17" t="n">
        <v>45808</v>
      </c>
      <c r="B238" s="3" t="n">
        <v>25302.66</v>
      </c>
      <c r="C238" s="25" t="n">
        <f aca="false">(B238/B237-1)/(A238-A237)*30</f>
        <v>0.00403957446435886</v>
      </c>
      <c r="D238" s="19" t="n">
        <f aca="false">+D237*(1+C238)</f>
        <v>112.978796982946</v>
      </c>
      <c r="F238" s="17" t="n">
        <v>45808</v>
      </c>
      <c r="G238" s="4" t="n">
        <v>1126.0291</v>
      </c>
      <c r="H238" s="4" t="n">
        <f aca="false">+G238+$S$148+$S$150+$S$152+$S$154+$S$156+$S$158+$S$160</f>
        <v>1149.64389629606</v>
      </c>
      <c r="I238" s="25" t="n">
        <f aca="false">+(H238/H237-1)/(F238-F237)*30</f>
        <v>0.00583940190126191</v>
      </c>
      <c r="J238" s="18" t="n">
        <f aca="false">+J237*(1+I238)</f>
        <v>113.353857243692</v>
      </c>
      <c r="K238" s="3" t="n">
        <v>6160.386</v>
      </c>
      <c r="L238" s="68" t="n">
        <f aca="false">+(K238/K237-1)/(F238-A237)*30</f>
        <v>0.00299009276399519</v>
      </c>
      <c r="M238" s="19" t="n">
        <f aca="false">+M237*(1+L238)</f>
        <v>109.914408773075</v>
      </c>
    </row>
    <row r="239" customFormat="false" ht="15" hidden="false" customHeight="false" outlineLevel="0" collapsed="false">
      <c r="A239" s="17" t="n">
        <v>45838</v>
      </c>
      <c r="B239" s="3" t="n">
        <v>25411.83</v>
      </c>
      <c r="C239" s="25" t="n">
        <f aca="false">(B239/B238-1)/(A239-A238)*30</f>
        <v>0.00431456613652492</v>
      </c>
      <c r="D239" s="19" t="n">
        <f aca="false">+D238*(1+C239)</f>
        <v>113.466251474554</v>
      </c>
      <c r="F239" s="17" t="n">
        <v>45838</v>
      </c>
      <c r="G239" s="4" t="n">
        <v>1132.5849</v>
      </c>
      <c r="H239" s="4" t="n">
        <f aca="false">+G239+$S$148+$S$150+$S$152+$S$154+$S$156+$S$158+$S$160</f>
        <v>1156.19969629606</v>
      </c>
      <c r="I239" s="25" t="n">
        <f aca="false">+(H239/H238-1)/(F239-F238)*30</f>
        <v>0.00570246145012532</v>
      </c>
      <c r="J239" s="18" t="n">
        <f aca="false">+J238*(1+I239)</f>
        <v>114.000253244848</v>
      </c>
      <c r="K239" s="3" t="n">
        <v>6178.849</v>
      </c>
      <c r="L239" s="68" t="n">
        <f aca="false">+(K239/K238-1)/(F239-A238)*30</f>
        <v>0.00299705245742721</v>
      </c>
      <c r="M239" s="19" t="n">
        <f aca="false">+M238*(1+L239)</f>
        <v>110.243828021995</v>
      </c>
    </row>
    <row r="240" customFormat="false" ht="15" hidden="false" customHeight="false" outlineLevel="0" collapsed="false">
      <c r="A240" s="17" t="n">
        <v>45869</v>
      </c>
      <c r="B240" s="3" t="n">
        <v>25521.26</v>
      </c>
      <c r="C240" s="25" t="n">
        <f aca="false">(B240/B239-1)/(A240-A239)*30</f>
        <v>0.00416735040333568</v>
      </c>
      <c r="D240" s="19" t="n">
        <f aca="false">+D239*(1+C240)</f>
        <v>113.939105103401</v>
      </c>
      <c r="F240" s="17" t="n">
        <v>45869</v>
      </c>
      <c r="G240" s="4" t="n">
        <v>1138.4797</v>
      </c>
      <c r="H240" s="4" t="n">
        <f aca="false">+G240+$S$148+$S$150+$S$152+$S$154+$S$156+$S$158+$S$160</f>
        <v>1162.09449629606</v>
      </c>
      <c r="I240" s="25" t="n">
        <f aca="false">+(H240/H239-1)/(F240-F239)*30</f>
        <v>0.00493396182300126</v>
      </c>
      <c r="J240" s="18" t="n">
        <f aca="false">+J239*(1+I240)</f>
        <v>114.56272614217</v>
      </c>
      <c r="K240" s="3" t="n">
        <v>6197.08</v>
      </c>
      <c r="L240" s="68" t="n">
        <f aca="false">+(K240/K239-1)/(F240-A239)*30</f>
        <v>0.00285537051088415</v>
      </c>
      <c r="M240" s="19" t="n">
        <f aca="false">+M239*(1+L240)</f>
        <v>110.558614997536</v>
      </c>
    </row>
    <row r="241" customFormat="false" ht="15" hidden="false" customHeight="false" outlineLevel="0" collapsed="false">
      <c r="A241" s="17" t="n">
        <v>45900</v>
      </c>
      <c r="B241" s="3" t="n">
        <v>25619.09</v>
      </c>
      <c r="C241" s="25" t="n">
        <f aca="false">(B241/B240-1)/(A241-A240)*30</f>
        <v>0.00370962066717663</v>
      </c>
      <c r="D241" s="19" t="n">
        <f aca="false">+D240*(1+C241)</f>
        <v>114.361775962493</v>
      </c>
      <c r="F241" s="17" t="n">
        <v>45900</v>
      </c>
      <c r="G241" s="4" t="n">
        <v>1145.2465</v>
      </c>
      <c r="H241" s="4" t="n">
        <f aca="false">+G241+$S$148+$S$150+$S$152+$S$154+$S$156+$S$158+$S$160</f>
        <v>1168.86129629606</v>
      </c>
      <c r="I241" s="25" t="n">
        <f aca="false">+(H241/H240-1)/(F241-F240)*30</f>
        <v>0.00563509779101797</v>
      </c>
      <c r="J241" s="18" t="n">
        <f aca="false">+J240*(1+I241)</f>
        <v>115.208298307187</v>
      </c>
      <c r="K241" s="3" t="n">
        <v>6215.6746</v>
      </c>
      <c r="L241" s="68" t="n">
        <f aca="false">+(K241/K240-1)/(F241-A240)*30</f>
        <v>0.00290375050726291</v>
      </c>
      <c r="M241" s="19" t="n">
        <f aca="false">+M240*(1+L241)</f>
        <v>110.879649631918</v>
      </c>
    </row>
    <row r="242" customFormat="false" ht="15" hidden="false" customHeight="false" outlineLevel="0" collapsed="false">
      <c r="A242" s="17" t="n">
        <v>45930</v>
      </c>
      <c r="B242" s="3" t="n">
        <v>25727.46</v>
      </c>
      <c r="C242" s="25" t="n">
        <f aca="false">(B242/B241-1)/(A242-A241)*30</f>
        <v>0.00423004876441735</v>
      </c>
      <c r="D242" s="19" t="n">
        <f aca="false">+D241*(1+C242)</f>
        <v>114.845531851599</v>
      </c>
      <c r="F242" s="17" t="n">
        <v>45930</v>
      </c>
      <c r="G242" s="4" t="n">
        <v>1152.0044</v>
      </c>
      <c r="H242" s="4" t="n">
        <f aca="false">+G242+$S$148+$S$150+$S$152+$S$154+$S$156+$S$158+$S$160</f>
        <v>1175.61919629606</v>
      </c>
      <c r="I242" s="25" t="n">
        <f aca="false">+(H242/H241-1)/(F242-F241)*30</f>
        <v>0.00578160986373222</v>
      </c>
      <c r="J242" s="18" t="n">
        <f aca="false">+J241*(1+I242)</f>
        <v>115.874387741063</v>
      </c>
      <c r="K242" s="3" t="n">
        <v>6232.8399</v>
      </c>
      <c r="L242" s="68" t="n">
        <f aca="false">+(K242/K241-1)/(F242-A241)*30</f>
        <v>0.00276161496613736</v>
      </c>
      <c r="M242" s="19" t="n">
        <f aca="false">+M241*(1+L242)</f>
        <v>111.185856531781</v>
      </c>
    </row>
    <row r="243" customFormat="false" ht="15" hidden="false" customHeight="false" outlineLevel="0" collapsed="false">
      <c r="A243" s="17" t="n">
        <v>45961</v>
      </c>
      <c r="B243" s="3" t="n">
        <v>25829.5</v>
      </c>
      <c r="C243" s="25" t="n">
        <f aca="false">(B243/B242-1)/(A243-A242)*30</f>
        <v>0.00383824859106876</v>
      </c>
      <c r="D243" s="19" t="n">
        <f aca="false">+D242*(1+C243)</f>
        <v>115.286337552419</v>
      </c>
      <c r="F243" s="17" t="n">
        <v>45961</v>
      </c>
      <c r="G243" s="4" t="n">
        <v>1159.2456</v>
      </c>
      <c r="H243" s="4" t="n">
        <f aca="false">+G243+$S$148+$S$150+$S$152+$S$154+$S$156+$S$158+$S$160</f>
        <v>1182.86039629606</v>
      </c>
      <c r="I243" s="25" t="n">
        <f aca="false">+(H243/H242-1)/(F243-F242)*30</f>
        <v>0.00596078468717092</v>
      </c>
      <c r="J243" s="18" t="n">
        <f aca="false">+J242*(1+I243)</f>
        <v>116.565090017146</v>
      </c>
      <c r="K243" s="3" t="n">
        <v>6250.6982</v>
      </c>
      <c r="L243" s="68" t="n">
        <f aca="false">+(K243/K242-1)/(F243-A242)*30</f>
        <v>0.00277276908820515</v>
      </c>
      <c r="M243" s="19" t="n">
        <f aca="false">+M242*(1+L243)</f>
        <v>111.494149237818</v>
      </c>
    </row>
    <row r="244" customFormat="false" ht="15" hidden="false" customHeight="false" outlineLevel="0" collapsed="false">
      <c r="A244" s="17" t="n">
        <v>45991</v>
      </c>
      <c r="B244" s="3" t="n">
        <v>25928.49</v>
      </c>
      <c r="C244" s="25" t="n">
        <f aca="false">(B244/B243-1)/(A244-A243)*30</f>
        <v>0.00383243965233548</v>
      </c>
      <c r="D244" s="19" t="n">
        <f aca="false">+D243*(1+C244)</f>
        <v>115.728165483828</v>
      </c>
      <c r="F244" s="17" t="n">
        <v>45991</v>
      </c>
      <c r="G244" s="4" t="n">
        <v>1165.9208</v>
      </c>
      <c r="H244" s="4" t="n">
        <f aca="false">+G244+$S$148+$S$150+$S$152+$S$154+$S$156+$S$158+$S$160</f>
        <v>1189.53559629606</v>
      </c>
      <c r="I244" s="25" t="n">
        <f aca="false">+(H244/H243-1)/(F244-F243)*30</f>
        <v>0.00564326950238803</v>
      </c>
      <c r="J244" s="18" t="n">
        <f aca="false">+J243*(1+I244)</f>
        <v>117.222898234683</v>
      </c>
      <c r="K244" s="3" t="n">
        <v>6268.169</v>
      </c>
      <c r="L244" s="68" t="n">
        <f aca="false">+(K244/K243-1)/(F244-A243)*30</f>
        <v>0.00279501576319907</v>
      </c>
      <c r="M244" s="19" t="n">
        <f aca="false">+M243*(1+L244)</f>
        <v>111.805777142442</v>
      </c>
    </row>
    <row r="245" customFormat="false" ht="15" hidden="false" customHeight="false" outlineLevel="0" collapsed="false">
      <c r="A245" s="17" t="n">
        <v>46022</v>
      </c>
      <c r="B245" s="3" t="n">
        <v>26035.82</v>
      </c>
      <c r="C245" s="25" t="n">
        <f aca="false">(B245/B244-1)/(A245-A244)*30</f>
        <v>0.00400593100236385</v>
      </c>
      <c r="D245" s="19" t="n">
        <f aca="false">+D244*(1+C245)</f>
        <v>116.191764529786</v>
      </c>
      <c r="F245" s="17" t="n">
        <v>46022</v>
      </c>
      <c r="G245" s="69" t="n">
        <v>1173.1909</v>
      </c>
      <c r="H245" s="4" t="n">
        <f aca="false">+G245+$S$148+$S$150+$S$152+$S$154+$S$156+$S$158+$S$160</f>
        <v>1196.80569629606</v>
      </c>
      <c r="I245" s="25" t="n">
        <f aca="false">+(H245/H244-1)/(F245-F244)*30</f>
        <v>0.00591456083119194</v>
      </c>
      <c r="J245" s="18" t="n">
        <f aca="false">+J244*(1+I245)</f>
        <v>117.9162201971</v>
      </c>
      <c r="K245" s="70" t="n">
        <v>6285.9566</v>
      </c>
      <c r="L245" s="68" t="n">
        <f aca="false">+(K245/K244-1)/(F245-A244)*30</f>
        <v>0.00274622564446067</v>
      </c>
      <c r="M245" s="19" t="n">
        <f aca="false">+M244*(1+L245)</f>
        <v>112.11282103483</v>
      </c>
    </row>
    <row r="246" customFormat="false" ht="15" hidden="false" customHeight="false" outlineLevel="0" collapsed="false">
      <c r="A246" s="17" t="n">
        <v>46053</v>
      </c>
      <c r="B246" s="3" t="n">
        <v>26136.9</v>
      </c>
      <c r="C246" s="25" t="n">
        <f aca="false">(B246/B245-1)/(A246-A245)*30</f>
        <v>0.00375710674135526</v>
      </c>
      <c r="D246" s="19" t="n">
        <f aca="false">+D245*(1+C246)</f>
        <v>116.628309391591</v>
      </c>
      <c r="F246" s="17" t="n">
        <v>46053</v>
      </c>
      <c r="G246" s="69" t="n">
        <v>1180.7295</v>
      </c>
      <c r="H246" s="4" t="n">
        <f aca="false">+G246+$S$148+$S$150+$S$152+$S$154+$S$156+$S$158+$S$160</f>
        <v>1204.34429629606</v>
      </c>
      <c r="I246" s="25" t="n">
        <f aca="false">+(H246/H245-1)/(F246-F245)*30</f>
        <v>0.00609574250642102</v>
      </c>
      <c r="J246" s="18" t="n">
        <f aca="false">+J245*(1+I246)</f>
        <v>118.635007112752</v>
      </c>
      <c r="K246" s="70" t="n">
        <v>6303.0823</v>
      </c>
      <c r="L246" s="68" t="n">
        <f aca="false">+(K246/K245-1)/(F246-A245)*30</f>
        <v>0.00263655305296194</v>
      </c>
      <c r="M246" s="19" t="n">
        <f aca="false">+M245*(1+L246)</f>
        <v>112.408412435405</v>
      </c>
    </row>
    <row r="247" customFormat="false" ht="15" hidden="false" customHeight="false" outlineLevel="0" collapsed="false">
      <c r="A247" s="71" t="n">
        <v>46081</v>
      </c>
      <c r="B247" s="72" t="n">
        <v>26231.81</v>
      </c>
      <c r="C247" s="25" t="n">
        <f aca="false">(B247/B246-1)/(A247-A246)*30</f>
        <v>0.00389064065418173</v>
      </c>
      <c r="D247" s="19" t="n">
        <f aca="false">+D246*(1+C247)</f>
        <v>117.082068233538</v>
      </c>
      <c r="F247" s="71" t="n">
        <v>46081</v>
      </c>
      <c r="G247" s="69" t="n">
        <v>1187.196</v>
      </c>
      <c r="H247" s="4" t="n">
        <f aca="false">+G247+$S$148+$S$150+$S$152+$S$154+$S$156+$S$158+$S$160</f>
        <v>1210.81079629606</v>
      </c>
      <c r="I247" s="25" t="n">
        <f aca="false">+(H247/H246-1)/(F247-F246)*30</f>
        <v>0.00575283403462872</v>
      </c>
      <c r="J247" s="18" t="n">
        <f aca="false">+J246*(1+I247)</f>
        <v>119.317494619369</v>
      </c>
      <c r="K247" s="73" t="n">
        <v>6318.4947</v>
      </c>
      <c r="L247" s="68" t="n">
        <f aca="false">+(K247/K246-1)/(F247-A246)*30</f>
        <v>0.00261987467850238</v>
      </c>
      <c r="M247" s="19" t="n">
        <f aca="false">+M246*(1+L247)</f>
        <v>112.702908388796</v>
      </c>
    </row>
    <row r="248" customFormat="false" ht="15" hidden="false" customHeight="false" outlineLevel="0" collapsed="false">
      <c r="A248" s="71" t="n">
        <v>46112</v>
      </c>
      <c r="B248" s="72" t="n">
        <v>26333.64</v>
      </c>
      <c r="C248" s="25" t="n">
        <f aca="false">(B248/B247-1)/(A248-A247)*30</f>
        <v>0.00375670459988545</v>
      </c>
      <c r="D248" s="19" t="n">
        <f aca="false">+D247*(1+C248)</f>
        <v>117.521910977835</v>
      </c>
      <c r="F248" s="71" t="n">
        <v>46112</v>
      </c>
      <c r="G248" s="74" t="n">
        <v>1194.2251</v>
      </c>
      <c r="H248" s="4" t="n">
        <f aca="false">+G248+$S$148+$S$150+$S$152+$S$154+$S$156+$S$158+$S$160</f>
        <v>1217.83989629606</v>
      </c>
      <c r="I248" s="25" t="n">
        <f aca="false">+(H248/H247-1)/(F248-F247)*30</f>
        <v>0.00561801634038832</v>
      </c>
      <c r="J248" s="18" t="n">
        <f aca="false">+J247*(1+I248)</f>
        <v>119.987822253835</v>
      </c>
      <c r="K248" s="75" t="n">
        <v>6335.4774</v>
      </c>
      <c r="L248" s="68" t="n">
        <f aca="false">+(K248/K247-1)/(F248-A247)*30</f>
        <v>0.00260107379179124</v>
      </c>
      <c r="M248" s="19" t="n">
        <f aca="false">+M247*(1+L248)</f>
        <v>112.996056970064</v>
      </c>
    </row>
    <row r="249" customFormat="false" ht="15" hidden="false" customHeight="false" outlineLevel="0" collapsed="false">
      <c r="A249" s="17" t="n">
        <v>46142</v>
      </c>
      <c r="B249" s="3" t="n">
        <v>19916.8502383877</v>
      </c>
      <c r="C249" s="25" t="n">
        <f aca="false">(B249/B248-1)/(A249-A248)*30</f>
        <v>-0.243672722859896</v>
      </c>
      <c r="D249" s="19" t="n">
        <f aca="false">+D248*(1+C249)</f>
        <v>88.8850269341679</v>
      </c>
      <c r="F249" s="17" t="n">
        <v>46142</v>
      </c>
      <c r="G249" s="76" t="n">
        <v>1201.0846</v>
      </c>
      <c r="H249" s="4" t="n">
        <f aca="false">+G249+$S$148+$S$150+$S$152+$S$154+$S$156+$S$158+$S$160</f>
        <v>1224.69939629606</v>
      </c>
      <c r="I249" s="25" t="n">
        <f aca="false">+(H249/H248-1)/(F249-F248)*30</f>
        <v>0.00563251378187091</v>
      </c>
      <c r="J249" s="18" t="n">
        <f aca="false">+J248*(1+I249)</f>
        <v>120.663655316336</v>
      </c>
      <c r="L249" s="68"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2"/>
  <sheetViews>
    <sheetView showFormulas="false" showGridLines="false" showRowColHeaders="true" showZeros="true" rightToLeft="false" tabSelected="true" showOutlineSymbols="true" defaultGridColor="true" view="normal" topLeftCell="D1" colorId="64" zoomScale="70" zoomScaleNormal="70" zoomScalePageLayoutView="100" workbookViewId="0">
      <selection pane="topLeft" activeCell="H35" activeCellId="0" sqref="H35"/>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4.57"/>
    <col collapsed="false" customWidth="true" hidden="false" outlineLevel="0" max="16" min="5" style="0" width="7.71"/>
    <col collapsed="false" customWidth="true" hidden="false" outlineLevel="0" max="17" min="17" style="0" width="10.14"/>
    <col collapsed="false" customWidth="true" hidden="false" outlineLevel="0" max="19" min="19" style="0" width="21.85"/>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5.71"/>
    <col collapsed="false" customWidth="true" hidden="false" outlineLevel="0" max="24" min="24" style="0" width="13.29"/>
  </cols>
  <sheetData>
    <row r="1" customFormat="false" ht="24"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47</v>
      </c>
    </row>
    <row r="2" customFormat="false" ht="15" hidden="false" customHeight="false" outlineLevel="0" collapsed="false">
      <c r="C2" s="78"/>
      <c r="D2" s="79"/>
      <c r="E2" s="79"/>
      <c r="F2" s="79"/>
      <c r="G2" s="79"/>
      <c r="H2" s="79"/>
      <c r="I2" s="79"/>
      <c r="J2" s="79"/>
      <c r="K2" s="79"/>
      <c r="L2" s="79"/>
      <c r="M2" s="79"/>
      <c r="N2" s="79"/>
      <c r="O2" s="79"/>
      <c r="P2" s="79"/>
      <c r="Q2" s="79"/>
      <c r="R2" s="79"/>
      <c r="S2" s="83" t="s">
        <v>48</v>
      </c>
      <c r="T2" s="84" t="n">
        <f aca="false">+'Datos ICP (2)'!AX29</f>
        <v>-0.243672722859896</v>
      </c>
      <c r="U2" s="84" t="n">
        <f aca="false">+'Datos ICP (2)'!AY29</f>
        <v>-0.237979628862347</v>
      </c>
      <c r="V2" s="84" t="n">
        <f aca="false">+'Datos ICP (2)'!AZ29</f>
        <v>-0.228910732364632</v>
      </c>
      <c r="W2" s="84"/>
      <c r="X2" s="84"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83" t="s">
        <v>26</v>
      </c>
      <c r="T3" s="84" t="n">
        <f aca="false">+'Datos ICP (2)'!AX30</f>
        <v>-1</v>
      </c>
      <c r="U3" s="84" t="n">
        <f aca="false">+'Datos ICP (2)'!AY30</f>
        <v>-1</v>
      </c>
      <c r="V3" s="84" t="n">
        <f aca="false">+'Datos ICP (2)'!AZ30</f>
        <v>-1</v>
      </c>
      <c r="W3" s="84"/>
      <c r="X3" s="84"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5" t="s">
        <v>38</v>
      </c>
      <c r="T4" s="84" t="n">
        <f aca="false">+'Datos ICP (2)'!AX31</f>
        <v>0.00563251378187091</v>
      </c>
      <c r="U4" s="84" t="n">
        <f aca="false">+'Datos ICP (2)'!AY31</f>
        <v>0.0169013961062479</v>
      </c>
      <c r="V4" s="84" t="n">
        <f aca="false">+'Datos ICP (2)'!AZ31</f>
        <v>0.0353710379779493</v>
      </c>
      <c r="W4" s="84"/>
      <c r="X4" s="84" t="n">
        <f aca="false">+'Datos ICP (2)'!BB31</f>
        <v>0.0507041883187436</v>
      </c>
    </row>
    <row r="5" customFormat="false" ht="15" hidden="false" customHeight="false" outlineLevel="0" collapsed="false">
      <c r="B5" s="86"/>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6"/>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49</v>
      </c>
      <c r="R6" s="91"/>
      <c r="S6" s="79"/>
      <c r="T6" s="79"/>
      <c r="U6" s="79"/>
      <c r="V6" s="79"/>
      <c r="W6" s="79"/>
      <c r="X6" s="79"/>
    </row>
    <row r="7" customFormat="false" ht="12.75" hidden="false" customHeight="true" outlineLevel="0" collapsed="false">
      <c r="B7" s="86"/>
      <c r="C7" s="92"/>
      <c r="D7" s="93"/>
      <c r="E7" s="94"/>
      <c r="F7" s="94"/>
      <c r="G7" s="94"/>
      <c r="H7" s="94"/>
      <c r="I7" s="94"/>
      <c r="J7" s="94"/>
      <c r="K7" s="94"/>
      <c r="L7" s="94"/>
      <c r="M7" s="94"/>
      <c r="N7" s="94"/>
      <c r="O7" s="94"/>
      <c r="P7" s="94"/>
      <c r="Q7" s="94"/>
      <c r="R7" s="91"/>
      <c r="S7" s="79"/>
      <c r="T7" s="79"/>
      <c r="U7" s="79"/>
      <c r="V7" s="79"/>
      <c r="W7" s="79"/>
      <c r="X7" s="79"/>
    </row>
    <row r="8" customFormat="false" ht="15.75" hidden="true" customHeight="true" outlineLevel="0" collapsed="false">
      <c r="B8" s="86"/>
      <c r="C8" s="95" t="n">
        <v>2013</v>
      </c>
      <c r="D8" s="96" t="s">
        <v>3</v>
      </c>
      <c r="E8" s="97"/>
      <c r="F8" s="97"/>
      <c r="G8" s="97"/>
      <c r="H8" s="97"/>
      <c r="I8" s="97"/>
      <c r="J8" s="97"/>
      <c r="K8" s="97"/>
      <c r="L8" s="97"/>
      <c r="M8" s="97"/>
      <c r="N8" s="97"/>
      <c r="O8" s="97"/>
      <c r="P8" s="97"/>
      <c r="Q8" s="97"/>
      <c r="R8" s="79"/>
      <c r="S8" s="79"/>
      <c r="T8" s="79"/>
      <c r="U8" s="79"/>
      <c r="V8" s="79"/>
      <c r="W8" s="79"/>
      <c r="X8" s="79"/>
    </row>
    <row r="9" customFormat="false" ht="15.75" hidden="true" customHeight="true" outlineLevel="0" collapsed="false">
      <c r="B9" s="86"/>
      <c r="C9" s="95" t="n">
        <v>2014</v>
      </c>
      <c r="D9" s="96" t="s">
        <v>3</v>
      </c>
      <c r="E9" s="97"/>
      <c r="F9" s="97"/>
      <c r="G9" s="97"/>
      <c r="H9" s="97"/>
      <c r="I9" s="97"/>
      <c r="J9" s="97"/>
      <c r="K9" s="97"/>
      <c r="L9" s="97"/>
      <c r="M9" s="97"/>
      <c r="N9" s="97"/>
      <c r="O9" s="97"/>
      <c r="P9" s="97"/>
      <c r="Q9" s="97"/>
      <c r="R9" s="79"/>
      <c r="S9" s="79"/>
      <c r="T9" s="79"/>
      <c r="U9" s="79"/>
      <c r="V9" s="79"/>
      <c r="W9" s="79"/>
      <c r="X9" s="79"/>
    </row>
    <row r="10" customFormat="false" ht="15.75" hidden="true" customHeight="true" outlineLevel="0" collapsed="false">
      <c r="B10" s="86"/>
      <c r="C10" s="95" t="n">
        <v>2015</v>
      </c>
      <c r="D10" s="96" t="s">
        <v>3</v>
      </c>
      <c r="E10" s="97"/>
      <c r="F10" s="97"/>
      <c r="G10" s="97"/>
      <c r="H10" s="97"/>
      <c r="I10" s="97"/>
      <c r="J10" s="97"/>
      <c r="K10" s="97"/>
      <c r="L10" s="97"/>
      <c r="M10" s="97"/>
      <c r="N10" s="97"/>
      <c r="O10" s="97"/>
      <c r="P10" s="97"/>
      <c r="Q10" s="97"/>
      <c r="R10" s="79"/>
      <c r="S10" s="79"/>
      <c r="T10" s="79"/>
      <c r="U10" s="79"/>
      <c r="V10" s="79"/>
      <c r="W10" s="79"/>
      <c r="X10" s="79"/>
    </row>
    <row r="11" customFormat="false" ht="15.75" hidden="true" customHeight="true" outlineLevel="0" collapsed="false">
      <c r="B11" s="86"/>
      <c r="C11" s="95" t="n">
        <v>2016</v>
      </c>
      <c r="D11" s="96" t="s">
        <v>3</v>
      </c>
      <c r="E11" s="97"/>
      <c r="F11" s="97"/>
      <c r="G11" s="97"/>
      <c r="H11" s="97"/>
      <c r="I11" s="97"/>
      <c r="J11" s="97"/>
      <c r="K11" s="97"/>
      <c r="L11" s="97"/>
      <c r="M11" s="97"/>
      <c r="N11" s="97"/>
      <c r="O11" s="97"/>
      <c r="P11" s="97"/>
      <c r="Q11" s="97"/>
      <c r="R11" s="79"/>
      <c r="S11" s="79"/>
      <c r="T11" s="79"/>
      <c r="U11" s="79"/>
      <c r="V11" s="79"/>
      <c r="W11" s="79"/>
      <c r="X11" s="79"/>
    </row>
    <row r="12" customFormat="false" ht="15.75" hidden="true" customHeight="true" outlineLevel="0" collapsed="false">
      <c r="B12" s="86"/>
      <c r="C12" s="95" t="n">
        <v>2017</v>
      </c>
      <c r="D12" s="96" t="s">
        <v>3</v>
      </c>
      <c r="E12" s="97"/>
      <c r="F12" s="97"/>
      <c r="G12" s="97"/>
      <c r="H12" s="97"/>
      <c r="I12" s="97"/>
      <c r="J12" s="97"/>
      <c r="K12" s="97"/>
      <c r="L12" s="97"/>
      <c r="M12" s="97"/>
      <c r="N12" s="97"/>
      <c r="O12" s="97"/>
      <c r="P12" s="97"/>
      <c r="Q12" s="97"/>
      <c r="R12" s="79"/>
      <c r="S12" s="79"/>
      <c r="T12" s="98"/>
      <c r="U12" s="79"/>
      <c r="V12" s="79"/>
      <c r="W12" s="79"/>
      <c r="X12" s="79"/>
    </row>
    <row r="13" customFormat="false" ht="15.75" hidden="true" customHeight="true" outlineLevel="0" collapsed="false">
      <c r="B13" s="86"/>
      <c r="C13" s="95"/>
      <c r="D13" s="96" t="s">
        <v>26</v>
      </c>
      <c r="E13" s="97"/>
      <c r="F13" s="97"/>
      <c r="G13" s="97"/>
      <c r="H13" s="97"/>
      <c r="I13" s="97"/>
      <c r="J13" s="97"/>
      <c r="K13" s="97"/>
      <c r="L13" s="97"/>
      <c r="M13" s="97"/>
      <c r="N13" s="97"/>
      <c r="O13" s="97"/>
      <c r="P13" s="97"/>
      <c r="Q13" s="97"/>
      <c r="R13" s="79"/>
      <c r="S13" s="79"/>
      <c r="T13" s="79"/>
      <c r="U13" s="79"/>
      <c r="V13" s="79"/>
      <c r="W13" s="79"/>
      <c r="X13" s="79"/>
    </row>
    <row r="14" customFormat="false" ht="15.75" hidden="true" customHeight="true" outlineLevel="0" collapsed="false">
      <c r="B14" s="86"/>
      <c r="C14" s="95"/>
      <c r="D14" s="96" t="s">
        <v>38</v>
      </c>
      <c r="E14" s="97"/>
      <c r="F14" s="97"/>
      <c r="G14" s="97"/>
      <c r="H14" s="97"/>
      <c r="I14" s="97"/>
      <c r="J14" s="97"/>
      <c r="K14" s="97"/>
      <c r="L14" s="97"/>
      <c r="M14" s="97"/>
      <c r="N14" s="97"/>
      <c r="O14" s="97"/>
      <c r="P14" s="97"/>
      <c r="Q14" s="97"/>
      <c r="R14" s="79"/>
      <c r="S14" s="79"/>
      <c r="T14" s="79"/>
      <c r="U14" s="79"/>
      <c r="V14" s="79"/>
      <c r="W14" s="79"/>
      <c r="X14" s="79"/>
    </row>
    <row r="15" customFormat="false" ht="15.75" hidden="true" customHeight="true" outlineLevel="0" collapsed="false">
      <c r="B15" s="86"/>
      <c r="C15" s="95" t="n">
        <v>2018</v>
      </c>
      <c r="D15" s="96" t="s">
        <v>3</v>
      </c>
      <c r="E15" s="97"/>
      <c r="F15" s="97"/>
      <c r="G15" s="97"/>
      <c r="H15" s="97"/>
      <c r="I15" s="97"/>
      <c r="J15" s="97"/>
      <c r="K15" s="97"/>
      <c r="L15" s="97"/>
      <c r="M15" s="97"/>
      <c r="N15" s="97"/>
      <c r="O15" s="97"/>
      <c r="P15" s="97"/>
      <c r="Q15" s="97"/>
      <c r="R15" s="79"/>
      <c r="S15" s="79"/>
      <c r="T15" s="79"/>
      <c r="U15" s="79"/>
      <c r="V15" s="79"/>
      <c r="W15" s="79"/>
      <c r="X15" s="79"/>
    </row>
    <row r="16" customFormat="false" ht="15.75" hidden="true" customHeight="true" outlineLevel="0" collapsed="false">
      <c r="B16" s="86"/>
      <c r="C16" s="95"/>
      <c r="D16" s="96" t="s">
        <v>26</v>
      </c>
      <c r="E16" s="97"/>
      <c r="F16" s="97"/>
      <c r="G16" s="97"/>
      <c r="H16" s="97"/>
      <c r="I16" s="97"/>
      <c r="J16" s="97"/>
      <c r="K16" s="97"/>
      <c r="L16" s="97"/>
      <c r="M16" s="97"/>
      <c r="N16" s="97"/>
      <c r="O16" s="97"/>
      <c r="P16" s="97"/>
      <c r="Q16" s="97"/>
      <c r="R16" s="79"/>
      <c r="S16" s="79"/>
      <c r="T16" s="79"/>
      <c r="U16" s="79"/>
      <c r="V16" s="79"/>
      <c r="W16" s="79"/>
      <c r="X16" s="79"/>
    </row>
    <row r="17" customFormat="false" ht="15.75" hidden="true" customHeight="true" outlineLevel="0" collapsed="false">
      <c r="B17" s="86"/>
      <c r="C17" s="95"/>
      <c r="D17" s="96" t="s">
        <v>38</v>
      </c>
      <c r="E17" s="97"/>
      <c r="F17" s="97"/>
      <c r="G17" s="97"/>
      <c r="H17" s="97"/>
      <c r="I17" s="97"/>
      <c r="J17" s="97"/>
      <c r="K17" s="97"/>
      <c r="L17" s="97"/>
      <c r="M17" s="97"/>
      <c r="N17" s="97"/>
      <c r="O17" s="97"/>
      <c r="P17" s="97"/>
      <c r="Q17" s="97"/>
      <c r="R17" s="79"/>
      <c r="S17" s="79"/>
      <c r="T17" s="79"/>
      <c r="U17" s="79"/>
      <c r="V17" s="79"/>
      <c r="W17" s="79"/>
      <c r="X17" s="79"/>
    </row>
    <row r="18" customFormat="false" ht="15.75" hidden="true" customHeight="true" outlineLevel="0" collapsed="false">
      <c r="C18" s="95" t="n">
        <v>2019</v>
      </c>
      <c r="D18" s="96" t="s">
        <v>3</v>
      </c>
      <c r="E18" s="97"/>
      <c r="F18" s="97"/>
      <c r="G18" s="97"/>
      <c r="H18" s="97"/>
      <c r="I18" s="97"/>
      <c r="J18" s="97"/>
      <c r="K18" s="97"/>
      <c r="L18" s="97"/>
      <c r="M18" s="97"/>
      <c r="N18" s="97"/>
      <c r="O18" s="97"/>
      <c r="P18" s="97"/>
      <c r="Q18" s="97"/>
      <c r="R18" s="79"/>
      <c r="S18" s="79"/>
      <c r="T18" s="79"/>
      <c r="U18" s="79"/>
      <c r="V18" s="79"/>
      <c r="W18" s="79"/>
      <c r="X18" s="79"/>
    </row>
    <row r="19" customFormat="false" ht="15.75" hidden="true" customHeight="true" outlineLevel="0" collapsed="false">
      <c r="C19" s="95"/>
      <c r="D19" s="96" t="s">
        <v>26</v>
      </c>
      <c r="E19" s="97"/>
      <c r="F19" s="97"/>
      <c r="G19" s="97"/>
      <c r="H19" s="97"/>
      <c r="I19" s="97"/>
      <c r="J19" s="97"/>
      <c r="K19" s="97"/>
      <c r="L19" s="97"/>
      <c r="M19" s="97"/>
      <c r="N19" s="97"/>
      <c r="O19" s="97"/>
      <c r="P19" s="97"/>
      <c r="Q19" s="97"/>
      <c r="R19" s="79"/>
      <c r="S19" s="79"/>
      <c r="T19" s="79"/>
      <c r="U19" s="79"/>
      <c r="V19" s="79"/>
      <c r="W19" s="79"/>
      <c r="X19" s="79"/>
    </row>
    <row r="20" customFormat="false" ht="15.75" hidden="true" customHeight="true" outlineLevel="0" collapsed="false">
      <c r="C20" s="95"/>
      <c r="D20" s="96" t="s">
        <v>38</v>
      </c>
      <c r="E20" s="97"/>
      <c r="F20" s="97"/>
      <c r="G20" s="97"/>
      <c r="H20" s="97"/>
      <c r="I20" s="97"/>
      <c r="J20" s="97"/>
      <c r="K20" s="97"/>
      <c r="L20" s="97"/>
      <c r="M20" s="97"/>
      <c r="N20" s="97"/>
      <c r="O20" s="97"/>
      <c r="P20" s="97"/>
      <c r="Q20" s="97"/>
      <c r="R20" s="79"/>
      <c r="S20" s="79"/>
      <c r="T20" s="79"/>
      <c r="U20" s="79"/>
      <c r="V20" s="79"/>
      <c r="W20" s="79"/>
      <c r="X20" s="79"/>
    </row>
    <row r="21" customFormat="false" ht="15.75" hidden="true" customHeight="true" outlineLevel="0" collapsed="false">
      <c r="C21" s="95" t="n">
        <v>2020</v>
      </c>
      <c r="D21" s="96" t="s">
        <v>3</v>
      </c>
      <c r="E21" s="97"/>
      <c r="F21" s="97"/>
      <c r="G21" s="97"/>
      <c r="H21" s="97"/>
      <c r="I21" s="97"/>
      <c r="J21" s="97"/>
      <c r="K21" s="97"/>
      <c r="L21" s="97"/>
      <c r="M21" s="97"/>
      <c r="N21" s="97"/>
      <c r="O21" s="97"/>
      <c r="P21" s="97"/>
      <c r="Q21" s="97"/>
      <c r="R21" s="79"/>
      <c r="S21" s="79"/>
      <c r="T21" s="79"/>
      <c r="U21" s="79"/>
      <c r="V21" s="79"/>
      <c r="W21" s="79"/>
      <c r="X21" s="79"/>
    </row>
    <row r="22" customFormat="false" ht="15.75" hidden="true" customHeight="true" outlineLevel="0" collapsed="false">
      <c r="C22" s="95"/>
      <c r="D22" s="96" t="s">
        <v>26</v>
      </c>
      <c r="E22" s="97"/>
      <c r="F22" s="97"/>
      <c r="G22" s="97"/>
      <c r="H22" s="97"/>
      <c r="I22" s="97"/>
      <c r="J22" s="97"/>
      <c r="K22" s="97"/>
      <c r="L22" s="97"/>
      <c r="M22" s="97"/>
      <c r="N22" s="97"/>
      <c r="O22" s="97"/>
      <c r="P22" s="97"/>
      <c r="Q22" s="97"/>
      <c r="R22" s="79"/>
      <c r="S22" s="79"/>
      <c r="T22" s="79"/>
      <c r="U22" s="79"/>
      <c r="V22" s="79"/>
      <c r="W22" s="79"/>
      <c r="X22" s="79"/>
    </row>
    <row r="23" customFormat="false" ht="15.75" hidden="true" customHeight="true" outlineLevel="0" collapsed="false">
      <c r="C23" s="95"/>
      <c r="D23" s="96" t="s">
        <v>38</v>
      </c>
      <c r="E23" s="97"/>
      <c r="F23" s="97"/>
      <c r="G23" s="97"/>
      <c r="H23" s="97"/>
      <c r="I23" s="97"/>
      <c r="J23" s="97"/>
      <c r="K23" s="97"/>
      <c r="L23" s="97"/>
      <c r="M23" s="97"/>
      <c r="N23" s="97"/>
      <c r="O23" s="97"/>
      <c r="P23" s="97"/>
      <c r="Q23" s="97"/>
      <c r="R23" s="79"/>
      <c r="S23" s="79"/>
      <c r="T23" s="79"/>
      <c r="U23" s="79"/>
      <c r="V23" s="79"/>
      <c r="W23" s="79"/>
      <c r="X23" s="79"/>
    </row>
    <row r="24" customFormat="false" ht="15.75" hidden="true" customHeight="true" outlineLevel="0" collapsed="false">
      <c r="C24" s="95" t="n">
        <v>2021</v>
      </c>
      <c r="D24" s="96" t="s">
        <v>3</v>
      </c>
      <c r="E24" s="97"/>
      <c r="F24" s="97"/>
      <c r="G24" s="97"/>
      <c r="H24" s="97"/>
      <c r="I24" s="97"/>
      <c r="J24" s="97"/>
      <c r="K24" s="97"/>
      <c r="L24" s="97"/>
      <c r="M24" s="97"/>
      <c r="N24" s="97"/>
      <c r="O24" s="97"/>
      <c r="P24" s="97"/>
      <c r="Q24" s="97"/>
      <c r="R24" s="79"/>
      <c r="S24" s="79"/>
      <c r="T24" s="79"/>
      <c r="U24" s="79"/>
      <c r="V24" s="79"/>
      <c r="W24" s="79"/>
      <c r="X24" s="79"/>
    </row>
    <row r="25" customFormat="false" ht="15.75" hidden="true" customHeight="true" outlineLevel="0" collapsed="false">
      <c r="C25" s="95"/>
      <c r="D25" s="96" t="s">
        <v>26</v>
      </c>
      <c r="E25" s="99"/>
      <c r="F25" s="97"/>
      <c r="G25" s="97"/>
      <c r="H25" s="97"/>
      <c r="I25" s="97"/>
      <c r="J25" s="97"/>
      <c r="K25" s="97"/>
      <c r="L25" s="97"/>
      <c r="M25" s="97"/>
      <c r="N25" s="97"/>
      <c r="O25" s="97"/>
      <c r="P25" s="97"/>
      <c r="Q25" s="97"/>
      <c r="R25" s="79"/>
      <c r="S25" s="79"/>
      <c r="T25" s="79"/>
      <c r="U25" s="79"/>
      <c r="V25" s="79"/>
      <c r="W25" s="79"/>
      <c r="X25" s="79"/>
    </row>
    <row r="26" customFormat="false" ht="15.75" hidden="true" customHeight="true" outlineLevel="0" collapsed="false">
      <c r="C26" s="95"/>
      <c r="D26" s="96" t="s">
        <v>38</v>
      </c>
      <c r="E26" s="99"/>
      <c r="F26" s="97"/>
      <c r="G26" s="97"/>
      <c r="H26" s="97"/>
      <c r="I26" s="97"/>
      <c r="J26" s="97"/>
      <c r="K26" s="97"/>
      <c r="L26" s="97"/>
      <c r="M26" s="97"/>
      <c r="N26" s="97"/>
      <c r="O26" s="97"/>
      <c r="P26" s="97"/>
      <c r="Q26" s="97"/>
      <c r="R26" s="79"/>
      <c r="S26" s="79"/>
      <c r="T26" s="79"/>
      <c r="U26" s="79"/>
      <c r="V26" s="79"/>
      <c r="W26" s="79"/>
      <c r="X26" s="79"/>
    </row>
    <row r="27" customFormat="false" ht="15.75" hidden="true" customHeight="true" outlineLevel="0" collapsed="false">
      <c r="C27" s="95" t="n">
        <v>2022</v>
      </c>
      <c r="D27" s="96" t="s">
        <v>3</v>
      </c>
      <c r="E27" s="97"/>
      <c r="F27" s="97"/>
      <c r="G27" s="97"/>
      <c r="H27" s="97"/>
      <c r="I27" s="97"/>
      <c r="J27" s="97"/>
      <c r="K27" s="97"/>
      <c r="L27" s="97"/>
      <c r="M27" s="97"/>
      <c r="N27" s="97"/>
      <c r="O27" s="97"/>
      <c r="P27" s="97"/>
      <c r="Q27" s="97"/>
      <c r="R27" s="79"/>
      <c r="S27" s="79"/>
      <c r="T27" s="79"/>
      <c r="U27" s="79"/>
      <c r="V27" s="79"/>
      <c r="W27" s="79"/>
      <c r="X27" s="79"/>
    </row>
    <row r="28" customFormat="false" ht="15.75" hidden="true" customHeight="true" outlineLevel="0" collapsed="false">
      <c r="C28" s="95"/>
      <c r="D28" s="96" t="s">
        <v>26</v>
      </c>
      <c r="E28" s="99"/>
      <c r="F28" s="97"/>
      <c r="G28" s="97"/>
      <c r="H28" s="97"/>
      <c r="I28" s="97"/>
      <c r="J28" s="97"/>
      <c r="K28" s="97"/>
      <c r="L28" s="97"/>
      <c r="M28" s="97"/>
      <c r="N28" s="97"/>
      <c r="O28" s="97"/>
      <c r="P28" s="97"/>
      <c r="Q28" s="97"/>
      <c r="R28" s="79"/>
      <c r="S28" s="79"/>
      <c r="T28" s="79"/>
      <c r="U28" s="79"/>
      <c r="V28" s="79"/>
      <c r="W28" s="79"/>
      <c r="X28" s="79"/>
    </row>
    <row r="29" customFormat="false" ht="15.75" hidden="true" customHeight="true" outlineLevel="0" collapsed="false">
      <c r="C29" s="95"/>
      <c r="D29" s="96" t="s">
        <v>38</v>
      </c>
      <c r="E29" s="99"/>
      <c r="F29" s="97"/>
      <c r="G29" s="97"/>
      <c r="H29" s="97"/>
      <c r="I29" s="97"/>
      <c r="J29" s="97"/>
      <c r="K29" s="97"/>
      <c r="L29" s="97"/>
      <c r="M29" s="97"/>
      <c r="N29" s="97"/>
      <c r="O29" s="97"/>
      <c r="P29" s="97"/>
      <c r="Q29" s="97"/>
      <c r="R29" s="79"/>
      <c r="S29" s="79"/>
      <c r="T29" s="79"/>
      <c r="U29" s="79"/>
      <c r="V29" s="79"/>
      <c r="W29" s="79"/>
      <c r="X29" s="79"/>
    </row>
    <row r="30" customFormat="false" ht="15.75" hidden="false" customHeight="true" outlineLevel="0" collapsed="false">
      <c r="C30" s="95" t="n">
        <v>2023</v>
      </c>
      <c r="D30" s="96" t="s">
        <v>3</v>
      </c>
      <c r="E30" s="99"/>
      <c r="F30" s="97"/>
      <c r="G30" s="97"/>
      <c r="H30" s="97"/>
      <c r="I30" s="97"/>
      <c r="J30" s="97"/>
      <c r="K30" s="97"/>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c r="R30" s="79"/>
      <c r="S30" s="79"/>
      <c r="T30" s="79"/>
      <c r="U30" s="79"/>
      <c r="V30" s="79"/>
      <c r="W30" s="79"/>
      <c r="X30" s="79"/>
    </row>
    <row r="31" customFormat="false" ht="15.75" hidden="false" customHeight="true" outlineLevel="0" collapsed="false">
      <c r="C31" s="95"/>
      <c r="D31" s="96" t="s">
        <v>26</v>
      </c>
      <c r="E31" s="99"/>
      <c r="F31" s="97"/>
      <c r="G31" s="97"/>
      <c r="H31" s="97"/>
      <c r="I31" s="97"/>
      <c r="J31" s="97"/>
      <c r="K31" s="97"/>
      <c r="L31" s="97" t="n">
        <f aca="false">+'Datos ICP (2)'!AL78</f>
        <v>0.00759628558108139</v>
      </c>
      <c r="M31" s="97" t="n">
        <f aca="false">+'Datos ICP (2)'!AM78</f>
        <v>0.00678478712990516</v>
      </c>
      <c r="N31" s="97" t="n">
        <f aca="false">+'Datos ICP (2)'!AN78</f>
        <v>0.00667611817591429</v>
      </c>
      <c r="O31" s="97" t="n">
        <f aca="false">+'Datos ICP (2)'!AO78</f>
        <v>0.00616956723192952</v>
      </c>
      <c r="P31" s="97" t="n">
        <f aca="false">+'Datos ICP (2)'!AP78</f>
        <v>0.00610155186395645</v>
      </c>
      <c r="Q31" s="97" t="n">
        <f aca="false">+'Datos ICP (2)'!AQ78</f>
        <v>0.093648405763658</v>
      </c>
      <c r="R31" s="79"/>
      <c r="S31" s="79"/>
      <c r="T31" s="79"/>
      <c r="U31" s="79"/>
      <c r="V31" s="79"/>
      <c r="W31" s="79"/>
      <c r="X31" s="79"/>
    </row>
    <row r="32" customFormat="false" ht="15.75" hidden="false" customHeight="true" outlineLevel="0" collapsed="false">
      <c r="C32" s="95"/>
      <c r="D32" s="96" t="s">
        <v>38</v>
      </c>
      <c r="E32" s="99"/>
      <c r="F32" s="97"/>
      <c r="G32" s="97"/>
      <c r="H32" s="97"/>
      <c r="I32" s="97"/>
      <c r="J32" s="97"/>
      <c r="K32" s="97"/>
      <c r="L32" s="97" t="n">
        <f aca="false">+'Datos ICP (2)'!AL79</f>
        <v>0.0231604999999999</v>
      </c>
      <c r="M32" s="97" t="n">
        <f aca="false">+'Datos ICP (2)'!AM79</f>
        <v>0.00904364466767449</v>
      </c>
      <c r="N32" s="97" t="n">
        <f aca="false">+'Datos ICP (2)'!AN79</f>
        <v>0.00876373577411238</v>
      </c>
      <c r="O32" s="97" t="n">
        <f aca="false">+'Datos ICP (2)'!AO79</f>
        <v>0.00779865677210867</v>
      </c>
      <c r="P32" s="97" t="n">
        <f aca="false">+'Datos ICP (2)'!AP79</f>
        <v>0.00747163112526361</v>
      </c>
      <c r="Q32" s="97" t="n">
        <f aca="false">+'Datos ICP (2)'!AQ79</f>
        <v>0.1378212</v>
      </c>
      <c r="R32" s="79"/>
      <c r="S32" s="79"/>
      <c r="T32" s="79"/>
      <c r="U32" s="79"/>
      <c r="V32" s="79"/>
      <c r="W32" s="79"/>
      <c r="X32" s="79"/>
    </row>
    <row r="33" customFormat="false" ht="15.75" hidden="false" customHeight="true" outlineLevel="0" collapsed="false">
      <c r="C33" s="95" t="n">
        <v>2024</v>
      </c>
      <c r="D33" s="96" t="s">
        <v>3</v>
      </c>
      <c r="E33" s="99" t="n">
        <f aca="false">+'Datos ICP (2)'!AE80</f>
        <v>0.00735722532416316</v>
      </c>
      <c r="F33" s="99" t="n">
        <f aca="false">+'Datos ICP (2)'!AF80</f>
        <v>0.00611213912063557</v>
      </c>
      <c r="G33" s="99" t="n">
        <f aca="false">+'Datos ICP (2)'!AG80</f>
        <v>0.00564735171406094</v>
      </c>
      <c r="H33" s="99" t="n">
        <f aca="false">+'Datos ICP (2)'!AH80</f>
        <v>0.00609278396182833</v>
      </c>
      <c r="I33" s="99" t="n">
        <f aca="false">+'Datos ICP (2)'!AI80</f>
        <v>0.00551411929031809</v>
      </c>
      <c r="J33" s="99" t="n">
        <f aca="false">+'Datos ICP (2)'!AJ80</f>
        <v>0.00461354906321554</v>
      </c>
      <c r="K33" s="99" t="n">
        <f aca="false">+'Datos ICP (2)'!AK80</f>
        <v>0.00528435035284347</v>
      </c>
      <c r="L33" s="99" t="n">
        <f aca="false">+'Datos ICP (2)'!AL80</f>
        <v>0.00480235203759283</v>
      </c>
      <c r="M33" s="99" t="n">
        <f aca="false">+'Datos ICP (2)'!AM80</f>
        <v>0.00478104349541386</v>
      </c>
      <c r="N33" s="99" t="n">
        <f aca="false">+'Datos ICP (2)'!AN80</f>
        <v>0.00451044051641847</v>
      </c>
      <c r="O33" s="99" t="n">
        <f aca="false">+'Datos ICP (2)'!AO80</f>
        <v>0.0043843255475724</v>
      </c>
      <c r="P33" s="99" t="n">
        <f aca="false">+'Datos ICP (2)'!AP80</f>
        <v>0.00444626417327787</v>
      </c>
      <c r="Q33" s="97" t="n">
        <f aca="false">+'Datos ICP (2)'!AQ80</f>
        <v>0.0654251259349719</v>
      </c>
      <c r="R33" s="79"/>
      <c r="S33" s="79"/>
      <c r="T33" s="79"/>
      <c r="U33" s="79"/>
      <c r="V33" s="79"/>
      <c r="W33" s="79"/>
      <c r="X33" s="79"/>
    </row>
    <row r="34" customFormat="false" ht="15.75" hidden="false" customHeight="true" outlineLevel="0" collapsed="false">
      <c r="C34" s="95"/>
      <c r="D34" s="96" t="s">
        <v>26</v>
      </c>
      <c r="E34" s="99" t="n">
        <f aca="false">+'Datos ICP (2)'!AE81</f>
        <v>0.00587192975175177</v>
      </c>
      <c r="F34" s="99" t="n">
        <f aca="false">+'Datos ICP (2)'!AF81</f>
        <v>0.00508491077058904</v>
      </c>
      <c r="G34" s="99" t="n">
        <f aca="false">+'Datos ICP (2)'!AG81</f>
        <v>0.0044501495538698</v>
      </c>
      <c r="H34" s="99" t="n">
        <f aca="false">+'Datos ICP (2)'!AH81</f>
        <v>0.00472012403360989</v>
      </c>
      <c r="I34" s="99" t="n">
        <f aca="false">+'Datos ICP (2)'!AI81</f>
        <v>0.00416779685595303</v>
      </c>
      <c r="J34" s="99" t="n">
        <f aca="false">+'Datos ICP (2)'!AJ81</f>
        <v>0.00365019312776771</v>
      </c>
      <c r="K34" s="99" t="n">
        <f aca="false">+'Datos ICP (2)'!AK81</f>
        <v>0.00363412607508162</v>
      </c>
      <c r="L34" s="99" t="n">
        <f aca="false">+'Datos ICP (2)'!AL81</f>
        <v>0.00362766941593184</v>
      </c>
      <c r="M34" s="99" t="n">
        <f aca="false">+'Datos ICP (2)'!AM81</f>
        <v>0.0033754452875443</v>
      </c>
      <c r="N34" s="99" t="n">
        <f aca="false">+'Datos ICP (2)'!AN81</f>
        <v>0.00341081299567914</v>
      </c>
      <c r="O34" s="99" t="n">
        <f aca="false">+'Datos ICP (2)'!AO81</f>
        <v>0.00322037460491331</v>
      </c>
      <c r="P34" s="99" t="n">
        <f aca="false">+'Datos ICP (2)'!AP81</f>
        <v>0.003229855901979</v>
      </c>
      <c r="Q34" s="97" t="n">
        <f aca="false">+'Datos ICP (2)'!AQ81</f>
        <v>0.0495295629197707</v>
      </c>
      <c r="R34" s="79"/>
      <c r="S34" s="79"/>
      <c r="T34" s="79"/>
      <c r="U34" s="79"/>
      <c r="V34" s="79"/>
      <c r="W34" s="79"/>
      <c r="X34" s="79"/>
    </row>
    <row r="35" customFormat="false" ht="15.75" hidden="false" customHeight="true" outlineLevel="0" collapsed="false">
      <c r="C35" s="95"/>
      <c r="D35" s="96" t="s">
        <v>38</v>
      </c>
      <c r="E35" s="99" t="n">
        <f aca="false">+'Datos ICP (2)'!AE82</f>
        <v>0.00871635874111232</v>
      </c>
      <c r="F35" s="99" t="n">
        <f aca="false">+'Datos ICP (2)'!AF82</f>
        <v>0.00631683120790982</v>
      </c>
      <c r="G35" s="99" t="n">
        <f aca="false">+'Datos ICP (2)'!AG82</f>
        <v>0.00560928923414084</v>
      </c>
      <c r="H35" s="99" t="n">
        <f aca="false">+'Datos ICP (2)'!AH82</f>
        <v>0.00615063297600882</v>
      </c>
      <c r="I35" s="99" t="n">
        <f aca="false">+'Datos ICP (2)'!AI82</f>
        <v>0.00517246094320067</v>
      </c>
      <c r="J35" s="99" t="n">
        <f aca="false">+'Datos ICP (2)'!AJ82</f>
        <v>0.00485802508039157</v>
      </c>
      <c r="K35" s="99" t="n">
        <f aca="false">+'Datos ICP (2)'!AK82</f>
        <v>0.00460144021541709</v>
      </c>
      <c r="L35" s="99" t="n">
        <f aca="false">+'Datos ICP (2)'!AL82</f>
        <v>0.00414788089202567</v>
      </c>
      <c r="M35" s="99" t="n">
        <f aca="false">+'Datos ICP (2)'!AM82</f>
        <v>0.0037758696957606</v>
      </c>
      <c r="N35" s="99" t="n">
        <f aca="false">+'Datos ICP (2)'!AN82</f>
        <v>0.00348302753309504</v>
      </c>
      <c r="O35" s="99" t="n">
        <f aca="false">+'Datos ICP (2)'!AO82</f>
        <v>0.00366113306111271</v>
      </c>
      <c r="P35" s="99" t="n">
        <f aca="false">+'Datos ICP (2)'!AP82</f>
        <v>0.00404627699341886</v>
      </c>
      <c r="Q35" s="97" t="n">
        <f aca="false">+'Datos ICP (2)'!AQ82</f>
        <v>0.0622346409236925</v>
      </c>
      <c r="R35" s="79"/>
      <c r="S35" s="79"/>
      <c r="T35" s="79"/>
      <c r="U35" s="79"/>
      <c r="V35" s="79"/>
      <c r="W35" s="79"/>
      <c r="X35" s="79"/>
    </row>
    <row r="36" customFormat="false" ht="15" hidden="false" customHeight="false" outlineLevel="0" collapsed="false">
      <c r="C36" s="95" t="n">
        <v>2025</v>
      </c>
      <c r="D36" s="96" t="s">
        <v>3</v>
      </c>
      <c r="E36" s="99" t="n">
        <f aca="false">+'Datos ICP (2)'!AE83</f>
        <v>0.00445443017437541</v>
      </c>
      <c r="F36" s="99" t="n">
        <f aca="false">+'Datos ICP (2)'!AF83</f>
        <v>0.00389626305099444</v>
      </c>
      <c r="G36" s="99" t="n">
        <f aca="false">+'Datos ICP (2)'!AG83</f>
        <v>0.0043138020854181</v>
      </c>
      <c r="H36" s="99" t="n">
        <f aca="false">+'Datos ICP (2)'!AH83</f>
        <v>0.00417571644342774</v>
      </c>
      <c r="I36" s="99" t="n">
        <f aca="false">+'Datos ICP (2)'!AI83</f>
        <v>0.00417422694650416</v>
      </c>
      <c r="J36" s="99" t="n">
        <f aca="false">+'Datos ICP (2)'!AJ83</f>
        <v>0.00431456613652492</v>
      </c>
      <c r="K36" s="99" t="n">
        <f aca="false">+'Datos ICP (2)'!AK83</f>
        <v>0.00430626208344687</v>
      </c>
      <c r="L36" s="99" t="n">
        <f aca="false">+'Datos ICP (2)'!AL83</f>
        <v>0.00383327468941586</v>
      </c>
      <c r="M36" s="99" t="n">
        <f aca="false">+'Datos ICP (2)'!AM83</f>
        <v>0.00423004876441735</v>
      </c>
      <c r="N36" s="99" t="n">
        <f aca="false">+'Datos ICP (2)'!AN83</f>
        <v>0.00396619021077105</v>
      </c>
      <c r="O36" s="99" t="n">
        <f aca="false">+'Datos ICP (2)'!AO83</f>
        <v>0.00383243965233548</v>
      </c>
      <c r="P36" s="99" t="n">
        <f aca="false">+'Datos ICP (2)'!AP83</f>
        <v>0.00413946203577598</v>
      </c>
      <c r="Q36" s="97" t="n">
        <f aca="false">+'Datos ICP (2)'!AQ83</f>
        <v>0.0461215166375695</v>
      </c>
    </row>
    <row r="37" customFormat="false" ht="15" hidden="false" customHeight="false" outlineLevel="0" collapsed="false">
      <c r="C37" s="95"/>
      <c r="D37" s="96" t="s">
        <v>26</v>
      </c>
      <c r="E37" s="99" t="n">
        <f aca="false">+'Datos ICP (2)'!AE84</f>
        <v>0.00302021033404665</v>
      </c>
      <c r="F37" s="99" t="n">
        <f aca="false">+'Datos ICP (2)'!AF84</f>
        <v>0.00276213771028111</v>
      </c>
      <c r="G37" s="99" t="n">
        <f aca="false">+'Datos ICP (2)'!AG84</f>
        <v>0.00306282692323312</v>
      </c>
      <c r="H37" s="99" t="n">
        <f aca="false">+'Datos ICP (2)'!AH84</f>
        <v>0.00297594968581905</v>
      </c>
      <c r="I37" s="99" t="n">
        <f aca="false">+'Datos ICP (2)'!AI84</f>
        <v>0.00308976252279503</v>
      </c>
      <c r="J37" s="99" t="n">
        <f aca="false">+'Datos ICP (2)'!AJ84</f>
        <v>0.00299705245742721</v>
      </c>
      <c r="K37" s="99" t="n">
        <f aca="false">+'Datos ICP (2)'!AK84</f>
        <v>0.00295054952791363</v>
      </c>
      <c r="L37" s="99" t="n">
        <f aca="false">+'Datos ICP (2)'!AL84</f>
        <v>0.00300054219083834</v>
      </c>
      <c r="M37" s="99" t="n">
        <f aca="false">+'Datos ICP (2)'!AM84</f>
        <v>0.00276161496613736</v>
      </c>
      <c r="N37" s="99" t="n">
        <f aca="false">+'Datos ICP (2)'!AN84</f>
        <v>0.00286519472447866</v>
      </c>
      <c r="O37" s="99" t="n">
        <f aca="false">+'Datos ICP (2)'!AO84</f>
        <v>0.00279501576319907</v>
      </c>
      <c r="P37" s="99" t="n">
        <f aca="false">+'Datos ICP (2)'!AP84</f>
        <v>0.00283776649927603</v>
      </c>
      <c r="Q37" s="97" t="n">
        <f aca="false">+'Datos ICP (2)'!AQ84</f>
        <v>0.0325707862057447</v>
      </c>
    </row>
    <row r="38" customFormat="false" ht="15" hidden="false" customHeight="false" outlineLevel="0" collapsed="false">
      <c r="C38" s="95"/>
      <c r="D38" s="96" t="s">
        <v>38</v>
      </c>
      <c r="E38" s="99" t="n">
        <f aca="false">+'Datos ICP (2)'!AE85</f>
        <v>0.00440282257865032</v>
      </c>
      <c r="F38" s="99" t="n">
        <f aca="false">+'Datos ICP (2)'!AF85</f>
        <v>0.00352904867175519</v>
      </c>
      <c r="G38" s="99" t="n">
        <f aca="false">+'Datos ICP (2)'!AG85</f>
        <v>0.00435424015398489</v>
      </c>
      <c r="H38" s="99" t="n">
        <f aca="false">+'Datos ICP (2)'!AH85</f>
        <v>0.00497585725888161</v>
      </c>
      <c r="I38" s="99" t="n">
        <f aca="false">+'Datos ICP (2)'!AI85</f>
        <v>0.00603404863130397</v>
      </c>
      <c r="J38" s="99" t="n">
        <f aca="false">+'Datos ICP (2)'!AJ85</f>
        <v>0.00570246145012532</v>
      </c>
      <c r="K38" s="99" t="n">
        <f aca="false">+'Datos ICP (2)'!AK85</f>
        <v>0.0050984272171013</v>
      </c>
      <c r="L38" s="99" t="n">
        <f aca="false">+'Datos ICP (2)'!AL85</f>
        <v>0.0058229343840519</v>
      </c>
      <c r="M38" s="99" t="n">
        <f aca="false">+'Datos ICP (2)'!AM85</f>
        <v>0.00578160986373222</v>
      </c>
      <c r="N38" s="99" t="n">
        <f aca="false">+'Datos ICP (2)'!AN85</f>
        <v>0.00615947751007662</v>
      </c>
      <c r="O38" s="99" t="n">
        <f aca="false">+'Datos ICP (2)'!AO85</f>
        <v>0.00564326950238803</v>
      </c>
      <c r="P38" s="99" t="n">
        <f aca="false">+'Datos ICP (2)'!AP85</f>
        <v>0.00611171285889833</v>
      </c>
      <c r="Q38" s="97" t="n">
        <f aca="false">+'Datos ICP (2)'!AQ85</f>
        <v>0.0608292442011513</v>
      </c>
    </row>
    <row r="39" customFormat="false" ht="15" hidden="false" customHeight="false" outlineLevel="0" collapsed="false">
      <c r="C39" s="95" t="n">
        <v>2026</v>
      </c>
      <c r="D39" s="96" t="s">
        <v>3</v>
      </c>
      <c r="E39" s="99" t="n">
        <f aca="false">+'Datos ICP (2)'!AE86</f>
        <v>0.00388234363273376</v>
      </c>
      <c r="F39" s="99" t="n">
        <f aca="false">+'Datos ICP (2)'!AF86</f>
        <v>0.00363126461056962</v>
      </c>
      <c r="G39" s="99" t="n">
        <f aca="false">+'Datos ICP (2)'!AG86</f>
        <v>0.0038819280865483</v>
      </c>
      <c r="H39" s="99" t="n">
        <f aca="false">+'Datos ICP (2)'!AH86</f>
        <v>-0.243672722859896</v>
      </c>
      <c r="I39" s="99"/>
      <c r="J39" s="99"/>
      <c r="K39" s="99"/>
      <c r="L39" s="99"/>
      <c r="M39" s="99"/>
      <c r="N39" s="99"/>
      <c r="O39" s="99"/>
      <c r="P39" s="99"/>
      <c r="Q39" s="99" t="n">
        <f aca="false">+'Datos ICP (2)'!AQ86</f>
        <v>-0.71393888658704</v>
      </c>
    </row>
    <row r="40" customFormat="false" ht="15" hidden="false" customHeight="false" outlineLevel="0" collapsed="false">
      <c r="C40" s="95"/>
      <c r="D40" s="96" t="s">
        <v>26</v>
      </c>
      <c r="E40" s="99" t="n">
        <f aca="false">+'Datos ICP (2)'!AE87</f>
        <v>0.00272443815472734</v>
      </c>
      <c r="F40" s="99" t="n">
        <f aca="false">+'Datos ICP (2)'!AF87</f>
        <v>0.00244521636660222</v>
      </c>
      <c r="G40" s="99" t="n">
        <f aca="false">+'Datos ICP (2)'!AG87</f>
        <v>0.00268777625151762</v>
      </c>
      <c r="H40" s="99" t="n">
        <f aca="false">+'Datos ICP (2)'!AH87</f>
        <v>-1</v>
      </c>
      <c r="I40" s="99"/>
      <c r="J40" s="99"/>
      <c r="K40" s="99"/>
      <c r="L40" s="99"/>
      <c r="M40" s="99"/>
      <c r="N40" s="99"/>
      <c r="O40" s="99"/>
      <c r="P40" s="99"/>
      <c r="Q40" s="99" t="n">
        <f aca="false">+'Datos ICP (2)'!AQ87</f>
        <v>-3</v>
      </c>
    </row>
    <row r="41" customFormat="false" ht="15" hidden="false" customHeight="false" outlineLevel="0" collapsed="false">
      <c r="C41" s="95"/>
      <c r="D41" s="96" t="s">
        <v>38</v>
      </c>
      <c r="E41" s="99" t="n">
        <f aca="false">+'Datos ICP (2)'!AE88</f>
        <v>0.00629893392330172</v>
      </c>
      <c r="F41" s="99" t="n">
        <f aca="false">+'Datos ICP (2)'!AF88</f>
        <v>0.00536931176565347</v>
      </c>
      <c r="G41" s="99" t="n">
        <f aca="false">+'Datos ICP (2)'!AG88</f>
        <v>0.0058052835517346</v>
      </c>
      <c r="H41" s="99" t="n">
        <f aca="false">+'Datos ICP (2)'!AH88</f>
        <v>0.00563251378187091</v>
      </c>
      <c r="I41" s="99"/>
      <c r="J41" s="99"/>
      <c r="K41" s="99"/>
      <c r="L41" s="99"/>
      <c r="M41" s="99"/>
      <c r="N41" s="99"/>
      <c r="O41" s="99"/>
      <c r="P41" s="99"/>
      <c r="Q41" s="99" t="n">
        <f aca="false">+'Datos ICP (2)'!AQ88</f>
        <v>0.0507041883187436</v>
      </c>
    </row>
    <row r="42" customFormat="false" ht="15" hidden="false" customHeight="false" outlineLevel="0" collapsed="false">
      <c r="C42" s="95"/>
      <c r="D42" s="9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100"/>
      <c r="C1" s="101"/>
      <c r="J1" s="102" t="s">
        <v>50</v>
      </c>
      <c r="K1" s="100"/>
      <c r="L1" s="103"/>
      <c r="N1" s="102" t="s">
        <v>51</v>
      </c>
      <c r="O1" s="100"/>
      <c r="P1" s="103"/>
      <c r="R1" s="102" t="s">
        <v>52</v>
      </c>
      <c r="S1" s="100"/>
      <c r="T1" s="103"/>
    </row>
    <row r="2" customFormat="false" ht="15" hidden="false" customHeight="false" outlineLevel="0" collapsed="false">
      <c r="C2" s="101"/>
      <c r="O2" s="104" t="s">
        <v>53</v>
      </c>
      <c r="P2" s="105" t="n">
        <v>0</v>
      </c>
    </row>
    <row r="3" customFormat="false" ht="15" hidden="false" customHeight="false" outlineLevel="0" collapsed="false">
      <c r="C3" s="101"/>
      <c r="K3" s="104" t="s">
        <v>54</v>
      </c>
      <c r="L3" s="105" t="n">
        <v>0.2787</v>
      </c>
      <c r="O3" s="104" t="s">
        <v>55</v>
      </c>
      <c r="P3" s="105" t="n">
        <v>0</v>
      </c>
      <c r="S3" s="104" t="s">
        <v>56</v>
      </c>
      <c r="T3" s="105" t="n">
        <v>1</v>
      </c>
    </row>
    <row r="4" customFormat="false" ht="15" hidden="false" customHeight="false" outlineLevel="0" collapsed="false">
      <c r="C4" s="101"/>
      <c r="K4" s="104" t="s">
        <v>57</v>
      </c>
      <c r="L4" s="105" t="n">
        <v>0.5883</v>
      </c>
      <c r="O4" s="104" t="s">
        <v>58</v>
      </c>
      <c r="P4" s="105" t="n">
        <v>0</v>
      </c>
      <c r="S4" s="104" t="s">
        <v>59</v>
      </c>
      <c r="T4" s="105" t="n">
        <v>0</v>
      </c>
    </row>
    <row r="5" customFormat="false" ht="15" hidden="false" customHeight="false" outlineLevel="0" collapsed="false">
      <c r="A5" s="100"/>
      <c r="B5" s="100"/>
      <c r="C5" s="101"/>
      <c r="K5" s="104" t="s">
        <v>60</v>
      </c>
      <c r="L5" s="105" t="n">
        <v>0.1331</v>
      </c>
      <c r="O5" s="104" t="s">
        <v>61</v>
      </c>
      <c r="P5" s="105" t="n">
        <v>0.0279</v>
      </c>
    </row>
    <row r="6" customFormat="false" ht="15" hidden="false" customHeight="false" outlineLevel="0" collapsed="false">
      <c r="A6" s="100"/>
      <c r="B6" s="100"/>
      <c r="C6" s="101"/>
      <c r="K6" s="104" t="s">
        <v>62</v>
      </c>
      <c r="L6" s="105" t="n">
        <v>0</v>
      </c>
      <c r="O6" s="104" t="s">
        <v>63</v>
      </c>
      <c r="P6" s="105" t="n">
        <v>0.9721</v>
      </c>
    </row>
    <row r="7" customFormat="false" ht="15" hidden="false" customHeight="false" outlineLevel="0" collapsed="false">
      <c r="B7" s="100"/>
      <c r="C7" s="101"/>
      <c r="L7" s="106" t="n">
        <f aca="false">SUM(L3:L6)</f>
        <v>1.0001</v>
      </c>
      <c r="O7" s="104" t="s">
        <v>64</v>
      </c>
      <c r="P7" s="105" t="n">
        <v>0</v>
      </c>
      <c r="Q7" s="106"/>
    </row>
    <row r="8" customFormat="false" ht="15" hidden="false" customHeight="false" outlineLevel="0" collapsed="false">
      <c r="C8" s="101"/>
      <c r="O8" s="104" t="s">
        <v>65</v>
      </c>
      <c r="P8" s="105" t="n">
        <v>0</v>
      </c>
    </row>
    <row r="9" customFormat="false" ht="15" hidden="false" customHeight="false" outlineLevel="0" collapsed="false">
      <c r="C9" s="101"/>
      <c r="O9" s="104" t="s">
        <v>66</v>
      </c>
      <c r="P9" s="105" t="n">
        <v>0</v>
      </c>
    </row>
    <row r="10" customFormat="false" ht="15" hidden="false" customHeight="false" outlineLevel="0" collapsed="false">
      <c r="C10" s="101"/>
      <c r="O10" s="104" t="s">
        <v>67</v>
      </c>
      <c r="P10" s="105" t="n">
        <v>0</v>
      </c>
    </row>
    <row r="11" customFormat="false" ht="15" hidden="false" customHeight="false" outlineLevel="0" collapsed="false">
      <c r="C11" s="101"/>
      <c r="O11" s="104" t="s">
        <v>68</v>
      </c>
      <c r="P11" s="105" t="n">
        <v>0</v>
      </c>
    </row>
    <row r="12" customFormat="false" ht="15" hidden="true" customHeight="false" outlineLevel="0" collapsed="false">
      <c r="C12" s="101"/>
      <c r="O12" s="104"/>
      <c r="P12" s="105"/>
    </row>
    <row r="13" customFormat="false" ht="15" hidden="false" customHeight="false" outlineLevel="0" collapsed="false">
      <c r="C13" s="101"/>
      <c r="O13" s="104" t="s">
        <v>69</v>
      </c>
      <c r="P13" s="105" t="n">
        <v>0</v>
      </c>
    </row>
    <row r="14" customFormat="false" ht="15" hidden="true" customHeight="false" outlineLevel="0" collapsed="false">
      <c r="A14" s="100" t="s">
        <v>70</v>
      </c>
      <c r="B14" s="107" t="n">
        <v>0</v>
      </c>
      <c r="C14" s="101"/>
    </row>
    <row r="15" customFormat="false" ht="15" hidden="false" customHeight="false" outlineLevel="0" collapsed="false">
      <c r="A15" s="100"/>
      <c r="B15" s="107"/>
      <c r="C15" s="101"/>
      <c r="P15" s="106" t="n">
        <f aca="false">SUM(P3:P14)</f>
        <v>1</v>
      </c>
    </row>
    <row r="16" customFormat="false" ht="15" hidden="false" customHeight="false" outlineLevel="0" collapsed="false">
      <c r="B16" s="100"/>
      <c r="C16" s="101"/>
    </row>
    <row r="17" customFormat="false" ht="15" hidden="false" customHeight="false" outlineLevel="0" collapsed="false">
      <c r="C17" s="101"/>
    </row>
    <row r="18" customFormat="false" ht="15" hidden="false" customHeight="false" outlineLevel="0" collapsed="false">
      <c r="C18" s="101"/>
    </row>
    <row r="19" customFormat="false" ht="15" hidden="false" customHeight="false" outlineLevel="0" collapsed="false">
      <c r="C19" s="101"/>
    </row>
    <row r="20" customFormat="false" ht="15" hidden="false" customHeight="false" outlineLevel="0" collapsed="false">
      <c r="C20" s="101"/>
    </row>
    <row r="21" customFormat="false" ht="15" hidden="false" customHeight="false" outlineLevel="0" collapsed="false">
      <c r="C21" s="101"/>
      <c r="N21" s="108"/>
      <c r="O21" s="109"/>
    </row>
    <row r="22" customFormat="false" ht="15" hidden="false" customHeight="false" outlineLevel="0" collapsed="false">
      <c r="A22" s="101"/>
      <c r="B22" s="101"/>
      <c r="C22" s="101"/>
    </row>
    <row r="23" customFormat="false" ht="15" hidden="false" customHeight="false" outlineLevel="0" collapsed="false">
      <c r="A23" s="101"/>
      <c r="B23" s="101"/>
      <c r="C23" s="101"/>
    </row>
    <row r="24" customFormat="false" ht="15" hidden="false" customHeight="false" outlineLevel="0" collapsed="false">
      <c r="A24" s="101"/>
      <c r="B24" s="101"/>
      <c r="C24" s="101"/>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