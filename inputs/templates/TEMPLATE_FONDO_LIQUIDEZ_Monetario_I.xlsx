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mentario" sheetId="1" state="visible" r:id="rId3"/>
    <sheet name="Datos ICP (2)" sheetId="2" state="visible" r:id="rId4"/>
    <sheet name="rentabilidad" sheetId="3" state="visible" r:id="rId5"/>
    <sheet name="composición" sheetId="4" state="visible" r:id="rId6"/>
  </sheets>
  <externalReferences>
    <externalReference r:id="rId7"/>
    <externalReference r:id="rId8"/>
  </externalReferences>
  <definedNames>
    <definedName function="false" hidden="true" localSheetId="3" name="_xlnm._FilterDatabase" vbProcedure="false">composición!$K$1:$T$24</definedName>
    <definedName function="false" hidden="false" localSheetId="1" name="OLE_LINK1" vbProcedure="false">'datos icp (2)'!#ref!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<sst xmlns="http://schemas.openxmlformats.org/spreadsheetml/2006/main" count="245" uniqueCount="70">
  <si>
    <t xml:space="preserve">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</si>
  <si>
    <t xml:space="preserve">CLICP Index</t>
  </si>
  <si>
    <t xml:space="preserve">Cuota Liquidez</t>
  </si>
  <si>
    <t xml:space="preserve">ICP</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</si>
  <si>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</si>
  <si>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</si>
  <si>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</si>
  <si>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</si>
  <si>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</si>
  <si>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</si>
  <si>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</si>
  <si>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</si>
  <si>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</si>
  <si>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</si>
  <si>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</si>
  <si>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</si>
  <si>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Total Año</t>
  </si>
  <si>
    <t xml:space="preserve">Fecha</t>
  </si>
  <si>
    <t xml:space="preserve">ICP Norm.</t>
  </si>
  <si>
    <t xml:space="preserve">Fondo Liquidez Monetario I</t>
  </si>
  <si>
    <t xml:space="preserve">8057-8</t>
  </si>
  <si>
    <t xml:space="preserve">Competencia Relevante (*)</t>
  </si>
  <si>
    <t xml:space="preserve">Unive</t>
  </si>
  <si>
    <t xml:space="preserve">Santander Money Market</t>
  </si>
  <si>
    <t xml:space="preserve">(*)</t>
  </si>
  <si>
    <t xml:space="preserve">Ingresar mes actual==&gt;</t>
  </si>
  <si>
    <t xml:space="preserve">Competencia</t>
  </si>
  <si>
    <t xml:space="preserve">FIP Liquidez Monetario I</t>
  </si>
  <si>
    <t xml:space="preserve">(*) Acum a Mar</t>
  </si>
  <si>
    <t xml:space="preserve">FONDO LIQUIDEZ Monetario I</t>
  </si>
  <si>
    <t xml:space="preserve">Monetario I</t>
  </si>
  <si>
    <t xml:space="preserve">Rentabilidad</t>
  </si>
  <si>
    <t xml:space="preserve">Mensual</t>
  </si>
  <si>
    <t xml:space="preserve">Trimestral</t>
  </si>
  <si>
    <t xml:space="preserve">Semestral</t>
  </si>
  <si>
    <t xml:space="preserve">Anual</t>
  </si>
  <si>
    <t xml:space="preserve">Acum. 2026</t>
  </si>
  <si>
    <t xml:space="preserve">ICP (Bechmark)</t>
  </si>
  <si>
    <t xml:space="preserve">FIP LIQUIDEZ Monetario I</t>
  </si>
  <si>
    <t xml:space="preserve">Año</t>
  </si>
  <si>
    <t xml:space="preserve">Fondo</t>
  </si>
  <si>
    <t xml:space="preserve">DIVIDENDO 2016</t>
  </si>
  <si>
    <t xml:space="preserve">Dividendo 2017</t>
  </si>
  <si>
    <t xml:space="preserve">Dividendo 2018</t>
  </si>
  <si>
    <t xml:space="preserve">Dividendo 2021</t>
  </si>
  <si>
    <t xml:space="preserve">Dividendo 2022</t>
  </si>
  <si>
    <t xml:space="preserve">Acum
2026 (*)</t>
  </si>
  <si>
    <t xml:space="preserve">ICP (Benchmark)</t>
  </si>
  <si>
    <t xml:space="preserve">Total
Año</t>
  </si>
  <si>
    <t xml:space="preserve">Duración</t>
  </si>
  <si>
    <t xml:space="preserve">Instrumentos</t>
  </si>
  <si>
    <t xml:space="preserve">Moneda</t>
  </si>
  <si>
    <t xml:space="preserve">Bono</t>
  </si>
  <si>
    <t xml:space="preserve">Menos de 1 mes</t>
  </si>
  <si>
    <t xml:space="preserve">Depósitos</t>
  </si>
  <si>
    <t xml:space="preserve">Pesos</t>
  </si>
  <si>
    <t xml:space="preserve">1-3 meses</t>
  </si>
  <si>
    <t xml:space="preserve">Factoring</t>
  </si>
  <si>
    <t xml:space="preserve">UF</t>
  </si>
  <si>
    <t xml:space="preserve">3-4 meses</t>
  </si>
  <si>
    <t xml:space="preserve">Financiamiento Inmobiliario</t>
  </si>
  <si>
    <t xml:space="preserve">Más de 4 meses</t>
  </si>
  <si>
    <t xml:space="preserve">Financiamiento Mesa Moneda Extranjera</t>
  </si>
  <si>
    <t xml:space="preserve">Garantías</t>
  </si>
  <si>
    <t xml:space="preserve">Nota Estructurada</t>
  </si>
  <si>
    <t xml:space="preserve">Financiamiento Mesa Renta Fija</t>
  </si>
  <si>
    <t xml:space="preserve">Simultánea</t>
  </si>
  <si>
    <t xml:space="preserve">Efectos de Comercio</t>
  </si>
  <si>
    <t xml:space="preserve">Pagaré</t>
  </si>
  <si>
    <t xml:space="preserve">Facturas</t>
  </si>
</sst>
</file>

<file path=xl/styles.xml><?xml version="1.0" encoding="utf-8"?>
<styleSheet xmlns="http://schemas.openxmlformats.org/spreadsheetml/2006/main">
  <numFmts count="18">
    <numFmt numFmtId="164" formatCode="General"/>
    <numFmt numFmtId="165" formatCode="[$$-1004]#,##0"/>
    <numFmt numFmtId="166" formatCode="_ * #,##0_ ;_ * \-#,##0_ ;_ * \-_ ;_ @_ "/>
    <numFmt numFmtId="167" formatCode="0%"/>
    <numFmt numFmtId="168" formatCode="#,##0.0000"/>
    <numFmt numFmtId="169" formatCode="0.0000"/>
    <numFmt numFmtId="170" formatCode="0.00%"/>
    <numFmt numFmtId="171" formatCode="m/d/yyyy"/>
    <numFmt numFmtId="172" formatCode="#,##0.00"/>
    <numFmt numFmtId="173" formatCode="0.00"/>
    <numFmt numFmtId="174" formatCode="#,##0.00_ ;[RED]\-#,##0.00\ "/>
    <numFmt numFmtId="175" formatCode="dd\-mm\-yyyy"/>
    <numFmt numFmtId="176" formatCode="General"/>
    <numFmt numFmtId="177" formatCode="_ * #,##0.00_ ;_ * \-#,##0.00_ ;_ * \-_ ;_ @_ "/>
    <numFmt numFmtId="178" formatCode="0.000%"/>
    <numFmt numFmtId="179" formatCode="_ * #,##0.000_ ;_ * \-#,##0.000_ ;_ * \-_ ;_ @_ "/>
    <numFmt numFmtId="180" formatCode="#,##0"/>
    <numFmt numFmtId="181" formatCode="0.0%"/>
  </numFmts>
  <fonts count="43">
    <font>
      <sz val="11"/>
      <color theme="1"/>
      <name val="Calibri"/>
      <family val="2"/>
      <charset val="1"/>
    </font>
    <font>
      <sz val="10"/>
      <name val="Arial"/>
      <family val="0"/>
    </font>
    <font>
      <sz val="10"/>
      <name val="Arial"/>
      <family val="0"/>
    </font>
    <font>
      <sz val="10"/>
      <name val="Arial"/>
      <family val="0"/>
    </font>
    <font>
      <sz val="7"/>
      <color rgb="FF000000"/>
      <name val="Arial"/>
      <family val="2"/>
      <charset val="1"/>
    </font>
    <font>
      <sz val="12"/>
      <color theme="1"/>
      <name val="Calibri"/>
      <family val="2"/>
      <charset val="1"/>
    </font>
    <font>
      <sz val="9"/>
      <color theme="1"/>
      <name val="Be Vietnam Pro Light"/>
      <family val="0"/>
      <charset val="1"/>
    </font>
    <font>
      <sz val="10"/>
      <color theme="1"/>
      <name val="Be Vietnam Pro Light"/>
      <family val="0"/>
      <charset val="1"/>
    </font>
    <font>
      <sz val="11"/>
      <color theme="1"/>
      <name val="Aileron Light"/>
      <family val="3"/>
      <charset val="1"/>
    </font>
    <font>
      <b val="true"/>
      <sz val="11"/>
      <color rgb="FF000000"/>
      <name val="Aileron Light"/>
      <family val="3"/>
      <charset val="1"/>
    </font>
    <font>
      <b val="true"/>
      <sz val="8"/>
      <color rgb="FF000000"/>
      <name val="Aileron Light"/>
      <family val="3"/>
      <charset val="1"/>
    </font>
    <font>
      <sz val="7"/>
      <color rgb="FF000000"/>
      <name val="Aileron Light"/>
      <family val="3"/>
      <charset val="1"/>
    </font>
    <font>
      <b val="true"/>
      <sz val="7"/>
      <color rgb="FF000000"/>
      <name val="Aileron Light"/>
      <family val="3"/>
      <charset val="1"/>
    </font>
    <font>
      <b val="true"/>
      <sz val="8"/>
      <color theme="1"/>
      <name val="Aileron Light"/>
      <family val="3"/>
      <charset val="1"/>
    </font>
    <font>
      <b val="true"/>
      <sz val="9"/>
      <color rgb="FF000000"/>
      <name val="Aileron Light"/>
      <family val="3"/>
      <charset val="1"/>
    </font>
    <font>
      <sz val="9"/>
      <color rgb="FF000000"/>
      <name val="Aileron Light"/>
      <family val="3"/>
      <charset val="1"/>
    </font>
    <font>
      <sz val="6"/>
      <color rgb="FF000000"/>
      <name val="Aileron Light"/>
      <family val="3"/>
      <charset val="1"/>
    </font>
    <font>
      <b val="true"/>
      <sz val="10"/>
      <color theme="1"/>
      <name val="Aileron Light"/>
      <family val="3"/>
      <charset val="1"/>
    </font>
    <font>
      <b val="true"/>
      <sz val="10"/>
      <color rgb="FF000000"/>
      <name val="Aileron Light"/>
      <family val="3"/>
      <charset val="1"/>
    </font>
    <font>
      <sz val="8"/>
      <color rgb="FF000000"/>
      <name val="Aileron Light"/>
      <family val="3"/>
      <charset val="1"/>
    </font>
    <font>
      <sz val="10"/>
      <color rgb="FF000000"/>
      <name val="Aileron Light"/>
      <family val="3"/>
      <charset val="1"/>
    </font>
    <font>
      <sz val="8"/>
      <color theme="1"/>
      <name val="Aileron Light"/>
      <family val="3"/>
      <charset val="1"/>
    </font>
    <font>
      <sz val="11"/>
      <color rgb="FFFF0000"/>
      <name val="Aileron Light"/>
      <family val="3"/>
      <charset val="1"/>
    </font>
    <font>
      <sz val="11"/>
      <color rgb="FF000000"/>
      <name val="Aptos Narrow"/>
      <family val="0"/>
      <charset val="1"/>
    </font>
    <font>
      <sz val="8.8"/>
      <color rgb="FF666666"/>
      <name val="Muli"/>
      <family val="0"/>
      <charset val="1"/>
    </font>
    <font>
      <sz val="11"/>
      <color rgb="FF000000"/>
      <name val="Aptos Narrow"/>
      <family val="2"/>
      <charset val="1"/>
    </font>
    <font>
      <sz val="14"/>
      <color rgb="FF808080"/>
      <name val="Calibri"/>
      <family val="2"/>
    </font>
    <font>
      <sz val="8"/>
      <color rgb="FF808080"/>
      <name val="Calibri"/>
      <family val="2"/>
    </font>
    <font>
      <b val="true"/>
      <sz val="7"/>
      <color rgb="FF808080"/>
      <name val="Calibri"/>
      <family val="2"/>
    </font>
    <font>
      <sz val="10"/>
      <color rgb="FF000000"/>
      <name val="Calibri"/>
      <family val="2"/>
    </font>
    <font>
      <sz val="20"/>
      <color rgb="FF000000"/>
      <name val="Be Vietnam Pro Medium"/>
      <family val="2"/>
    </font>
    <font>
      <sz val="12"/>
      <color rgb="FF000000"/>
      <name val="Be Vietnam Pro Light"/>
      <family val="2"/>
    </font>
    <font>
      <sz val="10"/>
      <color rgb="FF595959"/>
      <name val="Calibri"/>
      <family val="2"/>
    </font>
    <font>
      <sz val="18"/>
      <color rgb="FF000000"/>
      <name val="Be Vietnam Pro Light"/>
      <family val="2"/>
    </font>
    <font>
      <sz val="9"/>
      <color theme="1"/>
      <name val="Be Vietnam Pro Medium"/>
      <family val="0"/>
      <charset val="1"/>
    </font>
    <font>
      <b val="true"/>
      <sz val="11"/>
      <color theme="1"/>
      <name val="Aileron"/>
      <family val="3"/>
      <charset val="1"/>
    </font>
    <font>
      <sz val="11"/>
      <color theme="1"/>
      <name val="Aileron"/>
      <family val="3"/>
      <charset val="1"/>
    </font>
    <font>
      <b val="true"/>
      <sz val="7"/>
      <color rgb="FF000000"/>
      <name val="Aileron Light"/>
      <family val="0"/>
      <charset val="1"/>
    </font>
    <font>
      <sz val="11"/>
      <name val="Acumin Pro Extra Light"/>
      <family val="2"/>
      <charset val="1"/>
    </font>
    <font>
      <sz val="11"/>
      <name val="Calibri"/>
      <family val="2"/>
      <charset val="1"/>
    </font>
    <font>
      <b val="true"/>
      <sz val="11"/>
      <name val="Acumin Pro Extra Light"/>
      <family val="2"/>
      <charset val="1"/>
    </font>
    <font>
      <sz val="9"/>
      <color theme="0"/>
      <name val="Be Vietnam Pro Light"/>
      <family val="0"/>
      <charset val="1"/>
    </font>
    <font>
      <u val="single"/>
      <sz val="11"/>
      <color theme="1"/>
      <name val="Calibri"/>
      <family val="2"/>
      <charset val="1"/>
    </font>
  </fonts>
  <fills count="10">
    <fill>
      <patternFill patternType="none"/>
    </fill>
    <fill>
      <patternFill patternType="gray125"/>
    </fill>
    <fill>
      <patternFill patternType="solid">
        <fgColor rgb="FFFFFFFF"/>
        <bgColor rgb="FFF8F8F8"/>
      </patternFill>
    </fill>
    <fill>
      <patternFill patternType="solid">
        <fgColor rgb="FFBFBFBF"/>
        <bgColor rgb="FFACACAC"/>
      </patternFill>
    </fill>
    <fill>
      <patternFill patternType="solid">
        <fgColor rgb="FFF2F2F2"/>
        <bgColor rgb="FFF8F8F8"/>
      </patternFill>
    </fill>
    <fill>
      <patternFill patternType="solid">
        <fgColor rgb="FFFFFF00"/>
        <bgColor rgb="FFFFFF00"/>
      </patternFill>
    </fill>
    <fill>
      <patternFill patternType="solid">
        <fgColor theme="0" tint="-0.15"/>
        <bgColor rgb="FFD4D4D4"/>
      </patternFill>
    </fill>
    <fill>
      <patternFill patternType="solid">
        <fgColor rgb="FFDAF2D0"/>
        <bgColor rgb="FFF2F2F2"/>
      </patternFill>
    </fill>
    <fill>
      <patternFill patternType="solid">
        <fgColor rgb="FFF8F8F8"/>
        <bgColor rgb="FFF2F2F2"/>
      </patternFill>
    </fill>
    <fill>
      <patternFill patternType="solid">
        <fgColor theme="1"/>
        <bgColor rgb="FF003300"/>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right/>
      <top style="thin">
        <color rgb="FF8ED973"/>
      </top>
      <bottom style="thin">
        <color rgb="FF8ED973"/>
      </bottom>
      <diagonal/>
    </border>
    <border diagonalUp="false" diagonalDown="false">
      <left style="thick">
        <color rgb="FFFFFFFF"/>
      </left>
      <right style="thick">
        <color rgb="FFFFFFFF"/>
      </right>
      <top style="thick">
        <color rgb="FFFFFFFF"/>
      </top>
      <bottom style="thick">
        <color rgb="FFD4D4D4"/>
      </bottom>
      <diagonal/>
    </border>
  </borders>
  <cellStyleXfs count="8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true" applyAlignment="true" applyProtection="true">
      <alignment horizontal="general" vertical="bottom" textRotation="0" wrapText="false" indent="0" shrinkToFit="false"/>
      <protection locked="true" hidden="false"/>
    </xf>
    <xf numFmtId="165" fontId="4" fillId="2" borderId="1" applyFont="true" applyBorder="true" applyAlignment="true" applyProtection="true">
      <alignment horizontal="general" vertical="center"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cellStyleXfs>
  <cellXfs count="108">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8" fillId="0" borderId="0" xfId="78" applyFont="true" applyBorder="false" applyAlignment="false" applyProtection="false">
      <alignment horizontal="general" vertical="bottom" textRotation="0" wrapText="false" indent="0" shrinkToFit="false"/>
      <protection locked="true" hidden="false"/>
    </xf>
    <xf numFmtId="168" fontId="8" fillId="0" borderId="0" xfId="78" applyFont="true" applyBorder="false" applyAlignment="false" applyProtection="false">
      <alignment horizontal="general" vertical="bottom" textRotation="0" wrapText="false" indent="0" shrinkToFit="false"/>
      <protection locked="true" hidden="false"/>
    </xf>
    <xf numFmtId="169" fontId="8" fillId="0" borderId="0" xfId="78" applyFont="true" applyBorder="false" applyAlignment="false" applyProtection="false">
      <alignment horizontal="general" vertical="bottom" textRotation="0" wrapText="false" indent="0" shrinkToFit="false"/>
      <protection locked="true" hidden="false"/>
    </xf>
    <xf numFmtId="164" fontId="8" fillId="2" borderId="0" xfId="78" applyFont="true" applyBorder="false" applyAlignment="false" applyProtection="false">
      <alignment horizontal="general" vertical="bottom" textRotation="0" wrapText="false" indent="0" shrinkToFit="false"/>
      <protection locked="true" hidden="false"/>
    </xf>
    <xf numFmtId="164" fontId="9" fillId="3" borderId="0" xfId="78" applyFont="true" applyBorder="false" applyAlignment="false" applyProtection="false">
      <alignment horizontal="general" vertical="bottom" textRotation="0" wrapText="false" indent="0" shrinkToFit="false"/>
      <protection locked="true" hidden="false"/>
    </xf>
    <xf numFmtId="164" fontId="10" fillId="3" borderId="0" xfId="78" applyFont="true" applyBorder="false" applyAlignment="true" applyProtection="false">
      <alignment horizontal="center" vertical="bottom" textRotation="0" wrapText="false" indent="0" shrinkToFit="false"/>
      <protection locked="true" hidden="false"/>
    </xf>
    <xf numFmtId="164" fontId="8" fillId="4" borderId="0" xfId="78" applyFont="true" applyBorder="false" applyAlignment="false" applyProtection="false">
      <alignment horizontal="general" vertical="bottom" textRotation="0" wrapText="false" indent="0" shrinkToFit="false"/>
      <protection locked="true" hidden="false"/>
    </xf>
    <xf numFmtId="164" fontId="8" fillId="0" borderId="0" xfId="78" applyFont="true" applyBorder="false" applyAlignment="true" applyProtection="false">
      <alignment horizontal="center" vertical="bottom" textRotation="0" wrapText="false" indent="0" shrinkToFit="false"/>
      <protection locked="true" hidden="false"/>
    </xf>
    <xf numFmtId="168" fontId="8" fillId="0" borderId="0" xfId="78" applyFont="true" applyBorder="false" applyAlignment="true" applyProtection="false">
      <alignment horizontal="center" vertical="bottom" textRotation="0" wrapText="false" indent="0" shrinkToFit="false"/>
      <protection locked="true" hidden="false"/>
    </xf>
    <xf numFmtId="164" fontId="8" fillId="0" borderId="2" xfId="79" applyFont="true" applyBorder="true" applyAlignment="false" applyProtection="false">
      <alignment horizontal="general" vertical="bottom" textRotation="0" wrapText="false" indent="0" shrinkToFit="false"/>
      <protection locked="true" hidden="false"/>
    </xf>
    <xf numFmtId="170" fontId="8" fillId="0" borderId="0" xfId="81" applyFont="true" applyBorder="false" applyAlignment="false" applyProtection="false">
      <alignment horizontal="general" vertical="bottom" textRotation="0" wrapText="false" indent="0" shrinkToFit="false"/>
      <protection locked="true" hidden="false"/>
    </xf>
    <xf numFmtId="164" fontId="10" fillId="2" borderId="0" xfId="78" applyFont="true" applyBorder="false" applyAlignment="true" applyProtection="false">
      <alignment horizontal="center" vertical="bottom" textRotation="0" wrapText="false" indent="0" shrinkToFit="false"/>
      <protection locked="true" hidden="false"/>
    </xf>
    <xf numFmtId="170" fontId="11" fillId="2" borderId="0" xfId="80" applyFont="true" applyBorder="false" applyAlignment="true" applyProtection="false">
      <alignment horizontal="center" vertical="bottom" textRotation="0" wrapText="false" indent="0" shrinkToFit="false"/>
      <protection locked="true" hidden="false"/>
    </xf>
    <xf numFmtId="170" fontId="12" fillId="2" borderId="0" xfId="80" applyFont="true" applyBorder="false" applyAlignment="true" applyProtection="false">
      <alignment horizontal="center" vertical="bottom" textRotation="0" wrapText="false" indent="0" shrinkToFit="false"/>
      <protection locked="true" hidden="false"/>
    </xf>
    <xf numFmtId="171" fontId="8" fillId="0" borderId="0" xfId="78" applyFont="true" applyBorder="false" applyAlignment="false" applyProtection="false">
      <alignment horizontal="general" vertical="bottom" textRotation="0" wrapText="false" indent="0" shrinkToFit="false"/>
      <protection locked="true" hidden="false"/>
    </xf>
    <xf numFmtId="172" fontId="8" fillId="0" borderId="0" xfId="78" applyFont="true" applyBorder="false" applyAlignment="false" applyProtection="false">
      <alignment horizontal="general" vertical="bottom" textRotation="0" wrapText="false" indent="0" shrinkToFit="false"/>
      <protection locked="true" hidden="false"/>
    </xf>
    <xf numFmtId="173" fontId="8" fillId="0" borderId="0" xfId="78" applyFont="true" applyBorder="false" applyAlignment="false" applyProtection="false">
      <alignment horizontal="general" vertical="bottom" textRotation="0" wrapText="false" indent="0" shrinkToFit="false"/>
      <protection locked="true" hidden="false"/>
    </xf>
    <xf numFmtId="174" fontId="8" fillId="0" borderId="0" xfId="78" applyFont="true" applyBorder="false" applyAlignment="false" applyProtection="false">
      <alignment horizontal="general" vertical="bottom" textRotation="0" wrapText="false" indent="0" shrinkToFit="false"/>
      <protection locked="true" hidden="false"/>
    </xf>
    <xf numFmtId="164" fontId="10" fillId="4" borderId="0" xfId="78" applyFont="true" applyBorder="false" applyAlignment="true" applyProtection="false">
      <alignment horizontal="center" vertical="bottom" textRotation="0" wrapText="false" indent="0" shrinkToFit="false"/>
      <protection locked="true" hidden="false"/>
    </xf>
    <xf numFmtId="170" fontId="11" fillId="4" borderId="0" xfId="80" applyFont="true" applyBorder="false" applyAlignment="true" applyProtection="false">
      <alignment horizontal="center" vertical="bottom" textRotation="0" wrapText="false" indent="0" shrinkToFit="false"/>
      <protection locked="true" hidden="false"/>
    </xf>
    <xf numFmtId="170" fontId="12" fillId="4" borderId="0" xfId="80" applyFont="true" applyBorder="false" applyAlignment="true" applyProtection="false">
      <alignment horizontal="center" vertical="bottom" textRotation="0" wrapText="false" indent="0" shrinkToFit="false"/>
      <protection locked="true" hidden="false"/>
    </xf>
    <xf numFmtId="175" fontId="8" fillId="0" borderId="0" xfId="78" applyFont="true" applyBorder="false" applyAlignment="false" applyProtection="false">
      <alignment horizontal="general" vertical="bottom" textRotation="0" wrapText="false" indent="0" shrinkToFit="false"/>
      <protection locked="true" hidden="false"/>
    </xf>
    <xf numFmtId="170" fontId="8" fillId="0" borderId="0" xfId="80" applyFont="true" applyBorder="false" applyAlignment="false" applyProtection="false">
      <alignment horizontal="general" vertical="bottom" textRotation="0" wrapText="false" indent="0" shrinkToFit="false"/>
      <protection locked="true" hidden="false"/>
    </xf>
    <xf numFmtId="164" fontId="11" fillId="4" borderId="0" xfId="78" applyFont="true" applyBorder="false" applyAlignment="true" applyProtection="false">
      <alignment horizontal="left" vertical="bottom" textRotation="0" wrapText="false" indent="0" shrinkToFit="false"/>
      <protection locked="true" hidden="false"/>
    </xf>
    <xf numFmtId="170" fontId="11" fillId="0" borderId="0" xfId="80" applyFont="true" applyBorder="false" applyAlignment="true" applyProtection="false">
      <alignment horizontal="center" vertical="bottom" textRotation="0" wrapText="false" indent="0" shrinkToFit="false"/>
      <protection locked="true" hidden="false"/>
    </xf>
    <xf numFmtId="176" fontId="8" fillId="2" borderId="0" xfId="78" applyFont="true" applyBorder="false" applyAlignment="false" applyProtection="false">
      <alignment horizontal="general" vertical="bottom" textRotation="0" wrapText="false" indent="0" shrinkToFit="false"/>
      <protection locked="true" hidden="false"/>
    </xf>
    <xf numFmtId="173" fontId="8" fillId="2" borderId="0" xfId="78" applyFont="true" applyBorder="false" applyAlignment="false" applyProtection="false">
      <alignment horizontal="general" vertical="bottom" textRotation="0" wrapText="false" indent="0" shrinkToFit="false"/>
      <protection locked="true" hidden="false"/>
    </xf>
    <xf numFmtId="164" fontId="8" fillId="2" borderId="0" xfId="78" applyFont="true" applyBorder="false" applyAlignment="true" applyProtection="false">
      <alignment horizontal="right" vertical="bottom" textRotation="0" wrapText="false" indent="0" shrinkToFit="false"/>
      <protection locked="true" hidden="false"/>
    </xf>
    <xf numFmtId="171" fontId="8" fillId="5" borderId="0" xfId="78" applyFont="true" applyBorder="false" applyAlignment="false" applyProtection="false">
      <alignment horizontal="general" vertical="bottom" textRotation="0" wrapText="false" indent="0" shrinkToFit="false"/>
      <protection locked="true" hidden="false"/>
    </xf>
    <xf numFmtId="171" fontId="8" fillId="2" borderId="0" xfId="78" applyFont="true" applyBorder="false" applyAlignment="false" applyProtection="false">
      <alignment horizontal="general" vertical="bottom" textRotation="0" wrapText="false" indent="0" shrinkToFit="false"/>
      <protection locked="true" hidden="false"/>
    </xf>
    <xf numFmtId="172" fontId="8" fillId="2" borderId="0" xfId="78" applyFont="true" applyBorder="false" applyAlignment="false" applyProtection="false">
      <alignment horizontal="general" vertical="bottom" textRotation="0" wrapText="false" indent="0" shrinkToFit="false"/>
      <protection locked="true" hidden="false"/>
    </xf>
    <xf numFmtId="164" fontId="8" fillId="0" borderId="0" xfId="78" applyFont="true" applyBorder="false" applyAlignment="true" applyProtection="false">
      <alignment horizontal="right" vertical="bottom" textRotation="0" wrapText="false" indent="0" shrinkToFit="false"/>
      <protection locked="true" hidden="false"/>
    </xf>
    <xf numFmtId="177" fontId="8" fillId="0" borderId="0" xfId="23" applyFont="true" applyBorder="false" applyAlignment="false" applyProtection="false">
      <alignment horizontal="general" vertical="bottom" textRotation="0" wrapText="false" indent="0" shrinkToFit="false"/>
      <protection locked="true" hidden="false"/>
    </xf>
    <xf numFmtId="164" fontId="9" fillId="3" borderId="0" xfId="78" applyFont="true" applyBorder="false" applyAlignment="true" applyProtection="false">
      <alignment horizontal="right" vertical="bottom" textRotation="0" wrapText="false" indent="0" shrinkToFit="false"/>
      <protection locked="true" hidden="false"/>
    </xf>
    <xf numFmtId="164" fontId="13" fillId="4" borderId="0" xfId="78" applyFont="true" applyBorder="false" applyAlignment="true" applyProtection="false">
      <alignment horizontal="center" vertical="bottom" textRotation="0" wrapText="false" indent="0" shrinkToFit="false"/>
      <protection locked="true" hidden="false"/>
    </xf>
    <xf numFmtId="164" fontId="14" fillId="2" borderId="0" xfId="78" applyFont="true" applyBorder="false" applyAlignment="true" applyProtection="false">
      <alignment horizontal="center" vertical="bottom" textRotation="0" wrapText="false" indent="0" shrinkToFit="false"/>
      <protection locked="true" hidden="false"/>
    </xf>
    <xf numFmtId="164" fontId="14" fillId="4" borderId="0" xfId="78" applyFont="true" applyBorder="false" applyAlignment="true" applyProtection="false">
      <alignment horizontal="center" vertical="bottom" textRotation="0" wrapText="false" indent="0" shrinkToFit="false"/>
      <protection locked="true" hidden="false"/>
    </xf>
    <xf numFmtId="164" fontId="10" fillId="0" borderId="0" xfId="78" applyFont="true" applyBorder="false" applyAlignment="true" applyProtection="false">
      <alignment horizontal="center" vertical="bottom" textRotation="0" wrapText="false" indent="0" shrinkToFit="false"/>
      <protection locked="true" hidden="false"/>
    </xf>
    <xf numFmtId="177" fontId="8" fillId="2" borderId="0" xfId="23" applyFont="true" applyBorder="false" applyAlignment="false" applyProtection="false">
      <alignment horizontal="general" vertical="bottom" textRotation="0" wrapText="false" indent="0" shrinkToFit="false"/>
      <protection locked="true" hidden="false"/>
    </xf>
    <xf numFmtId="164" fontId="10" fillId="4" borderId="0" xfId="78" applyFont="true" applyBorder="true" applyAlignment="true" applyProtection="false">
      <alignment horizontal="center" vertical="center" textRotation="0" wrapText="false" indent="0" shrinkToFit="false"/>
      <protection locked="true" hidden="false"/>
    </xf>
    <xf numFmtId="170" fontId="15" fillId="2" borderId="0" xfId="80" applyFont="true" applyBorder="false" applyAlignment="true" applyProtection="false">
      <alignment horizontal="center" vertical="bottom" textRotation="0" wrapText="false" indent="0" shrinkToFit="false"/>
      <protection locked="true" hidden="false"/>
    </xf>
    <xf numFmtId="170" fontId="15" fillId="4" borderId="0" xfId="80" applyFont="true" applyBorder="false" applyAlignment="true" applyProtection="false">
      <alignment horizontal="center" vertical="bottom" textRotation="0" wrapText="false" indent="0" shrinkToFit="false"/>
      <protection locked="true" hidden="false"/>
    </xf>
    <xf numFmtId="164" fontId="16" fillId="4" borderId="0" xfId="78" applyFont="true" applyBorder="false" applyAlignment="true" applyProtection="false">
      <alignment horizontal="left" vertical="bottom" textRotation="0" wrapText="false" indent="0" shrinkToFit="false"/>
      <protection locked="true" hidden="false"/>
    </xf>
    <xf numFmtId="178" fontId="8" fillId="0" borderId="0" xfId="19" applyFont="true" applyBorder="false" applyAlignment="false" applyProtection="false">
      <alignment horizontal="general" vertical="bottom" textRotation="0" wrapText="false" indent="0" shrinkToFit="false"/>
      <protection locked="true" hidden="false"/>
    </xf>
    <xf numFmtId="170" fontId="12" fillId="0" borderId="0" xfId="80" applyFont="true" applyBorder="false" applyAlignment="true" applyProtection="false">
      <alignment horizontal="center" vertical="bottom" textRotation="0" wrapText="false" indent="0" shrinkToFit="false"/>
      <protection locked="true" hidden="false"/>
    </xf>
    <xf numFmtId="179" fontId="8" fillId="0" borderId="0" xfId="82" applyFont="true" applyBorder="false" applyAlignment="false" applyProtection="false">
      <alignment horizontal="general" vertical="bottom" textRotation="0" wrapText="false" indent="0" shrinkToFit="false"/>
      <protection locked="true" hidden="false"/>
    </xf>
    <xf numFmtId="164" fontId="11" fillId="0" borderId="0" xfId="78" applyFont="true" applyBorder="false" applyAlignment="true" applyProtection="false">
      <alignment horizontal="left" vertical="bottom" textRotation="0" wrapText="false" indent="0" shrinkToFit="false"/>
      <protection locked="true" hidden="false"/>
    </xf>
    <xf numFmtId="164" fontId="17" fillId="3" borderId="0" xfId="78" applyFont="true" applyBorder="false" applyAlignment="true" applyProtection="false">
      <alignment horizontal="center" vertical="bottom" textRotation="0" wrapText="false" indent="0" shrinkToFit="false"/>
      <protection locked="true" hidden="false"/>
    </xf>
    <xf numFmtId="164" fontId="18" fillId="3" borderId="0" xfId="78" applyFont="true" applyBorder="false" applyAlignment="true" applyProtection="false">
      <alignment horizontal="center" vertical="bottom" textRotation="0" wrapText="false" indent="0" shrinkToFit="false"/>
      <protection locked="true" hidden="false"/>
    </xf>
    <xf numFmtId="164" fontId="19" fillId="4" borderId="0" xfId="78" applyFont="true" applyBorder="false" applyAlignment="true" applyProtection="false">
      <alignment horizontal="left" vertical="bottom" textRotation="0" wrapText="false" indent="0" shrinkToFit="false"/>
      <protection locked="true" hidden="false"/>
    </xf>
    <xf numFmtId="164" fontId="18" fillId="6" borderId="0" xfId="78" applyFont="true" applyBorder="false" applyAlignment="true" applyProtection="false">
      <alignment horizontal="center" vertical="bottom" textRotation="0" wrapText="false" indent="0" shrinkToFit="false"/>
      <protection locked="true" hidden="false"/>
    </xf>
    <xf numFmtId="170" fontId="20" fillId="6" borderId="0" xfId="80" applyFont="true" applyBorder="false" applyAlignment="true" applyProtection="false">
      <alignment horizontal="center" vertical="bottom" textRotation="0" wrapText="false" indent="0" shrinkToFit="false"/>
      <protection locked="true" hidden="false"/>
    </xf>
    <xf numFmtId="170" fontId="18" fillId="2" borderId="0" xfId="80" applyFont="true" applyBorder="false" applyAlignment="true" applyProtection="false">
      <alignment horizontal="center" vertical="bottom" textRotation="0" wrapText="false" indent="0" shrinkToFit="false"/>
      <protection locked="true" hidden="false"/>
    </xf>
    <xf numFmtId="164" fontId="18" fillId="2" borderId="0" xfId="78" applyFont="true" applyBorder="false" applyAlignment="true" applyProtection="false">
      <alignment horizontal="center" vertical="bottom" textRotation="0" wrapText="false" indent="0" shrinkToFit="false"/>
      <protection locked="true" hidden="false"/>
    </xf>
    <xf numFmtId="170" fontId="20" fillId="2" borderId="0" xfId="80" applyFont="true" applyBorder="false" applyAlignment="true" applyProtection="false">
      <alignment horizontal="center" vertical="bottom" textRotation="0" wrapText="false" indent="0" shrinkToFit="false"/>
      <protection locked="true" hidden="false"/>
    </xf>
    <xf numFmtId="164" fontId="17" fillId="6" borderId="0" xfId="78" applyFont="true" applyBorder="false" applyAlignment="true" applyProtection="false">
      <alignment horizontal="center" vertical="center" textRotation="0" wrapText="false" indent="0" shrinkToFit="false"/>
      <protection locked="true" hidden="false"/>
    </xf>
    <xf numFmtId="164" fontId="17" fillId="2" borderId="0" xfId="78" applyFont="true" applyBorder="false" applyAlignment="true" applyProtection="false">
      <alignment horizontal="center" vertical="center" textRotation="0" wrapText="false" indent="0" shrinkToFit="false"/>
      <protection locked="true" hidden="false"/>
    </xf>
    <xf numFmtId="170" fontId="8" fillId="0" borderId="0" xfId="78" applyFont="true" applyBorder="false" applyAlignment="false" applyProtection="false">
      <alignment horizontal="general" vertical="bottom" textRotation="0" wrapText="false" indent="0" shrinkToFit="false"/>
      <protection locked="true" hidden="false"/>
    </xf>
    <xf numFmtId="164" fontId="17" fillId="2" borderId="0" xfId="78" applyFont="true" applyBorder="true" applyAlignment="true" applyProtection="false">
      <alignment horizontal="center" vertical="center" textRotation="0" wrapText="false" indent="0" shrinkToFit="false"/>
      <protection locked="true" hidden="false"/>
    </xf>
    <xf numFmtId="170" fontId="8" fillId="0" borderId="0" xfId="19" applyFont="true" applyBorder="false" applyAlignment="false" applyProtection="false">
      <alignment horizontal="general" vertical="bottom" textRotation="0" wrapText="false" indent="0" shrinkToFit="false"/>
      <protection locked="true" hidden="false"/>
    </xf>
    <xf numFmtId="168" fontId="8" fillId="0" borderId="0" xfId="80" applyFont="true" applyBorder="false" applyAlignment="false" applyProtection="false">
      <alignment horizontal="general" vertical="bottom" textRotation="0" wrapText="false" indent="0" shrinkToFit="false"/>
      <protection locked="true" hidden="false"/>
    </xf>
    <xf numFmtId="174" fontId="8" fillId="5" borderId="0" xfId="78" applyFont="true" applyBorder="false" applyAlignment="false" applyProtection="false">
      <alignment horizontal="general" vertical="bottom" textRotation="0" wrapText="false" indent="0" shrinkToFit="false"/>
      <protection locked="true" hidden="false"/>
    </xf>
    <xf numFmtId="164" fontId="21" fillId="0" borderId="0" xfId="78" applyFont="true" applyBorder="false" applyAlignment="false" applyProtection="false">
      <alignment horizontal="general" vertical="bottom" textRotation="0" wrapText="false" indent="0" shrinkToFit="false"/>
      <protection locked="true" hidden="false"/>
    </xf>
    <xf numFmtId="166" fontId="8" fillId="0" borderId="0" xfId="82" applyFont="true" applyBorder="false" applyAlignment="false" applyProtection="false">
      <alignment horizontal="general" vertical="bottom" textRotation="0" wrapText="false" indent="0" shrinkToFit="false"/>
      <protection locked="true" hidden="false"/>
    </xf>
    <xf numFmtId="166" fontId="8" fillId="0" borderId="0" xfId="78" applyFont="true" applyBorder="false" applyAlignment="false" applyProtection="false">
      <alignment horizontal="general" vertical="bottom" textRotation="0" wrapText="false" indent="0" shrinkToFit="false"/>
      <protection locked="true" hidden="false"/>
    </xf>
    <xf numFmtId="170" fontId="22" fillId="0" borderId="0" xfId="80" applyFont="true" applyBorder="false" applyAlignment="false" applyProtection="false">
      <alignment horizontal="general" vertical="bottom" textRotation="0" wrapText="false" indent="0" shrinkToFit="false"/>
      <protection locked="true" hidden="false"/>
    </xf>
    <xf numFmtId="168" fontId="23" fillId="7" borderId="3" xfId="0" applyFont="true" applyBorder="true" applyAlignment="false" applyProtection="false">
      <alignment horizontal="general" vertical="bottom" textRotation="0" wrapText="false" indent="0" shrinkToFit="false"/>
      <protection locked="true" hidden="false"/>
    </xf>
    <xf numFmtId="171" fontId="23" fillId="0" borderId="0" xfId="0" applyFont="true" applyBorder="false" applyAlignment="false" applyProtection="false">
      <alignment horizontal="general" vertical="bottom" textRotation="0" wrapText="false" indent="0" shrinkToFit="false"/>
      <protection locked="true" hidden="false"/>
    </xf>
    <xf numFmtId="173" fontId="23" fillId="0" borderId="0" xfId="0" applyFont="true" applyBorder="false" applyAlignment="false" applyProtection="false">
      <alignment horizontal="general" vertical="bottom" textRotation="0" wrapText="false" indent="0" shrinkToFit="false"/>
      <protection locked="true" hidden="false"/>
    </xf>
    <xf numFmtId="164" fontId="24" fillId="8" borderId="4" xfId="0" applyFont="true" applyBorder="true" applyAlignment="true" applyProtection="false">
      <alignment horizontal="general" vertical="bottom" textRotation="0" wrapText="true" indent="0" shrinkToFit="false"/>
      <protection locked="true" hidden="false"/>
    </xf>
    <xf numFmtId="168" fontId="23" fillId="0" borderId="3" xfId="0" applyFont="true" applyBorder="true" applyAlignment="false" applyProtection="false">
      <alignment horizontal="general" vertical="bottom" textRotation="0" wrapText="false" indent="0" shrinkToFit="false"/>
      <protection locked="true" hidden="false"/>
    </xf>
    <xf numFmtId="164" fontId="24" fillId="8" borderId="4" xfId="0" applyFont="true" applyBorder="true" applyAlignment="false" applyProtection="false">
      <alignment horizontal="general" vertical="bottom" textRotation="0" wrapText="false" indent="0" shrinkToFit="false"/>
      <protection locked="true" hidden="false"/>
    </xf>
    <xf numFmtId="180" fontId="25" fillId="7" borderId="3"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false" applyAlignment="true" applyProtection="false">
      <alignment horizontal="left" vertical="center" textRotation="0" wrapText="false" indent="0" shrinkToFit="false"/>
      <protection locked="true" hidden="false"/>
    </xf>
    <xf numFmtId="164" fontId="34" fillId="0" borderId="0" xfId="0" applyFont="true" applyBorder="false" applyAlignment="true" applyProtection="false">
      <alignment horizontal="center" vertical="center" textRotation="0" wrapText="false" indent="0" shrinkToFit="false"/>
      <protection locked="true" hidden="false"/>
    </xf>
    <xf numFmtId="164" fontId="34"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70"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35" fillId="0"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center" textRotation="0" wrapText="false" indent="0" shrinkToFit="false"/>
      <protection locked="true" hidden="false"/>
    </xf>
    <xf numFmtId="164" fontId="35" fillId="0" borderId="0" xfId="0" applyFont="true" applyBorder="false" applyAlignment="true" applyProtection="false">
      <alignment horizontal="center" vertical="center" textRotation="0" wrapText="false" indent="0" shrinkToFit="false"/>
      <protection locked="true" hidden="false"/>
    </xf>
    <xf numFmtId="164" fontId="35" fillId="0" borderId="0" xfId="0" applyFont="true" applyBorder="false" applyAlignment="true" applyProtection="false">
      <alignment horizontal="center" vertical="center" textRotation="0" wrapText="tru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4" fontId="36" fillId="0" borderId="0" xfId="0" applyFont="true" applyBorder="false" applyAlignment="true" applyProtection="false">
      <alignment horizontal="left"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true" applyProtection="false">
      <alignment horizontal="center" vertical="center" textRotation="0" wrapText="false" indent="0" shrinkToFit="false"/>
      <protection locked="true" hidden="false"/>
    </xf>
    <xf numFmtId="170" fontId="36" fillId="0" borderId="0" xfId="0" applyFont="true" applyBorder="false" applyAlignment="true" applyProtection="false">
      <alignment horizontal="center" vertical="center" textRotation="0" wrapText="false" indent="0" shrinkToFit="false"/>
      <protection locked="true" hidden="false"/>
    </xf>
    <xf numFmtId="170" fontId="37" fillId="0" borderId="0" xfId="8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4" fontId="41" fillId="9" borderId="0" xfId="0" applyFont="true" applyBorder="false" applyAlignment="false" applyProtection="false">
      <alignment horizontal="general" vertical="bottom" textRotation="0" wrapText="false" indent="0" shrinkToFit="false"/>
      <protection locked="true" hidden="false"/>
    </xf>
    <xf numFmtId="170" fontId="41" fillId="9" borderId="0" xfId="0" applyFont="true" applyBorder="false" applyAlignment="false" applyProtection="false">
      <alignment horizontal="general" vertical="bottom" textRotation="0" wrapText="false" indent="0" shrinkToFit="false"/>
      <protection locked="true" hidden="false"/>
    </xf>
    <xf numFmtId="170" fontId="0" fillId="0" borderId="0" xfId="0" applyFont="true" applyBorder="false" applyAlignment="false" applyProtection="false">
      <alignment horizontal="general" vertical="bottom" textRotation="0" wrapText="false" indent="0" shrinkToFit="false"/>
      <protection locked="true" hidden="false"/>
    </xf>
    <xf numFmtId="181" fontId="41" fillId="9" borderId="0" xfId="0" applyFont="true" applyBorder="false" applyAlignment="false" applyProtection="false">
      <alignment horizontal="general" vertical="bottom" textRotation="0" wrapText="false" indent="0" shrinkToFit="false"/>
      <protection locked="true" hidden="false"/>
    </xf>
    <xf numFmtId="170" fontId="38" fillId="0" borderId="0" xfId="0" applyFont="true" applyBorder="false" applyAlignment="false" applyProtection="false">
      <alignment horizontal="general" vertical="bottom" textRotation="0" wrapText="fals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cellXfs>
  <cellStyles count="69">
    <cellStyle name="Normal" xfId="0" builtinId="0"/>
    <cellStyle name="Comma" xfId="15" builtinId="3"/>
    <cellStyle name="Comma [0]" xfId="16" builtinId="6"/>
    <cellStyle name="Currency" xfId="17" builtinId="4"/>
    <cellStyle name="Currency [0]" xfId="18" builtinId="7"/>
    <cellStyle name="Percent" xfId="19" builtinId="5"/>
    <cellStyle name="EstiloDetalle" xfId="20"/>
    <cellStyle name="Millares [0] 10" xfId="21"/>
    <cellStyle name="Millares [0] 11" xfId="22"/>
    <cellStyle name="Millares [0] 2" xfId="23"/>
    <cellStyle name="Millares [0] 2 10" xfId="24"/>
    <cellStyle name="Millares [0] 2 11" xfId="25"/>
    <cellStyle name="Millares [0] 2 12" xfId="26"/>
    <cellStyle name="Millares [0] 2 13" xfId="27"/>
    <cellStyle name="Millares [0] 2 2" xfId="28"/>
    <cellStyle name="Millares [0] 2 2 2" xfId="29"/>
    <cellStyle name="Millares [0] 2 2 2 2" xfId="30"/>
    <cellStyle name="Millares [0] 2 2 2 3" xfId="31"/>
    <cellStyle name="Millares [0] 2 2 3" xfId="32"/>
    <cellStyle name="Millares [0] 2 2 3 2" xfId="33"/>
    <cellStyle name="Millares [0] 2 2 3 3" xfId="34"/>
    <cellStyle name="Millares [0] 2 2 4" xfId="35"/>
    <cellStyle name="Millares [0] 2 2 5" xfId="36"/>
    <cellStyle name="Millares [0] 2 2 6" xfId="37"/>
    <cellStyle name="Millares [0] 2 2 7" xfId="38"/>
    <cellStyle name="Millares [0] 2 2 8" xfId="39"/>
    <cellStyle name="Millares [0] 2 3" xfId="40"/>
    <cellStyle name="Millares [0] 2 3 2" xfId="41"/>
    <cellStyle name="Millares [0] 2 3 3" xfId="42"/>
    <cellStyle name="Millares [0] 2 3 4" xfId="43"/>
    <cellStyle name="Millares [0] 2 3 5" xfId="44"/>
    <cellStyle name="Millares [0] 2 4" xfId="45"/>
    <cellStyle name="Millares [0] 2 4 2" xfId="46"/>
    <cellStyle name="Millares [0] 2 4 3" xfId="47"/>
    <cellStyle name="Millares [0] 2 5" xfId="48"/>
    <cellStyle name="Millares [0] 2 5 2" xfId="49"/>
    <cellStyle name="Millares [0] 2 5 3" xfId="50"/>
    <cellStyle name="Millares [0] 2 6" xfId="51"/>
    <cellStyle name="Millares [0] 2 6 2" xfId="52"/>
    <cellStyle name="Millares [0] 2 6 3" xfId="53"/>
    <cellStyle name="Millares [0] 2 7" xfId="54"/>
    <cellStyle name="Millares [0] 2 7 2" xfId="55"/>
    <cellStyle name="Millares [0] 2 8" xfId="56"/>
    <cellStyle name="Millares [0] 2 9" xfId="57"/>
    <cellStyle name="Millares [0] 3" xfId="58"/>
    <cellStyle name="Millares [0] 3 2" xfId="59"/>
    <cellStyle name="Millares [0] 3 2 2" xfId="60"/>
    <cellStyle name="Millares [0] 3 2 3" xfId="61"/>
    <cellStyle name="Millares [0] 3 3" xfId="62"/>
    <cellStyle name="Millares [0] 3 4" xfId="63"/>
    <cellStyle name="Millares [0] 3 5" xfId="64"/>
    <cellStyle name="Millares [0] 3 6" xfId="65"/>
    <cellStyle name="Millares [0] 3 7" xfId="66"/>
    <cellStyle name="Millares [0] 4" xfId="67"/>
    <cellStyle name="Millares [0] 4 2" xfId="68"/>
    <cellStyle name="Millares [0] 4 3" xfId="69"/>
    <cellStyle name="Millares [0] 4 4" xfId="70"/>
    <cellStyle name="Millares [0] 4 5" xfId="71"/>
    <cellStyle name="Millares [0] 5" xfId="72"/>
    <cellStyle name="Millares [0] 5 2" xfId="73"/>
    <cellStyle name="Millares [0] 6" xfId="74"/>
    <cellStyle name="Millares [0] 7" xfId="75"/>
    <cellStyle name="Millares [0] 8" xfId="76"/>
    <cellStyle name="Millares [0] 9" xfId="77"/>
    <cellStyle name="Normal 2" xfId="78"/>
    <cellStyle name="Normal 54" xfId="79"/>
    <cellStyle name="Porcentaje 2" xfId="80"/>
    <cellStyle name="Porcentaje 29" xfId="81"/>
    <cellStyle name="Excel Built-in Comma [0]" xfId="82"/>
  </cellStyles>
  <dxfs count="3">
    <dxf>
      <fill>
        <patternFill patternType="solid">
          <fgColor rgb="FF00000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008080"/>
      <rgbColor rgb="FFBFBFBF"/>
      <rgbColor rgb="FF808080"/>
      <rgbColor rgb="FFA6A6A6"/>
      <rgbColor rgb="FFC0504D"/>
      <rgbColor rgb="FFF8F8F8"/>
      <rgbColor rgb="FFF2F2F2"/>
      <rgbColor rgb="FF660066"/>
      <rgbColor rgb="FF8B8B8B"/>
      <rgbColor rgb="FF0066CC"/>
      <rgbColor rgb="FFD4D4D4"/>
      <rgbColor rgb="FF000080"/>
      <rgbColor rgb="FFFF00FF"/>
      <rgbColor rgb="FFFFFF00"/>
      <rgbColor rgb="FF00FFFF"/>
      <rgbColor rgb="FF800080"/>
      <rgbColor rgb="FF800000"/>
      <rgbColor rgb="FF008080"/>
      <rgbColor rgb="FF0000FF"/>
      <rgbColor rgb="FF00CCFF"/>
      <rgbColor rgb="FFCCFFFF"/>
      <rgbColor rgb="FFDAF2D0"/>
      <rgbColor rgb="FFFFFF99"/>
      <rgbColor rgb="FF9F9F9F"/>
      <rgbColor rgb="FFFF99CC"/>
      <rgbColor rgb="FFACACAC"/>
      <rgbColor rgb="FFD9D9D9"/>
      <rgbColor rgb="FF3366FF"/>
      <rgbColor rgb="FF33CCCC"/>
      <rgbColor rgb="FF8ED973"/>
      <rgbColor rgb="FFFDD900"/>
      <rgbColor rgb="FFFF9900"/>
      <rgbColor rgb="FFFF6600"/>
      <rgbColor rgb="FF666666"/>
      <rgbColor rgb="FF959595"/>
      <rgbColor rgb="FF003366"/>
      <rgbColor rgb="FF5B9BD5"/>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externalLink" Target="externalLinks/externalLink1.xml"/><Relationship Id="rId8" Type="http://schemas.openxmlformats.org/officeDocument/2006/relationships/externalLink" Target="externalLinks/externalLink2.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s-CL" sz="1400" spc="-1" strike="noStrike">
                <a:solidFill>
                  <a:srgbClr val="808080"/>
                </a:solidFill>
                <a:latin typeface="Calibri"/>
              </a:defRPr>
            </a:pPr>
            <a:r>
              <a:rPr b="0" lang="es-CL" sz="1400" spc="-1" strike="noStrike">
                <a:solidFill>
                  <a:srgbClr val="808080"/>
                </a:solidFill>
                <a:latin typeface="Calibri"/>
              </a:rPr>
              <a:t>ICP Normalizada
(Base 100 Dic 2005)</a:t>
            </a:r>
          </a:p>
        </c:rich>
      </c:tx>
      <c:overlay val="0"/>
      <c:spPr>
        <a:noFill/>
        <a:ln w="0">
          <a:noFill/>
        </a:ln>
      </c:spPr>
    </c:title>
    <c:autoTitleDeleted val="0"/>
    <c:plotArea>
      <c:lineChart>
        <c:grouping val="standard"/>
        <c:varyColors val="0"/>
        <c:ser>
          <c:idx val="0"/>
          <c:order val="0"/>
          <c:tx>
            <c:strRef>
              <c:f>'Datos ICP (2)'!$D$2</c:f>
              <c:strCache>
                <c:ptCount val="1"/>
                <c:pt idx="0">
                  <c:v>ICP Norm.</c:v>
                </c:pt>
              </c:strCache>
            </c:strRef>
          </c:tx>
          <c:spPr>
            <a:solidFill>
              <a:srgbClr val="c0504d"/>
            </a:solidFill>
            <a:ln w="1260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(2)'!$A$3:$A$155</c:f>
              <c:numCache>
                <c:formatCode>mmm/yyyy</c:formatCode>
                <c:ptCount val="153"/>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numCache>
            </c:numRef>
          </c:cat>
          <c:val>
            <c:numRef>
              <c:f>'Datos ICP (2)'!$D$3:$D$155</c:f>
              <c:numCache>
                <c:formatCode>General</c:formatCode>
                <c:ptCount val="153"/>
              </c:numCache>
            </c:numRef>
          </c:val>
          <c:smooth val="0"/>
        </c:ser>
        <c:ser>
          <c:idx val="1"/>
          <c:order val="1"/>
          <c:tx>
            <c:strRef>
              <c:f>'Datos ICP (2)'!$J$2</c:f>
              <c:strCache>
                <c:ptCount val="1"/>
                <c:pt idx="0">
                  <c:v>Fondo Liquidez Monetario I</c:v>
                </c:pt>
              </c:strCache>
            </c:strRef>
          </c:tx>
          <c:spPr>
            <a:solidFill>
              <a:srgbClr val="c0504d"/>
            </a:solidFill>
            <a:ln w="1908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(2)'!$A$3:$A$155</c:f>
              <c:numCache>
                <c:formatCode>mmm/yyyy</c:formatCode>
                <c:ptCount val="153"/>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numCache>
            </c:numRef>
          </c:cat>
          <c:val>
            <c:numRef>
              <c:f>'Datos ICP (2)'!$J$3:$J$155</c:f>
              <c:numCache>
                <c:formatCode>General</c:formatCode>
                <c:ptCount val="153"/>
              </c:numCache>
            </c:numRef>
          </c:val>
          <c:smooth val="0"/>
        </c:ser>
        <c:hiLowLines>
          <c:spPr>
            <a:ln w="0">
              <a:noFill/>
            </a:ln>
          </c:spPr>
        </c:hiLowLines>
        <c:marker val="0"/>
        <c:axId val="28460411"/>
        <c:axId val="34053628"/>
      </c:lineChart>
      <c:dateAx>
        <c:axId val="28460411"/>
        <c:scaling>
          <c:orientation val="minMax"/>
          <c:max val="43373"/>
          <c:min val="38687"/>
        </c:scaling>
        <c:delete val="0"/>
        <c:axPos val="b"/>
        <c:numFmt formatCode="mmm/yyyy"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34053628"/>
        <c:crosses val="autoZero"/>
        <c:auto val="1"/>
        <c:lblOffset val="100"/>
        <c:baseTimeUnit val="months"/>
        <c:majorUnit val="6"/>
        <c:majorTimeUnit val="months"/>
        <c:minorUnit val="6"/>
        <c:minorTimeUnit val="months"/>
        <c:noMultiLvlLbl val="0"/>
      </c:dateAx>
      <c:valAx>
        <c:axId val="34053628"/>
        <c:scaling>
          <c:orientation val="minMax"/>
          <c:min val="100"/>
        </c:scaling>
        <c:delete val="0"/>
        <c:axPos val="l"/>
        <c:majorGridlines>
          <c:spPr>
            <a:ln w="6480">
              <a:solidFill>
                <a:srgbClr val="d9d9d9"/>
              </a:solidFill>
              <a:round/>
            </a:ln>
          </c:spPr>
        </c:majorGridlines>
        <c:numFmt formatCode="0.00"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28460411"/>
        <c:crossesAt val="38687"/>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2f2f2"/>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2000" spc="-1" strike="noStrike">
                <a:solidFill>
                  <a:srgbClr val="000000"/>
                </a:solidFill>
                <a:latin typeface="Be Vietnam Pro Medium"/>
              </a:defRPr>
            </a:pPr>
            <a:r>
              <a:rPr b="0" lang="en-US" sz="2000" spc="-1" strike="noStrike">
                <a:solidFill>
                  <a:srgbClr val="000000"/>
                </a:solidFill>
                <a:latin typeface="Be Vietnam Pro Medium"/>
              </a:rPr>
              <a:t>FIP Liquidez Monetario I</a:t>
            </a:r>
          </a:p>
        </c:rich>
      </c:tx>
      <c:overlay val="0"/>
      <c:spPr>
        <a:noFill/>
        <a:ln w="0">
          <a:noFill/>
        </a:ln>
      </c:spPr>
    </c:title>
    <c:autoTitleDeleted val="0"/>
    <c:plotArea>
      <c:layout>
        <c:manualLayout>
          <c:layoutTarget val="inner"/>
          <c:xMode val="edge"/>
          <c:yMode val="edge"/>
          <c:x val="0.0787392550143267"/>
          <c:y val="0.101901994452516"/>
          <c:w val="0.90261700095511"/>
          <c:h val="0.78602562409193"/>
        </c:manualLayout>
      </c:layout>
      <c:lineChart>
        <c:grouping val="standard"/>
        <c:varyColors val="0"/>
        <c:ser>
          <c:idx val="0"/>
          <c:order val="0"/>
          <c:tx>
            <c:strRef>
              <c:f>"FIP Liquidez Monetario I"</c:f>
              <c:strCache>
                <c:ptCount val="1"/>
                <c:pt idx="0">
                  <c:v>FIP Liquidez Monetario I</c:v>
                </c:pt>
              </c:strCache>
            </c:strRef>
          </c:tx>
          <c:spPr>
            <a:solidFill>
              <a:srgbClr val="000000"/>
            </a:solidFill>
            <a:ln cap="rnd" w="28440">
              <a:solidFill>
                <a:srgbClr val="000000"/>
              </a:solidFill>
              <a:round/>
            </a:ln>
          </c:spPr>
          <c:marker>
            <c:symbol val="circle"/>
            <c:size val="5"/>
            <c:spPr>
              <a:solidFill>
                <a:srgbClr val="000000"/>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(2)'!$F$224:$F$244</c:f>
              <c:numCache>
                <c:formatCode>m/d/yyyy</c:formatCode>
                <c:ptCount val="21"/>
                <c:pt idx="0">
                  <c:v>4/18/2024</c:v>
                </c:pt>
                <c:pt idx="1">
                  <c:v>4/30/2024</c:v>
                </c:pt>
                <c:pt idx="2">
                  <c:v>5/31/2024</c:v>
                </c:pt>
                <c:pt idx="3">
                  <c:v>6/30/2024</c:v>
                </c:pt>
                <c:pt idx="4">
                  <c:v>7/31/2024</c:v>
                </c:pt>
                <c:pt idx="5">
                  <c:v>8/31/2024</c:v>
                </c:pt>
                <c:pt idx="6">
                  <c:v>9/30/2024</c:v>
                </c:pt>
                <c:pt idx="7">
                  <c:v>10/31/2024</c:v>
                </c:pt>
                <c:pt idx="8">
                  <c:v>11/30/2024</c:v>
                </c:pt>
                <c:pt idx="9">
                  <c:v>12/31/2024</c:v>
                </c:pt>
                <c:pt idx="10">
                  <c:v>1/31/2025</c:v>
                </c:pt>
                <c:pt idx="11">
                  <c:v>2/28/2025</c:v>
                </c:pt>
                <c:pt idx="12">
                  <c:v>3/31/2025</c:v>
                </c:pt>
                <c:pt idx="13">
                  <c:v>4/30/2025</c:v>
                </c:pt>
                <c:pt idx="14">
                  <c:v>5/31/2025</c:v>
                </c:pt>
                <c:pt idx="15">
                  <c:v>6/30/2025</c:v>
                </c:pt>
                <c:pt idx="16">
                  <c:v>7/31/2025</c:v>
                </c:pt>
                <c:pt idx="17">
                  <c:v>8/31/2025</c:v>
                </c:pt>
                <c:pt idx="18">
                  <c:v>9/30/2025</c:v>
                </c:pt>
                <c:pt idx="19">
                  <c:v>10/31/2025</c:v>
                </c:pt>
                <c:pt idx="20">
                  <c:v>11/30/2025</c:v>
                </c:pt>
              </c:numCache>
            </c:numRef>
          </c:cat>
          <c:val>
            <c:numRef>
              <c:f>'Datos ICP (2)'!$J$224:$J$244</c:f>
              <c:numCache>
                <c:formatCode>#,##0.00</c:formatCode>
                <c:ptCount val="21"/>
                <c:pt idx="0">
                  <c:v>100</c:v>
                </c:pt>
                <c:pt idx="1">
                  <c:v>100.58464</c:v>
                </c:pt>
                <c:pt idx="2">
                  <c:v>101.26549483871</c:v>
                </c:pt>
                <c:pt idx="3">
                  <c:v>101.858241994918</c:v>
                </c:pt>
                <c:pt idx="4">
                  <c:v>102.435631947751</c:v>
                </c:pt>
                <c:pt idx="5">
                  <c:v>102.945441238408</c:v>
                </c:pt>
                <c:pt idx="6">
                  <c:v>103.521598687868</c:v>
                </c:pt>
                <c:pt idx="7">
                  <c:v>103.983148416436</c:v>
                </c:pt>
                <c:pt idx="8">
                  <c:v>104.432332655049</c:v>
                </c:pt>
                <c:pt idx="9">
                  <c:v>104.898436558515</c:v>
                </c:pt>
                <c:pt idx="10">
                  <c:v>105.274279246811</c:v>
                </c:pt>
                <c:pt idx="11">
                  <c:v>105.757581684312</c:v>
                </c:pt>
                <c:pt idx="12">
                  <c:v>106.270674046193</c:v>
                </c:pt>
                <c:pt idx="13">
                  <c:v>107.008917540393</c:v>
                </c:pt>
                <c:pt idx="14">
                  <c:v>107.633771133202</c:v>
                </c:pt>
                <c:pt idx="15">
                  <c:v>108.235543893227</c:v>
                </c:pt>
                <c:pt idx="16">
                  <c:v>108.854804876533</c:v>
                </c:pt>
                <c:pt idx="17">
                  <c:v>109.464553576489</c:v>
                </c:pt>
                <c:pt idx="18">
                  <c:v>110.033806346489</c:v>
                </c:pt>
                <c:pt idx="19">
                  <c:v>110.6344739235</c:v>
                </c:pt>
                <c:pt idx="20">
                  <c:v>111.220396865612</c:v>
                </c:pt>
              </c:numCache>
            </c:numRef>
          </c:val>
          <c:smooth val="0"/>
        </c:ser>
        <c:ser>
          <c:idx val="1"/>
          <c:order val="1"/>
          <c:tx>
            <c:strRef>
              <c:f>"Competencia Relevante"</c:f>
              <c:strCache>
                <c:ptCount val="1"/>
                <c:pt idx="0">
                  <c:v>Competencia Relevante</c:v>
                </c:pt>
              </c:strCache>
            </c:strRef>
          </c:tx>
          <c:spPr>
            <a:solidFill>
              <a:srgbClr val="a6a6a6"/>
            </a:solidFill>
            <a:ln cap="rnd" w="38160">
              <a:solidFill>
                <a:srgbClr val="a6a6a6"/>
              </a:solidFill>
              <a:round/>
            </a:ln>
          </c:spPr>
          <c:marker>
            <c:symbol val="circle"/>
            <c:size val="5"/>
            <c:spPr>
              <a:solidFill>
                <a:srgbClr val="a6a6a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(2)'!$F$224:$F$244</c:f>
              <c:numCache>
                <c:formatCode>m/d/yyyy</c:formatCode>
                <c:ptCount val="21"/>
                <c:pt idx="0">
                  <c:v>4/18/2024</c:v>
                </c:pt>
                <c:pt idx="1">
                  <c:v>4/30/2024</c:v>
                </c:pt>
                <c:pt idx="2">
                  <c:v>5/31/2024</c:v>
                </c:pt>
                <c:pt idx="3">
                  <c:v>6/30/2024</c:v>
                </c:pt>
                <c:pt idx="4">
                  <c:v>7/31/2024</c:v>
                </c:pt>
                <c:pt idx="5">
                  <c:v>8/31/2024</c:v>
                </c:pt>
                <c:pt idx="6">
                  <c:v>9/30/2024</c:v>
                </c:pt>
                <c:pt idx="7">
                  <c:v>10/31/2024</c:v>
                </c:pt>
                <c:pt idx="8">
                  <c:v>11/30/2024</c:v>
                </c:pt>
                <c:pt idx="9">
                  <c:v>12/31/2024</c:v>
                </c:pt>
                <c:pt idx="10">
                  <c:v>1/31/2025</c:v>
                </c:pt>
                <c:pt idx="11">
                  <c:v>2/28/2025</c:v>
                </c:pt>
                <c:pt idx="12">
                  <c:v>3/31/2025</c:v>
                </c:pt>
                <c:pt idx="13">
                  <c:v>4/30/2025</c:v>
                </c:pt>
                <c:pt idx="14">
                  <c:v>5/31/2025</c:v>
                </c:pt>
                <c:pt idx="15">
                  <c:v>6/30/2025</c:v>
                </c:pt>
                <c:pt idx="16">
                  <c:v>7/31/2025</c:v>
                </c:pt>
                <c:pt idx="17">
                  <c:v>8/31/2025</c:v>
                </c:pt>
                <c:pt idx="18">
                  <c:v>9/30/2025</c:v>
                </c:pt>
                <c:pt idx="19">
                  <c:v>10/31/2025</c:v>
                </c:pt>
                <c:pt idx="20">
                  <c:v>11/30/2025</c:v>
                </c:pt>
              </c:numCache>
            </c:numRef>
          </c:cat>
          <c:val>
            <c:numRef>
              <c:f>'Datos ICP (2)'!$M$224:$M$244</c:f>
              <c:numCache>
                <c:formatCode>0.00</c:formatCode>
                <c:ptCount val="21"/>
                <c:pt idx="0">
                  <c:v>100</c:v>
                </c:pt>
                <c:pt idx="1">
                  <c:v>100.472012403361</c:v>
                </c:pt>
                <c:pt idx="2">
                  <c:v>100.877251375044</c:v>
                </c:pt>
                <c:pt idx="3">
                  <c:v>101.245472824761</c:v>
                </c:pt>
                <c:pt idx="4">
                  <c:v>101.601542643577</c:v>
                </c:pt>
                <c:pt idx="5">
                  <c:v>101.958229877958</c:v>
                </c:pt>
                <c:pt idx="6">
                  <c:v>102.302384304526</c:v>
                </c:pt>
                <c:pt idx="7">
                  <c:v>102.640062661179</c:v>
                </c:pt>
                <c:pt idx="8">
                  <c:v>102.970602112419</c:v>
                </c:pt>
                <c:pt idx="9">
                  <c:v>103.29245392561</c:v>
                </c:pt>
                <c:pt idx="10">
                  <c:v>103.594355477327</c:v>
                </c:pt>
                <c:pt idx="11">
                  <c:v>103.90093605858</c:v>
                </c:pt>
                <c:pt idx="12">
                  <c:v>104.20890114017</c:v>
                </c:pt>
                <c:pt idx="13">
                  <c:v>104.519021586778</c:v>
                </c:pt>
                <c:pt idx="14">
                  <c:v>104.831543156924</c:v>
                </c:pt>
                <c:pt idx="15">
                  <c:v>105.145728790959</c:v>
                </c:pt>
                <c:pt idx="16">
                  <c:v>105.445958804294</c:v>
                </c:pt>
                <c:pt idx="17">
                  <c:v>105.752147560661</c:v>
                </c:pt>
                <c:pt idx="18">
                  <c:v>106.044194274065</c:v>
                </c:pt>
                <c:pt idx="19">
                  <c:v>106.338230337932</c:v>
                </c:pt>
                <c:pt idx="20">
                  <c:v>106.635447367957</c:v>
                </c:pt>
              </c:numCache>
            </c:numRef>
          </c:val>
          <c:smooth val="0"/>
        </c:ser>
        <c:ser>
          <c:idx val="2"/>
          <c:order val="2"/>
          <c:tx>
            <c:strRef>
              <c:f>"ICP Nom"</c:f>
              <c:strCache>
                <c:ptCount val="1"/>
                <c:pt idx="0">
                  <c:v>ICP Nom</c:v>
                </c:pt>
              </c:strCache>
            </c:strRef>
          </c:tx>
          <c:spPr>
            <a:solidFill>
              <a:srgbClr val="bfbfbf"/>
            </a:solidFill>
            <a:ln cap="rnd" w="38160">
              <a:solidFill>
                <a:srgbClr val="bfbfbf"/>
              </a:solidFill>
              <a:round/>
            </a:ln>
          </c:spPr>
          <c:marker>
            <c:symbol val="circle"/>
            <c:size val="5"/>
            <c:spPr>
              <a:solidFill>
                <a:srgbClr val="bfbfbf"/>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(2)'!$F$224:$F$244</c:f>
              <c:numCache>
                <c:formatCode>m/d/yyyy</c:formatCode>
                <c:ptCount val="21"/>
                <c:pt idx="0">
                  <c:v>4/18/2024</c:v>
                </c:pt>
                <c:pt idx="1">
                  <c:v>4/30/2024</c:v>
                </c:pt>
                <c:pt idx="2">
                  <c:v>5/31/2024</c:v>
                </c:pt>
                <c:pt idx="3">
                  <c:v>6/30/2024</c:v>
                </c:pt>
                <c:pt idx="4">
                  <c:v>7/31/2024</c:v>
                </c:pt>
                <c:pt idx="5">
                  <c:v>8/31/2024</c:v>
                </c:pt>
                <c:pt idx="6">
                  <c:v>9/30/2024</c:v>
                </c:pt>
                <c:pt idx="7">
                  <c:v>10/31/2024</c:v>
                </c:pt>
                <c:pt idx="8">
                  <c:v>11/30/2024</c:v>
                </c:pt>
                <c:pt idx="9">
                  <c:v>12/31/2024</c:v>
                </c:pt>
                <c:pt idx="10">
                  <c:v>1/31/2025</c:v>
                </c:pt>
                <c:pt idx="11">
                  <c:v>2/28/2025</c:v>
                </c:pt>
                <c:pt idx="12">
                  <c:v>3/31/2025</c:v>
                </c:pt>
                <c:pt idx="13">
                  <c:v>4/30/2025</c:v>
                </c:pt>
                <c:pt idx="14">
                  <c:v>5/31/2025</c:v>
                </c:pt>
                <c:pt idx="15">
                  <c:v>6/30/2025</c:v>
                </c:pt>
                <c:pt idx="16">
                  <c:v>7/31/2025</c:v>
                </c:pt>
                <c:pt idx="17">
                  <c:v>8/31/2025</c:v>
                </c:pt>
                <c:pt idx="18">
                  <c:v>9/30/2025</c:v>
                </c:pt>
                <c:pt idx="19">
                  <c:v>10/31/2025</c:v>
                </c:pt>
                <c:pt idx="20">
                  <c:v>11/30/2025</c:v>
                </c:pt>
              </c:numCache>
            </c:numRef>
          </c:cat>
          <c:val>
            <c:numRef>
              <c:f>'Datos ICP (2)'!$D$224:$D$244</c:f>
              <c:numCache>
                <c:formatCode>0.00</c:formatCode>
                <c:ptCount val="21"/>
                <c:pt idx="0">
                  <c:v>104.280336623467</c:v>
                </c:pt>
                <c:pt idx="1">
                  <c:v>104.85793440757</c:v>
                </c:pt>
                <c:pt idx="2">
                  <c:v>105.41748198066</c:v>
                </c:pt>
                <c:pt idx="3">
                  <c:v>105.903830705899</c:v>
                </c:pt>
                <c:pt idx="4">
                  <c:v>106.445410975407</c:v>
                </c:pt>
                <c:pt idx="5">
                  <c:v>106.940109365365</c:v>
                </c:pt>
                <c:pt idx="6">
                  <c:v>107.451394679645</c:v>
                </c:pt>
                <c:pt idx="7">
                  <c:v>107.920413832008</c:v>
                </c:pt>
                <c:pt idx="8">
                  <c:v>108.393572059477</c:v>
                </c:pt>
                <c:pt idx="9">
                  <c:v>108.859971855665</c:v>
                </c:pt>
                <c:pt idx="10">
                  <c:v>109.329238768648</c:v>
                </c:pt>
                <c:pt idx="11">
                  <c:v>109.785641061585</c:v>
                </c:pt>
                <c:pt idx="12">
                  <c:v>110.243957378385</c:v>
                </c:pt>
                <c:pt idx="13">
                  <c:v>110.704304883999</c:v>
                </c:pt>
                <c:pt idx="14">
                  <c:v>111.151503167103</c:v>
                </c:pt>
                <c:pt idx="15">
                  <c:v>111.631073678691</c:v>
                </c:pt>
                <c:pt idx="16">
                  <c:v>112.096279478611</c:v>
                </c:pt>
                <c:pt idx="17">
                  <c:v>112.512114153679</c:v>
                </c:pt>
                <c:pt idx="18">
                  <c:v>112.988045883136</c:v>
                </c:pt>
                <c:pt idx="19">
                  <c:v>113.421722091055</c:v>
                </c:pt>
                <c:pt idx="20">
                  <c:v>113.856403996233</c:v>
                </c:pt>
              </c:numCache>
            </c:numRef>
          </c:val>
          <c:smooth val="0"/>
        </c:ser>
        <c:hiLowLines>
          <c:spPr>
            <a:ln w="0">
              <a:noFill/>
            </a:ln>
          </c:spPr>
        </c:hiLowLines>
        <c:marker val="1"/>
        <c:axId val="12771665"/>
        <c:axId val="36388041"/>
      </c:lineChart>
      <c:dateAx>
        <c:axId val="12771665"/>
        <c:scaling>
          <c:orientation val="minMax"/>
        </c:scaling>
        <c:delete val="1"/>
        <c:axPos val="b"/>
        <c:numFmt formatCode="m/d/yyyy" sourceLinked="1"/>
        <c:majorTickMark val="out"/>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36388041"/>
        <c:auto val="1"/>
        <c:lblOffset val="100"/>
        <c:baseTimeUnit val="days"/>
        <c:noMultiLvlLbl val="0"/>
      </c:dateAx>
      <c:valAx>
        <c:axId val="36388041"/>
        <c:scaling>
          <c:orientation val="minMax"/>
          <c:min val="100"/>
        </c:scaling>
        <c:delete val="0"/>
        <c:axPos val="l"/>
        <c:majorGridlines>
          <c:spPr>
            <a:ln w="9360">
              <a:solidFill>
                <a:srgbClr val="d9d9d9"/>
              </a:solidFill>
              <a:round/>
            </a:ln>
          </c:spPr>
        </c:majorGridlines>
        <c:title>
          <c:tx>
            <c:rich>
              <a:bodyPr rot="-5400000"/>
              <a:lstStyle/>
              <a:p>
                <a:pPr>
                  <a:defRPr b="0" lang="en-US" sz="1000" spc="-1" strike="noStrike">
                    <a:solidFill>
                      <a:srgbClr val="595959"/>
                    </a:solidFill>
                    <a:latin typeface="Calibri"/>
                  </a:defRPr>
                </a:pPr>
                <a:r>
                  <a:rPr b="0" lang="en-US" sz="1000" spc="-1" strike="noStrike">
                    <a:solidFill>
                      <a:srgbClr val="595959"/>
                    </a:solidFill>
                    <a:latin typeface="Calibri"/>
                  </a:rPr>
                  <a:t>Indice</a:t>
                </a:r>
              </a:p>
            </c:rich>
          </c:tx>
          <c:overlay val="0"/>
          <c:spPr>
            <a:noFill/>
            <a:ln w="0">
              <a:noFill/>
            </a:ln>
          </c:spPr>
        </c:title>
        <c:numFmt formatCode="#,##0" sourceLinked="0"/>
        <c:majorTickMark val="none"/>
        <c:minorTickMark val="none"/>
        <c:tickLblPos val="nextTo"/>
        <c:spPr>
          <a:ln w="6480">
            <a:noFill/>
          </a:ln>
        </c:spPr>
        <c:txPr>
          <a:bodyPr/>
          <a:lstStyle/>
          <a:p>
            <a:pPr>
              <a:defRPr b="0" sz="1200" spc="-1" strike="noStrike">
                <a:solidFill>
                  <a:srgbClr val="000000"/>
                </a:solidFill>
                <a:latin typeface="Be Vietnam Pro Light"/>
              </a:defRPr>
            </a:pPr>
          </a:p>
        </c:txPr>
        <c:crossAx val="12771665"/>
        <c:crosses val="autoZero"/>
        <c:crossBetween val="between"/>
        <c:majorUnit val="5"/>
        <c:minorUnit val="5"/>
      </c:valAx>
      <c:spPr>
        <a:noFill/>
        <a:ln w="0">
          <a:noFill/>
        </a:ln>
      </c:spPr>
    </c:plotArea>
    <c:legend>
      <c:legendPos val="b"/>
      <c:overlay val="0"/>
      <c:spPr>
        <a:noFill/>
        <a:ln w="0">
          <a:noFill/>
        </a:ln>
      </c:spPr>
      <c:txPr>
        <a:bodyPr/>
        <a:lstStyle/>
        <a:p>
          <a:pPr>
            <a:defRPr b="0" sz="1800" spc="-1" strike="noStrike">
              <a:solidFill>
                <a:srgbClr val="000000"/>
              </a:solidFill>
              <a:latin typeface="Be Vietnam Pro Light"/>
            </a:defRPr>
          </a:pPr>
        </a:p>
      </c:txPr>
    </c:legend>
    <c:plotVisOnly val="1"/>
    <c:dispBlanksAs val="gap"/>
  </c:chart>
  <c:spPr>
    <a:no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Pt>
            <c:idx val="2"/>
            <c:spPr>
              <a:solidFill>
                <a:srgbClr val="d9d9d9"/>
              </a:solidFill>
              <a:ln w="19080">
                <a:solidFill>
                  <a:srgbClr val="ffffff"/>
                </a:solidFill>
                <a:round/>
              </a:ln>
            </c:spPr>
          </c:dPt>
          <c:dPt>
            <c:idx val="3"/>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composición!$K$3:$K$6</c:f>
              <c:strCache>
                <c:ptCount val="4"/>
                <c:pt idx="0">
                  <c:v>Menos de 1 mes</c:v>
                </c:pt>
                <c:pt idx="1">
                  <c:v>1-3 meses</c:v>
                </c:pt>
                <c:pt idx="2">
                  <c:v>3-4 meses</c:v>
                </c:pt>
                <c:pt idx="3">
                  <c:v>Más de 4 meses</c:v>
                </c:pt>
              </c:strCache>
            </c:strRef>
          </c:cat>
          <c:val>
            <c:numRef>
              <c:f>composición!$L$3:$L$6</c:f>
              <c:numCache>
                <c:formatCode>0.00%</c:formatCode>
                <c:ptCount val="4"/>
                <c:pt idx="0">
                  <c:v>0.3815</c:v>
                </c:pt>
                <c:pt idx="1">
                  <c:v>0.5445</c:v>
                </c:pt>
                <c:pt idx="2">
                  <c:v>0.074</c:v>
                </c:pt>
                <c:pt idx="3">
                  <c:v>0</c:v>
                </c:pt>
              </c:numCache>
            </c:numRef>
          </c:val>
        </c:ser>
        <c:firstSliceAng val="0"/>
        <c:holeSize val="50"/>
      </c:doughnutChart>
      <c:spPr>
        <a:noFill/>
        <a:ln w="0">
          <a:noFill/>
        </a:ln>
      </c:spPr>
    </c:plotArea>
    <c:plotVisOnly val="1"/>
    <c:dispBlanksAs val="gap"/>
  </c:chart>
  <c:spPr>
    <a:no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2"/>
          <c:dPt>
            <c:idx val="0"/>
            <c:explosion val="2"/>
            <c:spPr>
              <a:solidFill>
                <a:srgbClr val="7f7f7f"/>
              </a:solidFill>
              <a:ln w="19080">
                <a:solidFill>
                  <a:srgbClr val="ffffff"/>
                </a:solidFill>
                <a:round/>
              </a:ln>
            </c:spPr>
          </c:dPt>
          <c:dPt>
            <c:idx val="1"/>
            <c:explosion val="2"/>
            <c:spPr>
              <a:solidFill>
                <a:srgbClr val="8b8b8b"/>
              </a:solidFill>
              <a:ln w="19080">
                <a:solidFill>
                  <a:srgbClr val="ffffff"/>
                </a:solidFill>
                <a:round/>
              </a:ln>
            </c:spPr>
          </c:dPt>
          <c:dPt>
            <c:idx val="2"/>
            <c:explosion val="2"/>
            <c:spPr>
              <a:solidFill>
                <a:srgbClr val="959595"/>
              </a:solidFill>
              <a:ln w="19080">
                <a:solidFill>
                  <a:srgbClr val="ffffff"/>
                </a:solidFill>
                <a:round/>
              </a:ln>
            </c:spPr>
          </c:dPt>
          <c:dPt>
            <c:idx val="3"/>
            <c:explosion val="2"/>
            <c:spPr>
              <a:solidFill>
                <a:srgbClr val="9f9f9f"/>
              </a:solidFill>
              <a:ln w="19080">
                <a:solidFill>
                  <a:srgbClr val="ffffff"/>
                </a:solidFill>
                <a:round/>
              </a:ln>
            </c:spPr>
          </c:dPt>
          <c:dPt>
            <c:idx val="4"/>
            <c:explosion val="2"/>
            <c:spPr>
              <a:solidFill>
                <a:srgbClr val="acacac"/>
              </a:solidFill>
              <a:ln w="19080">
                <a:solidFill>
                  <a:srgbClr val="ffffff"/>
                </a:solidFill>
                <a:round/>
              </a:ln>
            </c:spPr>
          </c:dPt>
          <c:dPt>
            <c:idx val="5"/>
            <c:explosion val="2"/>
            <c:spPr>
              <a:solidFill>
                <a:srgbClr val="a6a6a6"/>
              </a:solidFill>
              <a:ln w="19080">
                <a:solidFill>
                  <a:srgbClr val="ffffff"/>
                </a:solidFill>
                <a:round/>
              </a:ln>
            </c:spPr>
          </c:dPt>
          <c:dPt>
            <c:idx val="6"/>
            <c:explosion val="2"/>
            <c:spPr>
              <a:solidFill>
                <a:srgbClr val="bfbfbf"/>
              </a:solidFill>
              <a:ln w="19080">
                <a:solidFill>
                  <a:srgbClr val="ffffff"/>
                </a:solidFill>
                <a:round/>
              </a:ln>
            </c:spPr>
          </c:dPt>
          <c:dPt>
            <c:idx val="7"/>
            <c:explosion val="2"/>
            <c:spPr>
              <a:solidFill>
                <a:srgbClr val="d9d9d9"/>
              </a:solidFill>
              <a:ln w="19080">
                <a:solidFill>
                  <a:srgbClr val="ffffff"/>
                </a:solidFill>
                <a:round/>
              </a:ln>
            </c:spPr>
          </c:dPt>
          <c:dPt>
            <c:idx val="8"/>
            <c:explosion val="2"/>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5"/>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6"/>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7"/>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8"/>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composición!$O$3:$O$11</c:f>
              <c:strCache>
                <c:ptCount val="9"/>
                <c:pt idx="0">
                  <c:v>Depósitos</c:v>
                </c:pt>
                <c:pt idx="1">
                  <c:v>Factoring</c:v>
                </c:pt>
                <c:pt idx="2">
                  <c:v>Financiamiento Inmobiliario</c:v>
                </c:pt>
                <c:pt idx="3">
                  <c:v>Financiamiento Mesa Moneda Extranjera</c:v>
                </c:pt>
                <c:pt idx="4">
                  <c:v>Garantías</c:v>
                </c:pt>
                <c:pt idx="5">
                  <c:v>Nota Estructurada</c:v>
                </c:pt>
                <c:pt idx="6">
                  <c:v>Financiamiento Mesa Renta Fija</c:v>
                </c:pt>
                <c:pt idx="7">
                  <c:v>Simultánea</c:v>
                </c:pt>
                <c:pt idx="8">
                  <c:v>Efectos de Comercio</c:v>
                </c:pt>
              </c:strCache>
            </c:strRef>
          </c:cat>
          <c:val>
            <c:numRef>
              <c:f>composición!$P$3:$P$11</c:f>
              <c:numCache>
                <c:formatCode>0.00%</c:formatCode>
                <c:ptCount val="9"/>
                <c:pt idx="0">
                  <c:v>0</c:v>
                </c:pt>
                <c:pt idx="1">
                  <c:v>0</c:v>
                </c:pt>
                <c:pt idx="2">
                  <c:v>0.0893</c:v>
                </c:pt>
                <c:pt idx="3">
                  <c:v>0.7766</c:v>
                </c:pt>
                <c:pt idx="4">
                  <c:v>0</c:v>
                </c:pt>
                <c:pt idx="5">
                  <c:v>0.134</c:v>
                </c:pt>
                <c:pt idx="6">
                  <c:v>0</c:v>
                </c:pt>
                <c:pt idx="7">
                  <c:v>0</c:v>
                </c:pt>
                <c:pt idx="8">
                  <c:v>0</c:v>
                </c:pt>
              </c:numCache>
            </c:numRef>
          </c:val>
        </c:ser>
        <c:firstSliceAng val="0"/>
        <c:holeSize val="50"/>
      </c:doughnutChart>
      <c:spPr>
        <a:noFill/>
        <a:ln w="0">
          <a:noFill/>
        </a:ln>
      </c:spPr>
    </c:plotArea>
    <c:plotVisOnly val="1"/>
    <c:dispBlanksAs val="gap"/>
  </c:chart>
  <c:spPr>
    <a:no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composición!$S$3:$S$4</c:f>
              <c:strCache>
                <c:ptCount val="2"/>
                <c:pt idx="0">
                  <c:v>Pesos</c:v>
                </c:pt>
                <c:pt idx="1">
                  <c:v>UF</c:v>
                </c:pt>
              </c:strCache>
            </c:strRef>
          </c:cat>
          <c:val>
            <c:numRef>
              <c:f>composición!$T$3:$T$4</c:f>
              <c:numCache>
                <c:formatCode>0.00%</c:formatCode>
                <c:ptCount val="2"/>
                <c:pt idx="0">
                  <c:v>0.9437743069653</c:v>
                </c:pt>
                <c:pt idx="1">
                  <c:v>0.0562256930346996</c:v>
                </c:pt>
              </c:numCache>
            </c:numRef>
          </c:val>
        </c:ser>
        <c:firstSliceAng val="0"/>
        <c:holeSize val="50"/>
      </c:doughnutChart>
      <c:spPr>
        <a:noFill/>
        <a:ln w="0">
          <a:noFill/>
        </a:ln>
      </c:spPr>
    </c:plotArea>
    <c:plotVisOnly val="1"/>
    <c:dispBlanksAs val="gap"/>
  </c:chart>
  <c:spPr>
    <a:no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45</xdr:col>
      <xdr:colOff>361800</xdr:colOff>
      <xdr:row>0</xdr:row>
      <xdr:rowOff>142920</xdr:rowOff>
    </xdr:from>
    <xdr:to>
      <xdr:col>51</xdr:col>
      <xdr:colOff>256680</xdr:colOff>
      <xdr:row>15</xdr:row>
      <xdr:rowOff>28440</xdr:rowOff>
    </xdr:to>
    <xdr:graphicFrame>
      <xdr:nvGraphicFramePr>
        <xdr:cNvPr id="0" name="Chart 1"/>
        <xdr:cNvGraphicFramePr/>
      </xdr:nvGraphicFramePr>
      <xdr:xfrm>
        <a:off x="37917720" y="142920"/>
        <a:ext cx="5483520" cy="2752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843480</xdr:colOff>
      <xdr:row>270</xdr:row>
      <xdr:rowOff>126720</xdr:rowOff>
    </xdr:from>
    <xdr:to>
      <xdr:col>11</xdr:col>
      <xdr:colOff>327240</xdr:colOff>
      <xdr:row>299</xdr:row>
      <xdr:rowOff>52920</xdr:rowOff>
    </xdr:to>
    <xdr:graphicFrame>
      <xdr:nvGraphicFramePr>
        <xdr:cNvPr id="1" name="Chart 2"/>
        <xdr:cNvGraphicFramePr/>
      </xdr:nvGraphicFramePr>
      <xdr:xfrm>
        <a:off x="2132640" y="51647400"/>
        <a:ext cx="9422640" cy="54507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106560</xdr:colOff>
      <xdr:row>33</xdr:row>
      <xdr:rowOff>34200</xdr:rowOff>
    </xdr:from>
    <xdr:to>
      <xdr:col>8</xdr:col>
      <xdr:colOff>715680</xdr:colOff>
      <xdr:row>48</xdr:row>
      <xdr:rowOff>33840</xdr:rowOff>
    </xdr:to>
    <xdr:graphicFrame>
      <xdr:nvGraphicFramePr>
        <xdr:cNvPr id="2" name="Chart 1"/>
        <xdr:cNvGraphicFramePr/>
      </xdr:nvGraphicFramePr>
      <xdr:xfrm>
        <a:off x="2996280" y="5939640"/>
        <a:ext cx="4635360" cy="2857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76320</xdr:colOff>
      <xdr:row>18</xdr:row>
      <xdr:rowOff>34200</xdr:rowOff>
    </xdr:from>
    <xdr:to>
      <xdr:col>8</xdr:col>
      <xdr:colOff>685440</xdr:colOff>
      <xdr:row>33</xdr:row>
      <xdr:rowOff>33840</xdr:rowOff>
    </xdr:to>
    <xdr:graphicFrame>
      <xdr:nvGraphicFramePr>
        <xdr:cNvPr id="3" name="Chart 2"/>
        <xdr:cNvGraphicFramePr/>
      </xdr:nvGraphicFramePr>
      <xdr:xfrm>
        <a:off x="2966040" y="3082320"/>
        <a:ext cx="4635360" cy="2856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175320</xdr:colOff>
      <xdr:row>1</xdr:row>
      <xdr:rowOff>167760</xdr:rowOff>
    </xdr:from>
    <xdr:to>
      <xdr:col>8</xdr:col>
      <xdr:colOff>784440</xdr:colOff>
      <xdr:row>18</xdr:row>
      <xdr:rowOff>167400</xdr:rowOff>
    </xdr:to>
    <xdr:graphicFrame>
      <xdr:nvGraphicFramePr>
        <xdr:cNvPr id="4" name="Chart 3"/>
        <xdr:cNvGraphicFramePr/>
      </xdr:nvGraphicFramePr>
      <xdr:xfrm>
        <a:off x="3065040" y="358200"/>
        <a:ext cx="4635360" cy="2857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C:/Users/NCABEZAS/Desktop/fondos%20fin/Copia%20de%20Factsheet%20Vantrust%20Alto%20Patrimonio%20Noviembre%202018%20(00000002).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C:/Users/Jorge%20Valenzuela/Downloads/ICP%20hist&#243;rico%20(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sheetData sheetId="1"/>
      <sheetData sheetId="2"/>
      <sheetData sheetId="3"/>
      <sheetData sheetId="4">
        <row r="2">
          <cell r="B2">
            <v>999.9484</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v>
          </cell>
        </row>
        <row r="3794">
          <cell r="A3794">
            <v>43047</v>
          </cell>
          <cell r="B3794">
            <v>17829.05</v>
          </cell>
        </row>
        <row r="3795">
          <cell r="A3795">
            <v>43048</v>
          </cell>
          <cell r="B3795">
            <v>17830.29</v>
          </cell>
        </row>
        <row r="3796">
          <cell r="A3796">
            <v>43049</v>
          </cell>
          <cell r="B3796">
            <v>17831.53</v>
          </cell>
        </row>
        <row r="3797">
          <cell r="A3797">
            <v>43052</v>
          </cell>
          <cell r="B3797">
            <v>17835.24</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17843.92</v>
          </cell>
        </row>
        <row r="3803">
          <cell r="A3803">
            <v>43060</v>
          </cell>
          <cell r="B3803">
            <v>17845.16</v>
          </cell>
        </row>
        <row r="3804">
          <cell r="A3804">
            <v>43061</v>
          </cell>
          <cell r="B3804">
            <v>17846.4</v>
          </cell>
        </row>
        <row r="3805">
          <cell r="A3805">
            <v>43062</v>
          </cell>
          <cell r="B3805">
            <v>17847.64</v>
          </cell>
        </row>
        <row r="3806">
          <cell r="A3806">
            <v>43063</v>
          </cell>
          <cell r="B3806">
            <v>17848.88</v>
          </cell>
        </row>
        <row r="3807">
          <cell r="A3807">
            <v>43066</v>
          </cell>
          <cell r="B3807">
            <v>17852.6</v>
          </cell>
        </row>
        <row r="3808">
          <cell r="A3808">
            <v>43067</v>
          </cell>
          <cell r="B3808">
            <v>17853.84</v>
          </cell>
        </row>
        <row r="3809">
          <cell r="A3809">
            <v>43068</v>
          </cell>
          <cell r="B3809">
            <v>17855.08</v>
          </cell>
        </row>
        <row r="3810">
          <cell r="A3810">
            <v>43069</v>
          </cell>
          <cell r="B3810">
            <v>17856.32</v>
          </cell>
        </row>
        <row r="3811">
          <cell r="A3811">
            <v>43070</v>
          </cell>
          <cell r="B3811">
            <v>17857.56</v>
          </cell>
        </row>
        <row r="3812">
          <cell r="A3812">
            <v>43073</v>
          </cell>
          <cell r="B3812">
            <v>17861.28</v>
          </cell>
        </row>
        <row r="3813">
          <cell r="A3813">
            <v>43074</v>
          </cell>
          <cell r="B3813">
            <v>17862.52</v>
          </cell>
        </row>
        <row r="3814">
          <cell r="A3814">
            <v>43075</v>
          </cell>
          <cell r="B3814">
            <v>17863.76</v>
          </cell>
        </row>
        <row r="3815">
          <cell r="A3815">
            <v>43076</v>
          </cell>
          <cell r="B3815">
            <v>17865</v>
          </cell>
        </row>
        <row r="3816">
          <cell r="A3816">
            <v>43080</v>
          </cell>
          <cell r="B3816">
            <v>17869.96</v>
          </cell>
        </row>
        <row r="3817">
          <cell r="A3817">
            <v>43081</v>
          </cell>
          <cell r="B3817">
            <v>17871.2</v>
          </cell>
        </row>
        <row r="3818">
          <cell r="A3818">
            <v>43082</v>
          </cell>
          <cell r="B3818">
            <v>17872.44</v>
          </cell>
        </row>
      </sheetData>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1.42578125" defaultRowHeight="15" zeroHeight="false" outlineLevelRow="0" outlineLevelCol="0"/>
  <cols>
    <col collapsed="false" customWidth="true" hidden="false" outlineLevel="0" max="1" min="1" style="0" width="71"/>
  </cols>
  <sheetData>
    <row r="2" customFormat="false" ht="191.25" hidden="false" customHeight="true" outlineLevel="0" collapsed="false">
      <c r="A2" s="1" t="s">
        <v>0</v>
      </c>
    </row>
    <row r="3" customFormat="false" ht="15" hidden="false" customHeight="false" outlineLevel="0" collapsed="false">
      <c r="A3" s="1"/>
    </row>
    <row r="4" customFormat="false" ht="15" hidden="false" customHeight="false" outlineLevel="0" collapsed="false">
      <c r="A4"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49"/>
  <sheetViews>
    <sheetView showFormulas="false" showGridLines="false" showRowColHeaders="true" showZeros="true" rightToLeft="false" tabSelected="false" showOutlineSymbols="true" defaultGridColor="true" view="normal" topLeftCell="AL14" colorId="64" zoomScale="80" zoomScaleNormal="80" zoomScalePageLayoutView="100" workbookViewId="0">
      <selection pane="topLeft" activeCell="AW19" activeCellId="0" sqref="AW19"/>
    </sheetView>
  </sheetViews>
  <sheetFormatPr defaultColWidth="12.2890625" defaultRowHeight="15" zeroHeight="false" outlineLevelRow="0" outlineLevelCol="0"/>
  <cols>
    <col collapsed="false" customWidth="true" hidden="false" outlineLevel="0" max="2" min="1" style="3" width="18.29"/>
    <col collapsed="false" customWidth="false" hidden="false" outlineLevel="0" max="5" min="3" style="3" width="12.29"/>
    <col collapsed="false" customWidth="true" hidden="false" outlineLevel="0" max="6" min="6" style="3" width="16.14"/>
    <col collapsed="false" customWidth="true" hidden="false" outlineLevel="0" max="7" min="7" style="4" width="15.42"/>
    <col collapsed="false" customWidth="true" hidden="false" outlineLevel="0" max="8" min="8" style="4" width="14.57"/>
    <col collapsed="false" customWidth="false" hidden="false" outlineLevel="0" max="9" min="9" style="5" width="12.29"/>
    <col collapsed="false" customWidth="false" hidden="false" outlineLevel="0" max="10" min="10" style="3" width="12.29"/>
    <col collapsed="false" customWidth="true" hidden="false" outlineLevel="0" max="11" min="11" style="3" width="15.14"/>
    <col collapsed="false" customWidth="false" hidden="false" outlineLevel="0" max="12" min="12" style="3" width="12.29"/>
    <col collapsed="false" customWidth="true" hidden="false" outlineLevel="0" max="15" min="13" style="3" width="11.85"/>
    <col collapsed="false" customWidth="true" hidden="false" outlineLevel="0" max="16" min="16" style="3" width="13.86"/>
    <col collapsed="false" customWidth="true" hidden="false" outlineLevel="0" max="17" min="17" style="3" width="14.42"/>
    <col collapsed="false" customWidth="true" hidden="false" outlineLevel="0" max="18" min="18" style="3" width="15.42"/>
    <col collapsed="false" customWidth="true" hidden="false" outlineLevel="0" max="19" min="19" style="3" width="13.86"/>
    <col collapsed="false" customWidth="true" hidden="false" outlineLevel="0" max="20" min="20" style="3" width="15.14"/>
    <col collapsed="false" customWidth="true" hidden="false" outlineLevel="0" max="21" min="21" style="3" width="13.86"/>
    <col collapsed="false" customWidth="true" hidden="false" outlineLevel="0" max="22" min="22" style="3" width="14.57"/>
    <col collapsed="false" customWidth="true" hidden="false" outlineLevel="0" max="23" min="23" style="3" width="14.42"/>
    <col collapsed="false" customWidth="true" hidden="false" outlineLevel="0" max="24" min="24" style="3" width="14.71"/>
    <col collapsed="false" customWidth="true" hidden="false" outlineLevel="0" max="25" min="25" style="3" width="15.85"/>
    <col collapsed="false" customWidth="true" hidden="false" outlineLevel="0" max="26" min="26" style="3" width="16"/>
    <col collapsed="false" customWidth="true" hidden="false" outlineLevel="0" max="27" min="27" style="3" width="15"/>
    <col collapsed="false" customWidth="true" hidden="false" outlineLevel="0" max="28" min="28" style="3" width="5.57"/>
    <col collapsed="false" customWidth="true" hidden="false" outlineLevel="0" max="29" min="29" style="3" width="8.42"/>
    <col collapsed="false" customWidth="true" hidden="false" outlineLevel="0" max="30" min="30" style="3" width="14.14"/>
    <col collapsed="false" customWidth="true" hidden="false" outlineLevel="0" max="31" min="31" style="3" width="8.86"/>
    <col collapsed="false" customWidth="true" hidden="false" outlineLevel="0" max="32" min="32" style="3" width="8.29"/>
    <col collapsed="false" customWidth="true" hidden="false" outlineLevel="0" max="33" min="33" style="3" width="7.42"/>
    <col collapsed="false" customWidth="true" hidden="false" outlineLevel="0" max="34" min="34" style="3" width="7.86"/>
    <col collapsed="false" customWidth="true" hidden="false" outlineLevel="0" max="35" min="35" style="3" width="7.29"/>
    <col collapsed="false" customWidth="true" hidden="false" outlineLevel="0" max="36" min="36" style="3" width="8.42"/>
    <col collapsed="false" customWidth="true" hidden="false" outlineLevel="0" max="37" min="37" style="3" width="10.57"/>
    <col collapsed="false" customWidth="true" hidden="false" outlineLevel="0" max="38" min="38" style="3" width="8.15"/>
    <col collapsed="false" customWidth="true" hidden="false" outlineLevel="0" max="39" min="39" style="3" width="7.57"/>
    <col collapsed="false" customWidth="true" hidden="false" outlineLevel="0" max="40" min="40" style="3" width="7.29"/>
    <col collapsed="false" customWidth="true" hidden="false" outlineLevel="0" max="41" min="41" style="3" width="7.15"/>
    <col collapsed="false" customWidth="true" hidden="false" outlineLevel="0" max="42" min="42" style="3" width="7.71"/>
    <col collapsed="false" customWidth="true" hidden="false" outlineLevel="0" max="43" min="43" style="3" width="8.29"/>
    <col collapsed="false" customWidth="true" hidden="false" outlineLevel="0" max="44" min="44" style="3" width="3.86"/>
    <col collapsed="false" customWidth="true" hidden="false" outlineLevel="0" max="45" min="45" style="3" width="11.71"/>
    <col collapsed="false" customWidth="false" hidden="false" outlineLevel="0" max="46" min="46" style="3" width="12.29"/>
    <col collapsed="false" customWidth="true" hidden="false" outlineLevel="0" max="47" min="47" style="3" width="12.71"/>
    <col collapsed="false" customWidth="true" hidden="false" outlineLevel="0" max="48" min="48" style="3" width="11.71"/>
    <col collapsed="false" customWidth="true" hidden="false" outlineLevel="0" max="49" min="49" style="3" width="14.29"/>
    <col collapsed="false" customWidth="true" hidden="false" outlineLevel="0" max="51" min="50" style="3" width="14.14"/>
    <col collapsed="false" customWidth="true" hidden="false" outlineLevel="0" max="52" min="52" style="3" width="13.57"/>
    <col collapsed="false" customWidth="true" hidden="false" outlineLevel="0" max="53" min="53" style="3" width="14"/>
    <col collapsed="false" customWidth="true" hidden="false" outlineLevel="0" max="54" min="54" style="3" width="14.14"/>
    <col collapsed="false" customWidth="false" hidden="false" outlineLevel="0" max="16384" min="55" style="3" width="12.29"/>
  </cols>
  <sheetData>
    <row r="1" customFormat="false" ht="15.75" hidden="false" customHeight="true" outlineLevel="0" collapsed="false">
      <c r="A1" s="3" t="s">
        <v>1</v>
      </c>
      <c r="F1" s="3" t="s">
        <v>2</v>
      </c>
      <c r="AC1" s="6"/>
      <c r="AD1" s="7" t="s">
        <v>3</v>
      </c>
      <c r="AE1" s="8" t="s">
        <v>4</v>
      </c>
      <c r="AF1" s="8" t="s">
        <v>5</v>
      </c>
      <c r="AG1" s="8" t="s">
        <v>6</v>
      </c>
      <c r="AH1" s="8" t="s">
        <v>7</v>
      </c>
      <c r="AI1" s="8" t="s">
        <v>8</v>
      </c>
      <c r="AJ1" s="8" t="s">
        <v>9</v>
      </c>
      <c r="AK1" s="8" t="s">
        <v>10</v>
      </c>
      <c r="AL1" s="8" t="s">
        <v>11</v>
      </c>
      <c r="AM1" s="8" t="s">
        <v>12</v>
      </c>
      <c r="AN1" s="8" t="s">
        <v>13</v>
      </c>
      <c r="AO1" s="8" t="s">
        <v>14</v>
      </c>
      <c r="AP1" s="8" t="s">
        <v>15</v>
      </c>
      <c r="AQ1" s="8" t="s">
        <v>16</v>
      </c>
      <c r="AR1" s="9"/>
      <c r="AS1" s="9"/>
    </row>
    <row r="2" customFormat="false" ht="15" hidden="false" customHeight="false" outlineLevel="0" collapsed="false">
      <c r="A2" s="10" t="s">
        <v>17</v>
      </c>
      <c r="B2" s="10" t="s">
        <v>3</v>
      </c>
      <c r="C2" s="10"/>
      <c r="D2" s="10" t="s">
        <v>18</v>
      </c>
      <c r="E2" s="10"/>
      <c r="F2" s="10"/>
      <c r="G2" s="11"/>
      <c r="H2" s="11"/>
      <c r="J2" s="3" t="s">
        <v>19</v>
      </c>
      <c r="K2" s="12" t="s">
        <v>20</v>
      </c>
      <c r="L2" s="13"/>
      <c r="M2" s="3" t="s">
        <v>21</v>
      </c>
      <c r="P2" s="3" t="s">
        <v>4</v>
      </c>
      <c r="Q2" s="3" t="s">
        <v>5</v>
      </c>
      <c r="R2" s="3" t="s">
        <v>6</v>
      </c>
      <c r="S2" s="3" t="s">
        <v>7</v>
      </c>
      <c r="T2" s="3" t="s">
        <v>8</v>
      </c>
      <c r="U2" s="3" t="s">
        <v>9</v>
      </c>
      <c r="V2" s="3" t="s">
        <v>10</v>
      </c>
      <c r="W2" s="3" t="s">
        <v>11</v>
      </c>
      <c r="X2" s="3" t="s">
        <v>12</v>
      </c>
      <c r="Y2" s="3" t="s">
        <v>13</v>
      </c>
      <c r="Z2" s="3" t="s">
        <v>14</v>
      </c>
      <c r="AA2" s="3" t="s">
        <v>15</v>
      </c>
      <c r="AC2" s="6"/>
      <c r="AD2" s="14" t="n">
        <v>2006</v>
      </c>
      <c r="AE2" s="15" t="n">
        <f aca="false">P3/N3-1</f>
        <v>0.00399063647501996</v>
      </c>
      <c r="AF2" s="15" t="n">
        <f aca="false">Q3/P3-1</f>
        <v>0.00347917812828213</v>
      </c>
      <c r="AG2" s="15" t="n">
        <f aca="false">R3/Q3-1</f>
        <v>0.003946494416458</v>
      </c>
      <c r="AH2" s="15" t="n">
        <f aca="false">S3/R3-1</f>
        <v>0.00362498713743364</v>
      </c>
      <c r="AI2" s="15" t="n">
        <f aca="false">T3/S3-1</f>
        <v>0.00452206259297316</v>
      </c>
      <c r="AJ2" s="15" t="n">
        <f aca="false">U3/T3-1</f>
        <v>0.00411313355597143</v>
      </c>
      <c r="AK2" s="15" t="n">
        <f aca="false">V3/U3-1</f>
        <v>0.00429601677747016</v>
      </c>
      <c r="AL2" s="15" t="n">
        <f aca="false">W3/V3-1</f>
        <v>0.00444544277746517</v>
      </c>
      <c r="AM2" s="15" t="n">
        <f aca="false">X3/W3-1</f>
        <v>0.00421009273164552</v>
      </c>
      <c r="AN2" s="15" t="n">
        <f aca="false">Y3/X3-1</f>
        <v>0.00458589621263061</v>
      </c>
      <c r="AO2" s="15" t="n">
        <f aca="false">Z3/Y3-1</f>
        <v>0.00438008520093725</v>
      </c>
      <c r="AP2" s="15" t="n">
        <f aca="false">AA3/Z3-1</f>
        <v>0.00431649278854329</v>
      </c>
      <c r="AQ2" s="16" t="n">
        <f aca="false">AA3/N3-1</f>
        <v>0.0510675477534297</v>
      </c>
      <c r="AR2" s="9"/>
      <c r="AS2" s="9"/>
    </row>
    <row r="3" customFormat="false" ht="15" hidden="false" customHeight="false" outlineLevel="0" collapsed="false">
      <c r="A3" s="17" t="n">
        <v>38717</v>
      </c>
      <c r="B3" s="18" t="n">
        <v>10953.14</v>
      </c>
      <c r="D3" s="19"/>
      <c r="E3" s="19"/>
      <c r="F3" s="19"/>
      <c r="K3" s="12" t="s">
        <v>22</v>
      </c>
      <c r="L3" s="13"/>
      <c r="N3" s="18" t="n">
        <f aca="false">B3</f>
        <v>10953.14</v>
      </c>
      <c r="O3" s="3" t="n">
        <v>2006</v>
      </c>
      <c r="P3" s="20" t="n">
        <v>10996.85</v>
      </c>
      <c r="Q3" s="20" t="n">
        <v>11035.11</v>
      </c>
      <c r="R3" s="20" t="n">
        <v>11078.66</v>
      </c>
      <c r="S3" s="20" t="n">
        <v>11118.82</v>
      </c>
      <c r="T3" s="20" t="n">
        <v>11169.1</v>
      </c>
      <c r="U3" s="20" t="n">
        <v>11215.04</v>
      </c>
      <c r="V3" s="20" t="n">
        <v>11263.22</v>
      </c>
      <c r="W3" s="20" t="n">
        <v>11313.29</v>
      </c>
      <c r="X3" s="20" t="n">
        <v>11360.92</v>
      </c>
      <c r="Y3" s="20" t="n">
        <v>11413.02</v>
      </c>
      <c r="Z3" s="20" t="n">
        <v>11463.01</v>
      </c>
      <c r="AA3" s="20" t="n">
        <v>11512.49</v>
      </c>
      <c r="AC3" s="6"/>
      <c r="AD3" s="21" t="n">
        <v>2007</v>
      </c>
      <c r="AE3" s="22" t="n">
        <f aca="false">P4/AA3-1</f>
        <v>0.00475483583481928</v>
      </c>
      <c r="AF3" s="22" t="n">
        <f aca="false">Q4/P4-1</f>
        <v>0.00392920344801651</v>
      </c>
      <c r="AG3" s="22" t="n">
        <f aca="false">R4/Q4-1</f>
        <v>0.00420402525515207</v>
      </c>
      <c r="AH3" s="22" t="n">
        <f aca="false">S4/R4-1</f>
        <v>0.00438022552844841</v>
      </c>
      <c r="AI3" s="22" t="n">
        <f aca="false">T4/S4-1</f>
        <v>0.00437136822117767</v>
      </c>
      <c r="AJ3" s="22" t="n">
        <f aca="false">U4/T4-1</f>
        <v>0.00411857413178418</v>
      </c>
      <c r="AK3" s="22" t="n">
        <f aca="false">V4/U4-1</f>
        <v>0.00459693046952192</v>
      </c>
      <c r="AL3" s="22" t="n">
        <f aca="false">W4/V4-1</f>
        <v>0.00471494194174693</v>
      </c>
      <c r="AM3" s="22" t="n">
        <f aca="false">X4/W4-1</f>
        <v>0.00445628761801253</v>
      </c>
      <c r="AN3" s="22" t="n">
        <f aca="false">Y4/X4-1</f>
        <v>0.00528490824266981</v>
      </c>
      <c r="AO3" s="22" t="n">
        <f aca="false">Z4/Y4-1</f>
        <v>0.00481356270091138</v>
      </c>
      <c r="AP3" s="22" t="n">
        <f aca="false">AA4/Z4-1</f>
        <v>0.00460863778586984</v>
      </c>
      <c r="AQ3" s="23" t="n">
        <f aca="false">AA4/AA3-1</f>
        <v>0.0556013512281011</v>
      </c>
      <c r="AR3" s="9"/>
      <c r="AS3" s="9"/>
    </row>
    <row r="4" customFormat="false" ht="15" hidden="false" customHeight="false" outlineLevel="0" collapsed="false">
      <c r="A4" s="24" t="n">
        <v>38748</v>
      </c>
      <c r="B4" s="20" t="n">
        <v>10996.85</v>
      </c>
      <c r="C4" s="25" t="n">
        <f aca="false">(B4/B3-1)/(A4-A3)*30</f>
        <v>0.00386190626614835</v>
      </c>
      <c r="D4" s="19"/>
      <c r="E4" s="19"/>
      <c r="F4" s="19"/>
      <c r="K4" s="12" t="s">
        <v>23</v>
      </c>
      <c r="L4" s="13"/>
      <c r="O4" s="3" t="n">
        <v>2007</v>
      </c>
      <c r="P4" s="20" t="n">
        <v>11567.23</v>
      </c>
      <c r="Q4" s="20" t="n">
        <v>11612.68</v>
      </c>
      <c r="R4" s="20" t="n">
        <v>11661.5</v>
      </c>
      <c r="S4" s="20" t="n">
        <v>11712.58</v>
      </c>
      <c r="T4" s="20" t="n">
        <v>11763.78</v>
      </c>
      <c r="U4" s="20" t="n">
        <v>11812.23</v>
      </c>
      <c r="V4" s="20" t="n">
        <v>11866.53</v>
      </c>
      <c r="W4" s="20" t="n">
        <v>11922.48</v>
      </c>
      <c r="X4" s="20" t="n">
        <v>11975.61</v>
      </c>
      <c r="Y4" s="20" t="n">
        <v>12038.9</v>
      </c>
      <c r="Z4" s="20" t="n">
        <v>12096.85</v>
      </c>
      <c r="AA4" s="20" t="n">
        <v>12152.6</v>
      </c>
      <c r="AC4" s="6"/>
      <c r="AD4" s="14" t="n">
        <v>2008</v>
      </c>
      <c r="AE4" s="15" t="n">
        <f aca="false">P5/AA4-1</f>
        <v>0.00580451919753799</v>
      </c>
      <c r="AF4" s="15" t="n">
        <f aca="false">Q5/P5-1</f>
        <v>0.00505107525562165</v>
      </c>
      <c r="AG4" s="15" t="n">
        <f aca="false">R5/Q5-1</f>
        <v>0.00541885635024531</v>
      </c>
      <c r="AH4" s="15" t="n">
        <f aca="false">S5/R5-1</f>
        <v>0.00524068024401991</v>
      </c>
      <c r="AI4" s="15" t="n">
        <f aca="false">T5/S5-1</f>
        <v>0.00525926653769515</v>
      </c>
      <c r="AJ4" s="15" t="n">
        <f aca="false">U5/T5-1</f>
        <v>0.00566839829891963</v>
      </c>
      <c r="AK4" s="15" t="n">
        <f aca="false">V5/U5-1</f>
        <v>0.00610807800685609</v>
      </c>
      <c r="AL4" s="15" t="n">
        <f aca="false">W5/V5-1</f>
        <v>0.00599656343782917</v>
      </c>
      <c r="AM4" s="15" t="n">
        <f aca="false">X5/W5-1</f>
        <v>0.00726664216116491</v>
      </c>
      <c r="AN4" s="15" t="n">
        <f aca="false">Y5/X5-1</f>
        <v>0.00690945889450223</v>
      </c>
      <c r="AO4" s="15" t="n">
        <f aca="false">Z5/Y5-1</f>
        <v>0.00664008872077404</v>
      </c>
      <c r="AP4" s="15" t="n">
        <f aca="false">AA5/Z5-1</f>
        <v>0.00735490824482121</v>
      </c>
      <c r="AQ4" s="16" t="n">
        <f aca="false">AA5/AA4-1</f>
        <v>0.0751880256076889</v>
      </c>
      <c r="AR4" s="9"/>
      <c r="AS4" s="9"/>
    </row>
    <row r="5" customFormat="false" ht="15" hidden="false" customHeight="false" outlineLevel="0" collapsed="false">
      <c r="A5" s="17" t="n">
        <v>38776</v>
      </c>
      <c r="B5" s="20" t="n">
        <v>11035.11</v>
      </c>
      <c r="C5" s="25" t="n">
        <f aca="false">(B5/B4-1)/(A5-A4)*30</f>
        <v>0.00372769085173086</v>
      </c>
      <c r="D5" s="19"/>
      <c r="E5" s="19"/>
      <c r="F5" s="19"/>
      <c r="O5" s="3" t="n">
        <v>2008</v>
      </c>
      <c r="P5" s="20" t="n">
        <v>12223.14</v>
      </c>
      <c r="Q5" s="20" t="n">
        <v>12284.88</v>
      </c>
      <c r="R5" s="20" t="n">
        <v>12351.45</v>
      </c>
      <c r="S5" s="20" t="n">
        <v>12416.18</v>
      </c>
      <c r="T5" s="20" t="n">
        <v>12481.48</v>
      </c>
      <c r="U5" s="20" t="n">
        <v>12552.23</v>
      </c>
      <c r="V5" s="20" t="n">
        <v>12628.9</v>
      </c>
      <c r="W5" s="20" t="n">
        <v>12704.63</v>
      </c>
      <c r="X5" s="20" t="n">
        <v>12796.95</v>
      </c>
      <c r="Y5" s="20" t="n">
        <v>12885.37</v>
      </c>
      <c r="Z5" s="20" t="n">
        <v>12970.93</v>
      </c>
      <c r="AA5" s="20" t="n">
        <v>13066.33</v>
      </c>
      <c r="AC5" s="6"/>
      <c r="AD5" s="21" t="n">
        <v>2009</v>
      </c>
      <c r="AE5" s="22" t="n">
        <f aca="false">P6/AA5-1</f>
        <v>0.0064922591117782</v>
      </c>
      <c r="AF5" s="22" t="n">
        <f aca="false">Q6/P6-1</f>
        <v>0.00463305138101888</v>
      </c>
      <c r="AG5" s="22" t="n">
        <f aca="false">R6/Q6-1</f>
        <v>0.00295865377847115</v>
      </c>
      <c r="AH5" s="22" t="n">
        <f aca="false">S6/R6-1</f>
        <v>0.00161796911671264</v>
      </c>
      <c r="AI5" s="22" t="n">
        <f aca="false">T6/S6-1</f>
        <v>0.00108041969106321</v>
      </c>
      <c r="AJ5" s="22" t="n">
        <f aca="false">U6/T6-1</f>
        <v>0.000912172536080558</v>
      </c>
      <c r="AK5" s="22" t="n">
        <f aca="false">V6/U6-1</f>
        <v>0.000470709252068602</v>
      </c>
      <c r="AL5" s="22" t="n">
        <f aca="false">W6/V6-1</f>
        <v>0.000355496364617514</v>
      </c>
      <c r="AM5" s="22" t="n">
        <f aca="false">X6/W6-1</f>
        <v>0.000374152803103156</v>
      </c>
      <c r="AN5" s="22" t="n">
        <f aca="false">Y6/X6-1</f>
        <v>0.000352232999500712</v>
      </c>
      <c r="AO5" s="22" t="n">
        <f aca="false">Z6/Y6-1</f>
        <v>0.000358115098342715</v>
      </c>
      <c r="AP5" s="22" t="n">
        <f aca="false">AA6/Z6-1</f>
        <v>0.000374497823935061</v>
      </c>
      <c r="AQ5" s="23" t="n">
        <f aca="false">AA6/AA5-1</f>
        <v>0.0201410801655859</v>
      </c>
      <c r="AR5" s="9"/>
      <c r="AS5" s="9"/>
    </row>
    <row r="6" customFormat="false" ht="15" hidden="false" customHeight="false" outlineLevel="0" collapsed="false">
      <c r="A6" s="17" t="n">
        <v>38807</v>
      </c>
      <c r="B6" s="20" t="n">
        <v>11078.66</v>
      </c>
      <c r="C6" s="25" t="n">
        <f aca="false">(B6/B5-1)/(A6-A5)*30</f>
        <v>0.00381918814495936</v>
      </c>
      <c r="D6" s="19"/>
      <c r="E6" s="19"/>
      <c r="F6" s="19"/>
      <c r="O6" s="3" t="n">
        <v>2009</v>
      </c>
      <c r="P6" s="20" t="n">
        <v>13151.16</v>
      </c>
      <c r="Q6" s="20" t="n">
        <v>13212.09</v>
      </c>
      <c r="R6" s="20" t="n">
        <v>13251.18</v>
      </c>
      <c r="S6" s="20" t="n">
        <v>13272.62</v>
      </c>
      <c r="T6" s="20" t="n">
        <v>13286.96</v>
      </c>
      <c r="U6" s="20" t="n">
        <v>13299.08</v>
      </c>
      <c r="V6" s="20" t="n">
        <v>13305.34</v>
      </c>
      <c r="W6" s="20" t="n">
        <v>13310.07</v>
      </c>
      <c r="X6" s="20" t="n">
        <v>13315.05</v>
      </c>
      <c r="Y6" s="20" t="n">
        <v>13319.74</v>
      </c>
      <c r="Z6" s="20" t="n">
        <v>13324.51</v>
      </c>
      <c r="AA6" s="20" t="n">
        <v>13329.5</v>
      </c>
      <c r="AC6" s="6"/>
      <c r="AD6" s="14" t="n">
        <v>2010</v>
      </c>
      <c r="AE6" s="15" t="n">
        <f aca="false">P7/AA6-1</f>
        <v>0.0003563524513297</v>
      </c>
      <c r="AF6" s="15" t="n">
        <f aca="false">Q7/P7-1</f>
        <v>0.000320977932767086</v>
      </c>
      <c r="AG6" s="15" t="n">
        <f aca="false">R7/Q7-1</f>
        <v>0.000394346303528303</v>
      </c>
      <c r="AH6" s="15" t="n">
        <f aca="false">S7/R7-1</f>
        <v>0.000362715540337399</v>
      </c>
      <c r="AI6" s="15" t="n">
        <f aca="false">T7/S7-1</f>
        <v>0.000364831447122294</v>
      </c>
      <c r="AJ6" s="15" t="n">
        <f aca="false">U7/T7-1</f>
        <v>0.000554161830231825</v>
      </c>
      <c r="AK6" s="15" t="n">
        <f aca="false">V7/U7-1</f>
        <v>0.00097972441976224</v>
      </c>
      <c r="AL6" s="15" t="n">
        <f aca="false">W7/V7-1</f>
        <v>0.00158666187128897</v>
      </c>
      <c r="AM6" s="15" t="n">
        <f aca="false">X7/W7-1</f>
        <v>0.00183498429662565</v>
      </c>
      <c r="AN6" s="15" t="n">
        <f aca="false">Y7/X7-1</f>
        <v>0.00215353593461587</v>
      </c>
      <c r="AO6" s="15" t="n">
        <f aca="false">Z7/Y7-1</f>
        <v>0.00255266498075279</v>
      </c>
      <c r="AP6" s="15" t="n">
        <f aca="false">AA7/Z7-1</f>
        <v>0.00296001934284762</v>
      </c>
      <c r="AQ6" s="16" t="n">
        <f aca="false">AA7/AA6-1</f>
        <v>0.0145114220338347</v>
      </c>
      <c r="AR6" s="9"/>
      <c r="AS6" s="9"/>
    </row>
    <row r="7" customFormat="false" ht="15" hidden="false" customHeight="false" outlineLevel="0" collapsed="false">
      <c r="A7" s="17" t="n">
        <v>38835</v>
      </c>
      <c r="B7" s="20" t="n">
        <v>11118.82</v>
      </c>
      <c r="C7" s="25" t="n">
        <f aca="false">(B7/B6-1)/(A7-A6)*30</f>
        <v>0.00388391479010748</v>
      </c>
      <c r="D7" s="19"/>
      <c r="E7" s="19"/>
      <c r="F7" s="19"/>
      <c r="O7" s="3" t="n">
        <v>2010</v>
      </c>
      <c r="P7" s="20" t="n">
        <v>13334.25</v>
      </c>
      <c r="Q7" s="20" t="n">
        <v>13338.53</v>
      </c>
      <c r="R7" s="20" t="n">
        <v>13343.79</v>
      </c>
      <c r="S7" s="20" t="n">
        <v>13348.63</v>
      </c>
      <c r="T7" s="20" t="n">
        <v>13353.5</v>
      </c>
      <c r="U7" s="20" t="n">
        <v>13360.9</v>
      </c>
      <c r="V7" s="20" t="n">
        <v>13373.99</v>
      </c>
      <c r="W7" s="20" t="n">
        <v>13395.21</v>
      </c>
      <c r="X7" s="20" t="n">
        <v>13419.79</v>
      </c>
      <c r="Y7" s="20" t="n">
        <v>13448.69</v>
      </c>
      <c r="Z7" s="20" t="n">
        <v>13483.02</v>
      </c>
      <c r="AA7" s="20" t="n">
        <v>13522.93</v>
      </c>
      <c r="AC7" s="6"/>
      <c r="AD7" s="21" t="n">
        <v>2011</v>
      </c>
      <c r="AE7" s="22" t="n">
        <f aca="false">P8/AA7-1</f>
        <v>0.00252829823122647</v>
      </c>
      <c r="AF7" s="22" t="n">
        <f aca="false">Q8/P8-1</f>
        <v>0.00259494641929847</v>
      </c>
      <c r="AG7" s="22" t="n">
        <f aca="false">R8/Q8-1</f>
        <v>0.0032084341870029</v>
      </c>
      <c r="AH7" s="22" t="n">
        <f aca="false">S8/R8-1</f>
        <v>0.00344898140278138</v>
      </c>
      <c r="AI7" s="22" t="n">
        <f aca="false">T8/S8-1</f>
        <v>0.00424762514488841</v>
      </c>
      <c r="AJ7" s="22" t="n">
        <f aca="false">U8/T8-1</f>
        <v>0.00427041290846564</v>
      </c>
      <c r="AK7" s="22" t="n">
        <f aca="false">V8/U8-1</f>
        <v>0.00423196379062207</v>
      </c>
      <c r="AL7" s="22" t="n">
        <f aca="false">W8/V8-1</f>
        <v>0.0048267660739465</v>
      </c>
      <c r="AM7" s="22" t="n">
        <f aca="false">X8/W8-1</f>
        <v>0.00437629218752123</v>
      </c>
      <c r="AN7" s="22" t="n">
        <f aca="false">Y8/X8-1</f>
        <v>0.00409267287145609</v>
      </c>
      <c r="AO7" s="22" t="n">
        <f aca="false">Z8/Y8-1</f>
        <v>0.0048179867708309</v>
      </c>
      <c r="AP7" s="22" t="n">
        <f aca="false">AA8/Z8-1</f>
        <v>0.0043767676975266</v>
      </c>
      <c r="AQ7" s="23" t="n">
        <f aca="false">AA8/AA7-1</f>
        <v>0.0480443217557141</v>
      </c>
      <c r="AR7" s="9"/>
      <c r="AS7" s="9"/>
    </row>
    <row r="8" customFormat="false" ht="15" hidden="false" customHeight="false" outlineLevel="0" collapsed="false">
      <c r="A8" s="17" t="n">
        <v>38868</v>
      </c>
      <c r="B8" s="20" t="n">
        <v>11169.1</v>
      </c>
      <c r="C8" s="25" t="n">
        <f aca="false">(B8/B7-1)/(A8-A7)*30</f>
        <v>0.00411096599361197</v>
      </c>
      <c r="D8" s="19"/>
      <c r="E8" s="19"/>
      <c r="F8" s="19"/>
      <c r="O8" s="3" t="n">
        <v>2011</v>
      </c>
      <c r="P8" s="20" t="n">
        <v>13557.12</v>
      </c>
      <c r="Q8" s="20" t="n">
        <v>13592.3</v>
      </c>
      <c r="R8" s="20" t="n">
        <v>13635.91</v>
      </c>
      <c r="S8" s="20" t="n">
        <v>13682.94</v>
      </c>
      <c r="T8" s="20" t="n">
        <v>13741.06</v>
      </c>
      <c r="U8" s="20" t="n">
        <v>13799.74</v>
      </c>
      <c r="V8" s="20" t="n">
        <v>13858.14</v>
      </c>
      <c r="W8" s="20" t="n">
        <v>13925.03</v>
      </c>
      <c r="X8" s="20" t="n">
        <v>13985.97</v>
      </c>
      <c r="Y8" s="20" t="n">
        <v>14043.21</v>
      </c>
      <c r="Z8" s="20" t="n">
        <v>14110.87</v>
      </c>
      <c r="AA8" s="20" t="n">
        <v>14172.63</v>
      </c>
      <c r="AC8" s="6"/>
      <c r="AD8" s="14" t="n">
        <v>2012</v>
      </c>
      <c r="AE8" s="15" t="n">
        <f aca="false">P9/AA8-1</f>
        <v>0.004498106561732</v>
      </c>
      <c r="AF8" s="15" t="n">
        <f aca="false">Q9/P9-1</f>
        <v>0.00402419716248104</v>
      </c>
      <c r="AG8" s="15" t="n">
        <f aca="false">R9/Q9-1</f>
        <v>0.00417457517908271</v>
      </c>
      <c r="AH8" s="15" t="n">
        <f aca="false">S9/R9-1</f>
        <v>0.00431049497886904</v>
      </c>
      <c r="AI8" s="15" t="n">
        <f aca="false">T9/S9-1</f>
        <v>0.00432459880917446</v>
      </c>
      <c r="AJ8" s="15" t="n">
        <f aca="false">U9/T9-1</f>
        <v>0.00404626473401915</v>
      </c>
      <c r="AK8" s="15" t="n">
        <f aca="false">V9/U9-1</f>
        <v>0.00443584365302185</v>
      </c>
      <c r="AL8" s="15" t="n">
        <f aca="false">W9/V9-1</f>
        <v>0.00429571093262537</v>
      </c>
      <c r="AM8" s="15" t="n">
        <f aca="false">X9/W9-1</f>
        <v>0.00391111705185665</v>
      </c>
      <c r="AN8" s="15" t="n">
        <f aca="false">Y9/X9-1</f>
        <v>0.00461120002608562</v>
      </c>
      <c r="AO8" s="15" t="n">
        <f aca="false">Z9/Y9-1</f>
        <v>0.00418025825367718</v>
      </c>
      <c r="AP8" s="15" t="n">
        <f aca="false">AA9/Z9-1</f>
        <v>0.00389350306187453</v>
      </c>
      <c r="AQ8" s="16" t="n">
        <f aca="false">AA9/AA8-1</f>
        <v>0.051900741076286</v>
      </c>
      <c r="AR8" s="9"/>
      <c r="AS8" s="9"/>
    </row>
    <row r="9" customFormat="false" ht="15" hidden="false" customHeight="false" outlineLevel="0" collapsed="false">
      <c r="A9" s="17" t="n">
        <v>38898</v>
      </c>
      <c r="B9" s="20" t="n">
        <v>11215.04</v>
      </c>
      <c r="C9" s="25" t="n">
        <f aca="false">(B9/B8-1)/(A9-A8)*30</f>
        <v>0.00411313355597143</v>
      </c>
      <c r="D9" s="19"/>
      <c r="E9" s="19"/>
      <c r="F9" s="19"/>
      <c r="O9" s="3" t="n">
        <v>2012</v>
      </c>
      <c r="P9" s="20" t="n">
        <v>14236.38</v>
      </c>
      <c r="Q9" s="20" t="n">
        <v>14293.67</v>
      </c>
      <c r="R9" s="20" t="n">
        <v>14353.34</v>
      </c>
      <c r="S9" s="20" t="n">
        <v>14415.21</v>
      </c>
      <c r="T9" s="20" t="n">
        <v>14477.55</v>
      </c>
      <c r="U9" s="20" t="n">
        <v>14536.13</v>
      </c>
      <c r="V9" s="20" t="n">
        <v>14600.61</v>
      </c>
      <c r="W9" s="20" t="n">
        <v>14663.33</v>
      </c>
      <c r="X9" s="20" t="n">
        <v>14720.68</v>
      </c>
      <c r="Y9" s="20" t="n">
        <v>14788.56</v>
      </c>
      <c r="Z9" s="20" t="n">
        <v>14850.38</v>
      </c>
      <c r="AA9" s="20" t="n">
        <v>14908.2</v>
      </c>
      <c r="AC9" s="6"/>
      <c r="AD9" s="21" t="n">
        <v>2013</v>
      </c>
      <c r="AE9" s="22" t="n">
        <f aca="false">P10/AA9-1</f>
        <v>0.00472089185817204</v>
      </c>
      <c r="AF9" s="22" t="n">
        <f aca="false">Q10/P10-1</f>
        <v>0.0038962304837975</v>
      </c>
      <c r="AG9" s="22" t="n">
        <f aca="false">R10/Q10-1</f>
        <v>0.0038950743967856</v>
      </c>
      <c r="AH9" s="22" t="n">
        <f aca="false">S10/R10-1</f>
        <v>0.00458811924870384</v>
      </c>
      <c r="AI9" s="22" t="n">
        <f aca="false">T10/S10-1</f>
        <v>0.00432647511304163</v>
      </c>
      <c r="AJ9" s="22" t="n">
        <f aca="false">U10/T10-1</f>
        <v>0.00389747333947033</v>
      </c>
      <c r="AK9" s="22" t="n">
        <f aca="false">V10/U10-1</f>
        <v>0.00461289727621272</v>
      </c>
      <c r="AL9" s="22" t="n">
        <f aca="false">W10/V10-1</f>
        <v>0.00417700990933101</v>
      </c>
      <c r="AM9" s="22" t="n">
        <f aca="false">X10/W10-1</f>
        <v>0.00431523239432496</v>
      </c>
      <c r="AN9" s="22" t="n">
        <f aca="false">Y10/X10-1</f>
        <v>0.00409076501889172</v>
      </c>
      <c r="AO9" s="22" t="n">
        <f aca="false">Z10/Y10-1</f>
        <v>0.00390244278774565</v>
      </c>
      <c r="AP9" s="22" t="n">
        <f aca="false">AA10/Z10-1</f>
        <v>0.003882149668333</v>
      </c>
      <c r="AQ9" s="23" t="n">
        <f aca="false">AA10/AA9-1</f>
        <v>0.0514803933405776</v>
      </c>
      <c r="AR9" s="9"/>
      <c r="AS9" s="9"/>
    </row>
    <row r="10" customFormat="false" ht="15" hidden="false" customHeight="false" outlineLevel="0" collapsed="false">
      <c r="A10" s="17" t="n">
        <v>38929</v>
      </c>
      <c r="B10" s="20" t="n">
        <v>11263.22</v>
      </c>
      <c r="C10" s="25" t="n">
        <f aca="false">(B10/B9-1)/(A10-A9)*30</f>
        <v>0.00415743559110015</v>
      </c>
      <c r="D10" s="19"/>
      <c r="E10" s="19"/>
      <c r="F10" s="19"/>
      <c r="O10" s="3" t="n">
        <v>2013</v>
      </c>
      <c r="P10" s="20" t="n">
        <v>14978.58</v>
      </c>
      <c r="Q10" s="20" t="n">
        <v>15036.94</v>
      </c>
      <c r="R10" s="20" t="n">
        <v>15095.51</v>
      </c>
      <c r="S10" s="20" t="n">
        <v>15164.77</v>
      </c>
      <c r="T10" s="20" t="n">
        <v>15230.38</v>
      </c>
      <c r="U10" s="20" t="n">
        <v>15289.74</v>
      </c>
      <c r="V10" s="20" t="n">
        <v>15360.27</v>
      </c>
      <c r="W10" s="20" t="n">
        <v>15424.43</v>
      </c>
      <c r="X10" s="20" t="n">
        <v>15490.99</v>
      </c>
      <c r="Y10" s="20" t="n">
        <v>15554.36</v>
      </c>
      <c r="Z10" s="20" t="n">
        <v>15615.06</v>
      </c>
      <c r="AA10" s="20" t="n">
        <v>15675.68</v>
      </c>
      <c r="AC10" s="6"/>
      <c r="AD10" s="14" t="n">
        <v>2014</v>
      </c>
      <c r="AE10" s="15" t="n">
        <f aca="false">P11/AA10-1</f>
        <v>0.00400429199881613</v>
      </c>
      <c r="AF10" s="15" t="n">
        <f aca="false">Q11/P11-1</f>
        <v>0.00343235833261835</v>
      </c>
      <c r="AG10" s="15" t="n">
        <f aca="false">R11/Q11-1</f>
        <v>0.00354979303427538</v>
      </c>
      <c r="AH10" s="15" t="n">
        <f aca="false">S11/R11-1</f>
        <v>0.00333784899924461</v>
      </c>
      <c r="AI10" s="15" t="n">
        <f aca="false">T11/S11-1</f>
        <v>0.0033374356897462</v>
      </c>
      <c r="AJ10" s="15" t="n">
        <f aca="false">U11/T11-1</f>
        <v>0.00344918361590785</v>
      </c>
      <c r="AK10" s="15" t="n">
        <f aca="false">V11/U11-1</f>
        <v>0.00335112898379908</v>
      </c>
      <c r="AL10" s="15" t="n">
        <f aca="false">W11/V11-1</f>
        <v>0.00294898021437851</v>
      </c>
      <c r="AM10" s="15" t="n">
        <f aca="false">X11/W11-1</f>
        <v>0.00296824130771456</v>
      </c>
      <c r="AN10" s="15" t="n">
        <f aca="false">Y11/X11-1</f>
        <v>0.00262959692097664</v>
      </c>
      <c r="AO10" s="15" t="n">
        <f aca="false">Z11/Y11-1</f>
        <v>0.0024227108931254</v>
      </c>
      <c r="AP10" s="15" t="n">
        <f aca="false">AA11/Z11-1</f>
        <v>0.00267116417314894</v>
      </c>
      <c r="AQ10" s="16" t="n">
        <f aca="false">AA11/AA10-1</f>
        <v>0.0387740755105999</v>
      </c>
      <c r="AR10" s="9"/>
      <c r="AS10" s="9"/>
    </row>
    <row r="11" customFormat="false" ht="15" hidden="false" customHeight="false" outlineLevel="0" collapsed="false">
      <c r="A11" s="17" t="n">
        <v>38960</v>
      </c>
      <c r="B11" s="20" t="n">
        <v>11313.29</v>
      </c>
      <c r="C11" s="25" t="n">
        <f aca="false">(B11/B10-1)/(A11-A10)*30</f>
        <v>0.00430204139754694</v>
      </c>
      <c r="D11" s="19"/>
      <c r="E11" s="19"/>
      <c r="F11" s="19"/>
      <c r="O11" s="3" t="n">
        <v>2014</v>
      </c>
      <c r="P11" s="20" t="n">
        <v>15738.45</v>
      </c>
      <c r="Q11" s="20" t="n">
        <v>15792.47</v>
      </c>
      <c r="R11" s="20" t="n">
        <v>15848.53</v>
      </c>
      <c r="S11" s="20" t="n">
        <v>15901.43</v>
      </c>
      <c r="T11" s="20" t="n">
        <v>15954.5</v>
      </c>
      <c r="U11" s="20" t="n">
        <v>16009.53</v>
      </c>
      <c r="V11" s="20" t="n">
        <v>16063.18</v>
      </c>
      <c r="W11" s="20" t="n">
        <v>16110.55</v>
      </c>
      <c r="X11" s="20" t="n">
        <v>16158.37</v>
      </c>
      <c r="Y11" s="20" t="n">
        <v>16200.86</v>
      </c>
      <c r="Z11" s="20" t="n">
        <v>16240.11</v>
      </c>
      <c r="AA11" s="20" t="n">
        <v>16283.49</v>
      </c>
      <c r="AC11" s="6"/>
      <c r="AD11" s="21" t="n">
        <v>2015</v>
      </c>
      <c r="AE11" s="22" t="n">
        <f aca="false">P12/AA11-1</f>
        <v>0.00258912554986668</v>
      </c>
      <c r="AF11" s="22" t="n">
        <f aca="false">Q12/P12-1</f>
        <v>0.00233497594276488</v>
      </c>
      <c r="AG11" s="22" t="n">
        <f aca="false">R12/Q12-1</f>
        <v>0.00267175595843749</v>
      </c>
      <c r="AH11" s="22" t="n">
        <f aca="false">S12/R12-1</f>
        <v>0.00250495353036917</v>
      </c>
      <c r="AI11" s="22" t="n">
        <f aca="false">T12/S12-1</f>
        <v>0.00241844437729921</v>
      </c>
      <c r="AJ11" s="22" t="n">
        <f aca="false">U12/T12-1</f>
        <v>0.00266915407647939</v>
      </c>
      <c r="AK11" s="22" t="n">
        <f aca="false">V12/U12-1</f>
        <v>0.00258462483925492</v>
      </c>
      <c r="AL11" s="22" t="n">
        <f aca="false">W12/V12-1</f>
        <v>0.00258399491768069</v>
      </c>
      <c r="AM11" s="22" t="n">
        <f aca="false">X12/W12-1</f>
        <v>0.00250572573977292</v>
      </c>
      <c r="AN11" s="22" t="n">
        <f aca="false">Y12/X12-1</f>
        <v>0.00260270667087625</v>
      </c>
      <c r="AO11" s="22" t="n">
        <f aca="false">Z12/Y12-1</f>
        <v>0.00280250063761245</v>
      </c>
      <c r="AP11" s="22" t="n">
        <f aca="false">AA12/Z12-1</f>
        <v>0.00279228048179836</v>
      </c>
      <c r="AQ11" s="23" t="n">
        <f aca="false">AA12/AA11-1</f>
        <v>0.0315061451814078</v>
      </c>
      <c r="AR11" s="9"/>
      <c r="AS11" s="9"/>
    </row>
    <row r="12" customFormat="false" ht="15" hidden="false" customHeight="false" outlineLevel="0" collapsed="false">
      <c r="A12" s="17" t="n">
        <v>38989</v>
      </c>
      <c r="B12" s="20" t="n">
        <v>11360.92</v>
      </c>
      <c r="C12" s="25" t="n">
        <f aca="false">(B12/B11-1)/(A12-A11)*30</f>
        <v>0.00435526834308157</v>
      </c>
      <c r="D12" s="19"/>
      <c r="E12" s="19"/>
      <c r="F12" s="19"/>
      <c r="O12" s="3" t="n">
        <v>2015</v>
      </c>
      <c r="P12" s="20" t="n">
        <v>16325.65</v>
      </c>
      <c r="Q12" s="20" t="n">
        <v>16363.77</v>
      </c>
      <c r="R12" s="20" t="n">
        <v>16407.49</v>
      </c>
      <c r="S12" s="20" t="n">
        <v>16448.59</v>
      </c>
      <c r="T12" s="20" t="n">
        <v>16488.37</v>
      </c>
      <c r="U12" s="20" t="n">
        <v>16532.38</v>
      </c>
      <c r="V12" s="20" t="n">
        <v>16575.11</v>
      </c>
      <c r="W12" s="20" t="n">
        <v>16617.94</v>
      </c>
      <c r="X12" s="20" t="n">
        <v>16659.58</v>
      </c>
      <c r="Y12" s="20" t="n">
        <v>16702.94</v>
      </c>
      <c r="Z12" s="20" t="n">
        <v>16749.75</v>
      </c>
      <c r="AA12" s="20" t="n">
        <v>16796.52</v>
      </c>
      <c r="AC12" s="6"/>
      <c r="AD12" s="14" t="n">
        <v>2016</v>
      </c>
      <c r="AE12" s="15" t="n">
        <f aca="false">P13/AA12-1</f>
        <v>0.00292143848844884</v>
      </c>
      <c r="AF12" s="15" t="n">
        <f aca="false">Q13/P13-1</f>
        <v>0.00301800055682233</v>
      </c>
      <c r="AG12" s="15" t="n">
        <f aca="false">R13/Q13-1</f>
        <v>0.00301838909166019</v>
      </c>
      <c r="AH12" s="15" t="n">
        <f aca="false">S13/R13-1</f>
        <v>0.00282284688592904</v>
      </c>
      <c r="AI12" s="15" t="n">
        <f aca="false">T13/S13-1</f>
        <v>0.00311616114365942</v>
      </c>
      <c r="AJ12" s="15" t="n">
        <f aca="false">U13/T13-1</f>
        <v>0.00292053779189994</v>
      </c>
      <c r="AK12" s="15" t="n">
        <f aca="false">V13/U13-1</f>
        <v>0.00301789329992586</v>
      </c>
      <c r="AL12" s="15" t="n">
        <f aca="false">W13/V13-1</f>
        <v>0.00301814267604783</v>
      </c>
      <c r="AM12" s="15" t="n">
        <f aca="false">X13/W13-1</f>
        <v>0.00292476533859487</v>
      </c>
      <c r="AN12" s="15" t="n">
        <f aca="false">Y13/X13-1</f>
        <v>0.00301361779628562</v>
      </c>
      <c r="AO12" s="15" t="n">
        <f aca="false">Z13/Y13-1</f>
        <v>0.00292018807560002</v>
      </c>
      <c r="AP12" s="15" t="n">
        <f aca="false">AA13/Z13-1</f>
        <v>0.00304018448549392</v>
      </c>
      <c r="AQ12" s="16" t="n">
        <f aca="false">AA13/AA12-1</f>
        <v>0.0363438378902297</v>
      </c>
      <c r="AR12" s="26"/>
      <c r="AS12" s="9"/>
    </row>
    <row r="13" customFormat="false" ht="15" hidden="false" customHeight="false" outlineLevel="0" collapsed="false">
      <c r="A13" s="17" t="n">
        <v>39021</v>
      </c>
      <c r="B13" s="20" t="n">
        <v>11413.02</v>
      </c>
      <c r="C13" s="25" t="n">
        <f aca="false">(B13/B12-1)/(A13-A12)*30</f>
        <v>0.0042992776993412</v>
      </c>
      <c r="D13" s="19"/>
      <c r="E13" s="19"/>
      <c r="F13" s="19"/>
      <c r="O13" s="3" t="n">
        <v>2016</v>
      </c>
      <c r="P13" s="20" t="n">
        <v>16845.59</v>
      </c>
      <c r="Q13" s="20" t="n">
        <v>16896.43</v>
      </c>
      <c r="R13" s="20" t="n">
        <v>16947.43</v>
      </c>
      <c r="S13" s="20" t="n">
        <v>16995.27</v>
      </c>
      <c r="T13" s="20" t="n">
        <v>17048.23</v>
      </c>
      <c r="U13" s="20" t="n">
        <v>17098.02</v>
      </c>
      <c r="V13" s="20" t="n">
        <v>17149.62</v>
      </c>
      <c r="W13" s="20" t="n">
        <v>17201.38</v>
      </c>
      <c r="X13" s="20" t="n">
        <v>17251.69</v>
      </c>
      <c r="Y13" s="20" t="n">
        <f aca="false">+B135</f>
        <v>17303.68</v>
      </c>
      <c r="Z13" s="20" t="n">
        <f aca="false">+B136</f>
        <v>17354.21</v>
      </c>
      <c r="AA13" s="20" t="n">
        <f aca="false">+B137</f>
        <v>17406.97</v>
      </c>
      <c r="AC13" s="6"/>
      <c r="AD13" s="21" t="n">
        <v>2017</v>
      </c>
      <c r="AE13" s="22" t="n">
        <f aca="false">P14/AA13-1</f>
        <v>0.00289654086839919</v>
      </c>
      <c r="AF13" s="22" t="n">
        <f aca="false">+Q14/P14-1</f>
        <v>0.00250151941384136</v>
      </c>
      <c r="AG13" s="22" t="n">
        <f aca="false">+R14/Q14-1</f>
        <v>0.00270212204289333</v>
      </c>
      <c r="AH13" s="22" t="n">
        <f aca="false">+S14/R14-1</f>
        <v>0.00225491285505464</v>
      </c>
      <c r="AI13" s="22" t="n">
        <f aca="false">+T14/S14-1</f>
        <v>0.00243746844425052</v>
      </c>
      <c r="AJ13" s="22" t="n">
        <f aca="false">+U14/T14-1</f>
        <v>0.00208725757609263</v>
      </c>
      <c r="AK13" s="22" t="n">
        <f aca="false">+V14/U14-1</f>
        <v>0.00215649106641025</v>
      </c>
      <c r="AL13" s="22" t="n">
        <f aca="false">+W14/V14-1</f>
        <v>0.00215410978052844</v>
      </c>
      <c r="AM13" s="22" t="n">
        <f aca="false">+X14/W14-1</f>
        <v>0.00208250980763447</v>
      </c>
      <c r="AN13" s="22" t="n">
        <f aca="false">+Y14/X14-1</f>
        <v>0.00215785226135479</v>
      </c>
      <c r="AO13" s="22" t="n">
        <f aca="false">+Z14/Y14-1</f>
        <v>0.00208595808442036</v>
      </c>
      <c r="AP13" s="22" t="n">
        <f aca="false">+AA14/Z14-1</f>
        <v>0.000902761599254509</v>
      </c>
      <c r="AQ13" s="23" t="n">
        <f aca="false">AA14/AA13-1</f>
        <v>0.0267404378820666</v>
      </c>
      <c r="AR13" s="26"/>
      <c r="AS13" s="9"/>
    </row>
    <row r="14" customFormat="false" ht="15" hidden="false" customHeight="false" outlineLevel="0" collapsed="false">
      <c r="A14" s="17" t="n">
        <v>39051</v>
      </c>
      <c r="B14" s="20" t="n">
        <v>11463.01</v>
      </c>
      <c r="C14" s="25" t="n">
        <f aca="false">(B14/B13-1)/(A14-A13)*30</f>
        <v>0.00438008520093725</v>
      </c>
      <c r="D14" s="19"/>
      <c r="E14" s="19"/>
      <c r="F14" s="19"/>
      <c r="O14" s="3" t="n">
        <v>2017</v>
      </c>
      <c r="P14" s="20" t="n">
        <f aca="false">+B138</f>
        <v>17457.39</v>
      </c>
      <c r="Q14" s="20" t="n">
        <f aca="false">+B139</f>
        <v>17501.06</v>
      </c>
      <c r="R14" s="20" t="n">
        <f aca="false">+B140</f>
        <v>17548.35</v>
      </c>
      <c r="S14" s="20" t="n">
        <f aca="false">+B141</f>
        <v>17587.92</v>
      </c>
      <c r="T14" s="20" t="n">
        <f aca="false">+B142</f>
        <v>17630.79</v>
      </c>
      <c r="U14" s="20" t="n">
        <f aca="false">+$B143</f>
        <v>17667.59</v>
      </c>
      <c r="V14" s="20" t="n">
        <f aca="false">+$B144</f>
        <v>17705.69</v>
      </c>
      <c r="W14" s="20" t="n">
        <f aca="false">+$B145</f>
        <v>17743.83</v>
      </c>
      <c r="X14" s="20" t="n">
        <f aca="false">+$B146</f>
        <v>17780.7817</v>
      </c>
      <c r="Y14" s="20" t="n">
        <f aca="false">+$B147</f>
        <v>17819.15</v>
      </c>
      <c r="Z14" s="20" t="n">
        <f aca="false">+$B148</f>
        <v>17856.32</v>
      </c>
      <c r="AA14" s="20" t="n">
        <f aca="false">+$B149</f>
        <v>17872.44</v>
      </c>
      <c r="AC14" s="6"/>
      <c r="AD14" s="14" t="n">
        <v>2018</v>
      </c>
      <c r="AE14" s="15" t="n">
        <f aca="false">P15/AA14-1</f>
        <v>0.00340412389130984</v>
      </c>
      <c r="AF14" s="15" t="n">
        <f aca="false">+Q15/P15-1</f>
        <v>0.00194219908460713</v>
      </c>
      <c r="AG14" s="15" t="n">
        <f aca="false">+R15/Q15-1</f>
        <v>0.00215492892685987</v>
      </c>
      <c r="AH14" s="15" t="n">
        <f aca="false">+S15/R15-1</f>
        <v>0.00207810036525014</v>
      </c>
      <c r="AI14" s="15" t="n">
        <f aca="false">+T15/S15-1</f>
        <v>0.00214029399947346</v>
      </c>
      <c r="AJ14" s="15" t="n">
        <f aca="false">+U15/T15-1</f>
        <v>0.00208774934509859</v>
      </c>
      <c r="AK14" s="27" t="n">
        <f aca="false">+V15/U15-1</f>
        <v>0.00215431340727945</v>
      </c>
      <c r="AL14" s="27" t="n">
        <f aca="false">+W15/V15-1</f>
        <v>0.00214541461679341</v>
      </c>
      <c r="AM14" s="27" t="n">
        <f aca="false">+X15/W15-1</f>
        <v>0.00204850697470471</v>
      </c>
      <c r="AN14" s="15" t="n">
        <f aca="false">+Y15/X15-1</f>
        <v>0.00227573083862054</v>
      </c>
      <c r="AO14" s="15" t="n">
        <f aca="false">+Z15/Y15-1</f>
        <v>0.00229299572149211</v>
      </c>
      <c r="AP14" s="15" t="n">
        <f aca="false">+AA15/Z15-1</f>
        <v>0.00236766559439183</v>
      </c>
      <c r="AQ14" s="16" t="n">
        <f aca="false">+AA15/AA14-1</f>
        <v>0.0274301662224075</v>
      </c>
      <c r="AR14" s="26"/>
      <c r="AS14" s="9"/>
    </row>
    <row r="15" customFormat="false" ht="15" hidden="false" customHeight="false" outlineLevel="0" collapsed="false">
      <c r="A15" s="17" t="n">
        <v>39080</v>
      </c>
      <c r="B15" s="20" t="n">
        <v>11512.49</v>
      </c>
      <c r="C15" s="25" t="n">
        <f aca="false">(B15/B14-1)/(A15-A14)*30</f>
        <v>0.00446533736745858</v>
      </c>
      <c r="D15" s="19"/>
      <c r="E15" s="19"/>
      <c r="F15" s="19"/>
      <c r="O15" s="3" t="n">
        <v>2018</v>
      </c>
      <c r="P15" s="3" t="n">
        <f aca="false">+B150</f>
        <v>17933.28</v>
      </c>
      <c r="Q15" s="3" t="n">
        <f aca="false">+B151</f>
        <v>17968.11</v>
      </c>
      <c r="R15" s="3" t="n">
        <f aca="false">+B152</f>
        <v>18006.83</v>
      </c>
      <c r="S15" s="3" t="n">
        <f aca="false">+B153</f>
        <v>18044.25</v>
      </c>
      <c r="T15" s="18" t="n">
        <f aca="false">+B154</f>
        <v>18082.87</v>
      </c>
      <c r="U15" s="19" t="n">
        <f aca="false">+B155</f>
        <v>18120.6225</v>
      </c>
      <c r="V15" s="18" t="n">
        <f aca="false">+B156</f>
        <v>18159.66</v>
      </c>
      <c r="W15" s="18" t="n">
        <f aca="false">+B157</f>
        <v>18198.62</v>
      </c>
      <c r="X15" s="18" t="n">
        <f aca="false">+B158</f>
        <v>18235.9</v>
      </c>
      <c r="Y15" s="28" t="n">
        <f aca="false">+B159</f>
        <v>18277.4</v>
      </c>
      <c r="Z15" s="29" t="n">
        <f aca="false">+B160</f>
        <v>18319.31</v>
      </c>
      <c r="AA15" s="3" t="n">
        <f aca="false">+B161</f>
        <v>18362.684</v>
      </c>
      <c r="AC15" s="6"/>
      <c r="AD15" s="21" t="n">
        <v>2019</v>
      </c>
      <c r="AE15" s="22" t="n">
        <f aca="false">+P16/AA15-1</f>
        <v>0.00245094889178499</v>
      </c>
      <c r="AF15" s="22" t="n">
        <f aca="false">+Q16/P16-1</f>
        <v>0.00225286279810244</v>
      </c>
      <c r="AG15" s="22" t="n">
        <f aca="false">+R16/Q16-1</f>
        <v>0.00258331544634016</v>
      </c>
      <c r="AH15" s="22" t="n">
        <f aca="false">+S16/R16-1</f>
        <v>0.00250042980360954</v>
      </c>
      <c r="AI15" s="22" t="n">
        <f aca="false">+T16/S16-1</f>
        <v>0.00258587170301361</v>
      </c>
      <c r="AJ15" s="22" t="n">
        <f aca="false">+U16/T16-1</f>
        <v>0.00222096474534483</v>
      </c>
      <c r="AK15" s="22" t="n">
        <f aca="false">+V16/U16-1</f>
        <v>0.00214680842042658</v>
      </c>
      <c r="AL15" s="22" t="n">
        <f aca="false">+W16/V16-1</f>
        <v>0.00215506276406074</v>
      </c>
      <c r="AM15" s="22" t="n">
        <f aca="false">+X16/W16-1</f>
        <v>0.00172183908660228</v>
      </c>
      <c r="AN15" s="22" t="n">
        <f aca="false">+Y16/X16-1</f>
        <v>0.00167150623880685</v>
      </c>
      <c r="AO15" s="22" t="n">
        <f aca="false">+Z16/Y16-1</f>
        <v>0.00142138128563651</v>
      </c>
      <c r="AP15" s="22" t="n">
        <f aca="false">+AA16/Z16-1</f>
        <v>0.00148329051167395</v>
      </c>
      <c r="AQ15" s="23" t="n">
        <f aca="false">+(AA16/AA15-1)/COUNTA(AE15:AP15)*12</f>
        <v>0.0254862524454487</v>
      </c>
      <c r="AR15" s="26" t="s">
        <v>24</v>
      </c>
      <c r="AS15" s="9"/>
    </row>
    <row r="16" customFormat="false" ht="15" hidden="false" customHeight="false" outlineLevel="0" collapsed="false">
      <c r="A16" s="17" t="n">
        <v>39113</v>
      </c>
      <c r="B16" s="20" t="n">
        <v>11567.23</v>
      </c>
      <c r="C16" s="25" t="n">
        <f aca="false">(B16/B15-1)/(A16-A15)*30</f>
        <v>0.00432257803165389</v>
      </c>
      <c r="D16" s="19"/>
      <c r="E16" s="19"/>
      <c r="F16" s="19"/>
      <c r="O16" s="3" t="n">
        <v>2019</v>
      </c>
      <c r="P16" s="3" t="n">
        <f aca="false">+B162</f>
        <v>18407.69</v>
      </c>
      <c r="Q16" s="3" t="n">
        <f aca="false">+B163</f>
        <v>18449.16</v>
      </c>
      <c r="R16" s="3" t="n">
        <f aca="false">+B164</f>
        <v>18496.82</v>
      </c>
      <c r="S16" s="3" t="n">
        <f aca="false">+B165</f>
        <v>18543.07</v>
      </c>
      <c r="T16" s="3" t="n">
        <f aca="false">+B166</f>
        <v>18591.02</v>
      </c>
      <c r="U16" s="19" t="n">
        <f aca="false">+B167</f>
        <v>18632.31</v>
      </c>
      <c r="V16" s="19" t="n">
        <f aca="false">+B168</f>
        <v>18672.31</v>
      </c>
      <c r="W16" s="19" t="n">
        <f aca="false">+B169</f>
        <v>18712.55</v>
      </c>
      <c r="X16" s="3" t="n">
        <f aca="false">+B170</f>
        <v>18744.77</v>
      </c>
      <c r="Y16" s="19" t="n">
        <f aca="false">+B171</f>
        <v>18776.102</v>
      </c>
      <c r="Z16" s="3" t="n">
        <f aca="false">+B172</f>
        <v>18802.79</v>
      </c>
      <c r="AA16" s="19" t="n">
        <f aca="false">+B173</f>
        <v>18830.68</v>
      </c>
      <c r="AD16" s="21" t="n">
        <v>2020</v>
      </c>
      <c r="AE16" s="22" t="n">
        <f aca="false">+P17/AA16-1</f>
        <v>0.00165580849974623</v>
      </c>
      <c r="AF16" s="22" t="n">
        <f aca="false">+Q17/P17-1</f>
        <v>0.00137985861415579</v>
      </c>
      <c r="AG16" s="22" t="n">
        <f aca="false">+R17/Q17-1</f>
        <v>0.00110564513286726</v>
      </c>
      <c r="AH16" s="22" t="n">
        <f aca="false">+S17/R17-1</f>
        <v>0.00048443129828124</v>
      </c>
      <c r="AI16" s="22" t="n">
        <f aca="false">+T17/S17-1</f>
        <v>0.000386405912274901</v>
      </c>
      <c r="AJ16" s="22" t="n">
        <f aca="false">+U17/T17-1</f>
        <v>0.000390483819491916</v>
      </c>
      <c r="AK16" s="22" t="n">
        <f aca="false">+V17/U17-1</f>
        <v>0.000428360983128151</v>
      </c>
      <c r="AL16" s="22" t="n">
        <f aca="false">+W17/V17-1</f>
        <v>0.00041973016893726</v>
      </c>
      <c r="AM16" s="22" t="n">
        <f aca="false">+X17/W17-1</f>
        <v>0.000394750243948305</v>
      </c>
      <c r="AN16" s="22" t="n">
        <f aca="false">+Y17/X17-1</f>
        <v>0.000372438103266815</v>
      </c>
      <c r="AO16" s="22" t="n">
        <f aca="false">+Z17/Y17-1</f>
        <v>0.00032958520252091</v>
      </c>
      <c r="AP16" s="22" t="n">
        <f aca="false">+AA17/Z17-1</f>
        <v>0.000390100308495622</v>
      </c>
      <c r="AQ16" s="23" t="n">
        <f aca="false">+(AA17/AA16-1)/COUNTA(AE16:AP16)*12</f>
        <v>0.00776392567873274</v>
      </c>
      <c r="AR16" s="26"/>
      <c r="AS16" s="9"/>
    </row>
    <row r="17" customFormat="false" ht="15" hidden="false" customHeight="false" outlineLevel="0" collapsed="false">
      <c r="A17" s="17" t="n">
        <v>39141</v>
      </c>
      <c r="B17" s="20" t="n">
        <v>11612.68</v>
      </c>
      <c r="C17" s="25" t="n">
        <f aca="false">(B17/B16-1)/(A17-A16)*30</f>
        <v>0.00420986083716054</v>
      </c>
      <c r="D17" s="19"/>
      <c r="E17" s="19"/>
      <c r="F17" s="19"/>
      <c r="O17" s="3" t="n">
        <v>2020</v>
      </c>
      <c r="P17" s="3" t="n">
        <f aca="false">+B174</f>
        <v>18861.86</v>
      </c>
      <c r="Q17" s="19" t="n">
        <f aca="false">+B175</f>
        <v>18887.8867</v>
      </c>
      <c r="R17" s="19" t="n">
        <f aca="false">+B176</f>
        <v>18908.77</v>
      </c>
      <c r="S17" s="19" t="n">
        <f aca="false">+B177</f>
        <v>18917.93</v>
      </c>
      <c r="T17" s="19" t="n">
        <f aca="false">+B178</f>
        <v>18925.24</v>
      </c>
      <c r="U17" s="19" t="n">
        <f aca="false">+B179</f>
        <v>18932.63</v>
      </c>
      <c r="V17" s="19" t="n">
        <f aca="false">+B180</f>
        <v>18940.74</v>
      </c>
      <c r="W17" s="19" t="n">
        <f aca="false">+B181</f>
        <v>18948.69</v>
      </c>
      <c r="X17" s="19" t="n">
        <f aca="false">+B182</f>
        <v>18956.17</v>
      </c>
      <c r="Y17" s="19" t="n">
        <f aca="false">+B183</f>
        <v>18963.23</v>
      </c>
      <c r="Z17" s="19" t="n">
        <f aca="false">+B184</f>
        <v>18969.48</v>
      </c>
      <c r="AA17" s="19" t="n">
        <f aca="false">+B185</f>
        <v>18976.88</v>
      </c>
      <c r="AD17" s="21" t="n">
        <v>2021</v>
      </c>
      <c r="AE17" s="22"/>
      <c r="AF17" s="22" t="n">
        <f aca="false">+C186</f>
        <v>0.000163145891210714</v>
      </c>
      <c r="AG17" s="22" t="n">
        <f aca="false">+R18/Q18-1</f>
        <v>0.000259130396311313</v>
      </c>
      <c r="AH17" s="22" t="n">
        <f aca="false">+S18/R18-1</f>
        <v>0.000294342205723552</v>
      </c>
      <c r="AI17" s="22" t="n">
        <f aca="false">+T18/S18-1</f>
        <v>0.000242668745581653</v>
      </c>
      <c r="AJ17" s="22" t="n">
        <f aca="false">+U18/T18-1</f>
        <v>0.000272607187777885</v>
      </c>
      <c r="AK17" s="22" t="n">
        <f aca="false">+V18/U18-1</f>
        <v>0.000501923514011571</v>
      </c>
      <c r="AL17" s="22" t="n">
        <f aca="false">+W18/V18-1</f>
        <v>0.00062893015614951</v>
      </c>
      <c r="AM17" s="22" t="n">
        <f aca="false">+X18/W18-1</f>
        <v>0.00124761014863051</v>
      </c>
      <c r="AN17" s="22" t="n">
        <f aca="false">+Y18/X18-1</f>
        <v>0.00207168546072567</v>
      </c>
      <c r="AO17" s="22" t="n">
        <f aca="false">+Z18/Y18-1</f>
        <v>0.00214125696183509</v>
      </c>
      <c r="AP17" s="22" t="n">
        <f aca="false">+AA18/Z18-1</f>
        <v>0.0031851611422884</v>
      </c>
      <c r="AQ17" s="23" t="n">
        <f aca="false">+(AA18/Q18-1)/COUNTA(AF17:AP17)*12</f>
        <v>0.0118838004144361</v>
      </c>
      <c r="AR17" s="26"/>
      <c r="AS17" s="9"/>
    </row>
    <row r="18" customFormat="false" ht="15" hidden="false" customHeight="false" outlineLevel="0" collapsed="false">
      <c r="A18" s="17" t="n">
        <v>39171</v>
      </c>
      <c r="B18" s="20" t="n">
        <v>11661.5</v>
      </c>
      <c r="C18" s="25" t="n">
        <f aca="false">(B18/B17-1)/(A18-A17)*30</f>
        <v>0.00420402525515207</v>
      </c>
      <c r="D18" s="19"/>
      <c r="E18" s="19"/>
      <c r="F18" s="19"/>
      <c r="O18" s="3" t="n">
        <v>2021</v>
      </c>
      <c r="Q18" s="3" t="n">
        <f aca="false">+B187</f>
        <v>18986.58</v>
      </c>
      <c r="R18" s="19" t="n">
        <f aca="false">+B188</f>
        <v>18991.5</v>
      </c>
      <c r="S18" s="3" t="n">
        <f aca="false">+B189</f>
        <v>18997.09</v>
      </c>
      <c r="T18" s="3" t="n">
        <f aca="false">+B190</f>
        <v>19001.7</v>
      </c>
      <c r="U18" s="3" t="n">
        <f aca="false">+B191</f>
        <v>19006.88</v>
      </c>
      <c r="V18" s="3" t="n">
        <f aca="false">+B192</f>
        <v>19016.42</v>
      </c>
      <c r="W18" s="3" t="n">
        <f aca="false">+B193</f>
        <v>19028.38</v>
      </c>
      <c r="X18" s="3" t="n">
        <f aca="false">+B194</f>
        <v>19052.12</v>
      </c>
      <c r="Y18" s="3" t="n">
        <f aca="false">+B195</f>
        <v>19091.59</v>
      </c>
      <c r="Z18" s="3" t="n">
        <f aca="false">+B196</f>
        <v>19132.47</v>
      </c>
      <c r="AA18" s="3" t="n">
        <f aca="false">+B197</f>
        <v>19193.41</v>
      </c>
      <c r="AD18" s="21" t="n">
        <v>2022</v>
      </c>
      <c r="AE18" s="22" t="n">
        <f aca="false">+P19/AA18-1</f>
        <v>0.00343555418239894</v>
      </c>
      <c r="AF18" s="22" t="n">
        <f aca="false">+Q19/P19-1</f>
        <v>0.0042862298052635</v>
      </c>
      <c r="AG18" s="22" t="n">
        <f aca="false">+R19/Q19-1</f>
        <v>0.00483147984427568</v>
      </c>
      <c r="AH18" s="22" t="n">
        <f aca="false">+S19/R19-1</f>
        <v>0.00545243589644651</v>
      </c>
      <c r="AI18" s="22" t="n">
        <f aca="false">+T19/S19-1</f>
        <v>0.00711313258265056</v>
      </c>
      <c r="AJ18" s="22" t="n">
        <f aca="false">+U19/T19-1</f>
        <v>0.00735963642867588</v>
      </c>
      <c r="AK18" s="22" t="n">
        <f aca="false">+V19/U19-1</f>
        <v>0.00758934606328521</v>
      </c>
      <c r="AL18" s="22" t="n">
        <f aca="false">+W19/V19-1</f>
        <v>0.00897594167289917</v>
      </c>
      <c r="AM18" s="22" t="n">
        <f aca="false">+X19/W19-1</f>
        <v>0.00879983646672877</v>
      </c>
      <c r="AN18" s="22" t="n">
        <f aca="false">+Y19/X19-1</f>
        <v>0.00860306861798099</v>
      </c>
      <c r="AO18" s="22" t="n">
        <f aca="false">+Z19/Y19-1</f>
        <v>0.0103612389794803</v>
      </c>
      <c r="AP18" s="22" t="n">
        <f aca="false">+AA19/Z19-1</f>
        <v>0.00941665122241275</v>
      </c>
      <c r="AQ18" s="23" t="n">
        <f aca="false">+(AA19/AA18-1)/COUNTA(AE18:AP18)*12</f>
        <v>0.0896859911813484</v>
      </c>
      <c r="AR18" s="26"/>
      <c r="AS18" s="9"/>
      <c r="AV18" s="28"/>
      <c r="AW18" s="28"/>
      <c r="AX18" s="28" t="n">
        <v>-1</v>
      </c>
      <c r="AY18" s="28" t="n">
        <v>-3</v>
      </c>
      <c r="AZ18" s="28" t="n">
        <v>-6</v>
      </c>
      <c r="BA18" s="28" t="n">
        <v>-12</v>
      </c>
      <c r="BB18" s="28"/>
    </row>
    <row r="19" customFormat="false" ht="15" hidden="false" customHeight="false" outlineLevel="0" collapsed="false">
      <c r="A19" s="17" t="n">
        <v>39202</v>
      </c>
      <c r="B19" s="20" t="n">
        <v>11712.58</v>
      </c>
      <c r="C19" s="25" t="n">
        <f aca="false">(B19/B18-1)/(A19-A18)*30</f>
        <v>0.00423892793075653</v>
      </c>
      <c r="D19" s="19"/>
      <c r="E19" s="19"/>
      <c r="F19" s="19"/>
      <c r="O19" s="3" t="n">
        <v>2022</v>
      </c>
      <c r="P19" s="3" t="n">
        <f aca="false">+B198</f>
        <v>19259.35</v>
      </c>
      <c r="Q19" s="19" t="n">
        <f aca="false">+B199</f>
        <v>19341.9</v>
      </c>
      <c r="R19" s="3" t="n">
        <f aca="false">+B200</f>
        <v>19435.35</v>
      </c>
      <c r="S19" s="3" t="n">
        <f aca="false">+B201</f>
        <v>19541.32</v>
      </c>
      <c r="T19" s="3" t="n">
        <f aca="false">+B202</f>
        <v>19680.32</v>
      </c>
      <c r="U19" s="3" t="n">
        <f aca="false">+B203</f>
        <v>19825.16</v>
      </c>
      <c r="V19" s="3" t="n">
        <f aca="false">+B204</f>
        <v>19975.62</v>
      </c>
      <c r="W19" s="3" t="n">
        <f aca="false">+B205</f>
        <v>20154.92</v>
      </c>
      <c r="X19" s="3" t="n">
        <f aca="false">+B206</f>
        <v>20332.28</v>
      </c>
      <c r="Y19" s="3" t="n">
        <f aca="false">+B207</f>
        <v>20507.2</v>
      </c>
      <c r="Z19" s="3" t="n">
        <f aca="false">+B208</f>
        <v>20719.68</v>
      </c>
      <c r="AA19" s="3" t="n">
        <f aca="false">+B209</f>
        <v>20914.79</v>
      </c>
      <c r="AD19" s="21" t="n">
        <v>2023</v>
      </c>
      <c r="AE19" s="22" t="n">
        <f aca="false">+P20/AA19-1</f>
        <v>0.0100469572011002</v>
      </c>
      <c r="AF19" s="22" t="n">
        <f aca="false">+Q20/P20-1</f>
        <v>0.0087853587137845</v>
      </c>
      <c r="AG19" s="22" t="n">
        <f aca="false">+R20/Q20-1</f>
        <v>0.00973181777442234</v>
      </c>
      <c r="AH19" s="22" t="n">
        <f aca="false">+S20/R20-1</f>
        <v>0.00878524391320701</v>
      </c>
      <c r="AI19" s="22" t="n">
        <f aca="false">+T20/S20-1</f>
        <v>0.0103616631363057</v>
      </c>
      <c r="AJ19" s="22" t="n">
        <f aca="false">+U20/T20-1</f>
        <v>0.00941507013085063</v>
      </c>
      <c r="AK19" s="22" t="n">
        <f aca="false">+V20/U20-1</f>
        <v>0.00973152922417442</v>
      </c>
      <c r="AL19" s="22" t="n">
        <f aca="false">+W20/V20-1</f>
        <v>0.00886337395135217</v>
      </c>
      <c r="AM19" s="22" t="n">
        <f aca="false">+X20/W20-1</f>
        <v>0.00779534514134506</v>
      </c>
      <c r="AN19" s="22" t="n">
        <f aca="false">+Y20/X20-1</f>
        <v>0.00846015350417906</v>
      </c>
      <c r="AO19" s="22" t="n">
        <f aca="false">+Z20/Y20-1</f>
        <v>0.00752661431064561</v>
      </c>
      <c r="AP19" s="22" t="n">
        <f aca="false">+AA20/Z20-1</f>
        <v>0.00708194994827327</v>
      </c>
      <c r="AQ19" s="23" t="n">
        <f aca="false">+(AA20/P20-1)/COUNTA(AE19:AP19)*12</f>
        <v>0.100882275530511</v>
      </c>
      <c r="AR19" s="26"/>
      <c r="AS19" s="9"/>
      <c r="AV19" s="30" t="s">
        <v>25</v>
      </c>
      <c r="AW19" s="31" t="n">
        <v>46142</v>
      </c>
      <c r="AX19" s="32" t="n">
        <f aca="false">EOMONTH($AW19,AX18)+6+1</f>
        <v>46119</v>
      </c>
      <c r="AY19" s="32" t="n">
        <f aca="false">EOMONTH($AW19,AY18)</f>
        <v>46053</v>
      </c>
      <c r="AZ19" s="32" t="n">
        <f aca="false">EOMONTH($AW19,AZ18)</f>
        <v>45961</v>
      </c>
      <c r="BA19" s="32" t="n">
        <f aca="false">EOMONTH($AW19,BA18)</f>
        <v>45777</v>
      </c>
      <c r="BB19" s="32" t="n">
        <v>43100</v>
      </c>
    </row>
    <row r="20" customFormat="false" ht="15" hidden="false" customHeight="false" outlineLevel="0" collapsed="false">
      <c r="A20" s="17" t="n">
        <v>39233</v>
      </c>
      <c r="B20" s="20" t="n">
        <v>11763.78</v>
      </c>
      <c r="C20" s="25" t="n">
        <f aca="false">(B20/B19-1)/(A20-A19)*30</f>
        <v>0.00423035634307517</v>
      </c>
      <c r="D20" s="19"/>
      <c r="E20" s="19"/>
      <c r="F20" s="19"/>
      <c r="O20" s="3" t="n">
        <v>2023</v>
      </c>
      <c r="P20" s="3" t="n">
        <f aca="false">+B210</f>
        <v>21124.92</v>
      </c>
      <c r="Q20" s="19" t="n">
        <f aca="false">+B211</f>
        <v>21310.51</v>
      </c>
      <c r="R20" s="3" t="n">
        <f aca="false">+B212</f>
        <v>21517.9</v>
      </c>
      <c r="S20" s="3" t="n">
        <f aca="false">+B213</f>
        <v>21706.94</v>
      </c>
      <c r="T20" s="3" t="n">
        <f aca="false">+B214</f>
        <v>21931.86</v>
      </c>
      <c r="U20" s="3" t="n">
        <f aca="false">+B215</f>
        <v>22138.35</v>
      </c>
      <c r="V20" s="3" t="n">
        <f aca="false">+B216</f>
        <v>22353.79</v>
      </c>
      <c r="W20" s="3" t="n">
        <f aca="false">+B217</f>
        <v>22551.92</v>
      </c>
      <c r="X20" s="3" t="n">
        <f aca="false">+B218</f>
        <v>22727.72</v>
      </c>
      <c r="Y20" s="19" t="n">
        <f aca="false">+B219</f>
        <v>22920</v>
      </c>
      <c r="Z20" s="3" t="n">
        <f aca="false">+B220</f>
        <v>23092.51</v>
      </c>
      <c r="AA20" s="3" t="n">
        <f aca="false">+B221</f>
        <v>23256.05</v>
      </c>
      <c r="AD20" s="21" t="n">
        <v>2024</v>
      </c>
      <c r="AE20" s="22"/>
      <c r="AF20" s="22"/>
      <c r="AG20" s="22"/>
      <c r="AH20" s="22" t="n">
        <f aca="false">+S21/R21-1</f>
        <v>0.00609278396182833</v>
      </c>
      <c r="AI20" s="22" t="n">
        <f aca="false">+T21/S21-1</f>
        <v>0.00551411929031809</v>
      </c>
      <c r="AJ20" s="22" t="n">
        <f aca="false">+U21/T21-1</f>
        <v>0.00461354906321554</v>
      </c>
      <c r="AK20" s="22" t="n">
        <f aca="false">+V21/U21-1</f>
        <v>0.00528435035284347</v>
      </c>
      <c r="AL20" s="22" t="n">
        <f aca="false">+W21/V21-1</f>
        <v>0.00480235203759283</v>
      </c>
      <c r="AM20" s="22" t="n">
        <f aca="false">+X21/W21-1</f>
        <v>0.00478104349541386</v>
      </c>
      <c r="AN20" s="22" t="n">
        <f aca="false">+Y21/X21-1</f>
        <v>0.00451044051641847</v>
      </c>
      <c r="AO20" s="22" t="n">
        <f aca="false">+Z21/Y21-1</f>
        <v>0.0043843255475724</v>
      </c>
      <c r="AP20" s="22" t="n">
        <f aca="false">+AA21/Z21-1</f>
        <v>0.00444626417327787</v>
      </c>
      <c r="AQ20" s="23" t="n">
        <f aca="false">+(AA21/R21-1)/COUNTA(AE20:AP20)*12</f>
        <v>0.0604204591877272</v>
      </c>
      <c r="AR20" s="9"/>
      <c r="AS20" s="9"/>
      <c r="AV20" s="28" t="s">
        <v>3</v>
      </c>
      <c r="AW20" s="33" t="n">
        <f aca="false">LOOKUP(AW19,$A$3:$A$2973,$B$3:$B$2973)</f>
        <v>19635.3400812264</v>
      </c>
      <c r="AX20" s="33" t="n">
        <f aca="false">LOOKUP(AX19,$A$3:$A$2973,$B$3:$B$2973)</f>
        <v>26333.64</v>
      </c>
      <c r="AY20" s="33" t="n">
        <f aca="false">LOOKUP(AY19,$A$3:$A$2973,$B$3:$B$2973)</f>
        <v>26136.9</v>
      </c>
      <c r="AZ20" s="33" t="n">
        <f aca="false">LOOKUP(AZ19,$A$3:$A$2973,$B$3:$B$2973)</f>
        <v>25829.5</v>
      </c>
      <c r="BA20" s="33" t="n">
        <f aca="false">LOOKUP(BA19,$A$3:$A$2973,$B$3:$B$2973)</f>
        <v>25197.48</v>
      </c>
      <c r="BB20" s="33" t="n">
        <f aca="false">LOOKUP(BB19,$A$3:$A$2973,$B$3:$B$2973)</f>
        <v>17872.44</v>
      </c>
    </row>
    <row r="21" customFormat="false" ht="15" hidden="false" customHeight="false" outlineLevel="0" collapsed="false">
      <c r="A21" s="17" t="n">
        <v>39262</v>
      </c>
      <c r="B21" s="20" t="n">
        <v>11812.23</v>
      </c>
      <c r="C21" s="25" t="n">
        <f aca="false">(B21/B20-1)/(A21-A20)*30</f>
        <v>0.00426059392943191</v>
      </c>
      <c r="D21" s="19"/>
      <c r="E21" s="19"/>
      <c r="F21" s="19"/>
      <c r="O21" s="3" t="n">
        <v>2024</v>
      </c>
      <c r="P21" s="3" t="n">
        <f aca="false">+B222</f>
        <v>23427.15</v>
      </c>
      <c r="Q21" s="19" t="n">
        <f aca="false">+B223</f>
        <v>23570.34</v>
      </c>
      <c r="R21" s="3" t="n">
        <f aca="false">+B224</f>
        <v>23703.45</v>
      </c>
      <c r="S21" s="3" t="n">
        <f aca="false">+B225</f>
        <v>23847.87</v>
      </c>
      <c r="T21" s="3" t="n">
        <f aca="false">+B226</f>
        <v>23979.37</v>
      </c>
      <c r="U21" s="19" t="n">
        <f aca="false">+B227</f>
        <v>24090</v>
      </c>
      <c r="V21" s="3" t="n">
        <f aca="false">+B228</f>
        <v>24217.3</v>
      </c>
      <c r="W21" s="3" t="n">
        <f aca="false">+B229</f>
        <v>24333.6</v>
      </c>
      <c r="X21" s="3" t="n">
        <f aca="false">+B230</f>
        <v>24449.94</v>
      </c>
      <c r="Y21" s="19" t="n">
        <f aca="false">+B231</f>
        <v>24560.22</v>
      </c>
      <c r="Z21" s="3" t="n">
        <f aca="false">+B232</f>
        <v>24667.9</v>
      </c>
      <c r="AA21" s="3" t="n">
        <f aca="false">+B233</f>
        <v>24777.58</v>
      </c>
      <c r="AD21" s="21" t="n">
        <v>2025</v>
      </c>
      <c r="AE21" s="22" t="n">
        <f aca="false">+P22/AA21-1</f>
        <v>0.00445443017437541</v>
      </c>
      <c r="AF21" s="22" t="n">
        <f aca="false">+Q22/P22-1</f>
        <v>0.00389626305099444</v>
      </c>
      <c r="AG21" s="22" t="n">
        <f aca="false">+R22/Q22-1</f>
        <v>0.0043138020854181</v>
      </c>
      <c r="AH21" s="22" t="n">
        <f aca="false">+S22/R22-1</f>
        <v>0.00417571644342774</v>
      </c>
      <c r="AI21" s="22" t="n">
        <f aca="false">+T22/S22-1</f>
        <v>0.00417422694650416</v>
      </c>
      <c r="AJ21" s="22" t="n">
        <f aca="false">+U22/T22-1</f>
        <v>0.00431456613652492</v>
      </c>
      <c r="AK21" s="22" t="n">
        <f aca="false">+V22/U22-1</f>
        <v>0.00430626208344687</v>
      </c>
      <c r="AL21" s="22" t="n">
        <f aca="false">+W22/V22-1</f>
        <v>0.00383327468941586</v>
      </c>
      <c r="AM21" s="22" t="n">
        <f aca="false">+X22/W22-1</f>
        <v>0.00423004876441735</v>
      </c>
      <c r="AN21" s="22" t="n">
        <f aca="false">+Y22/X22-1</f>
        <v>0.00396619021077105</v>
      </c>
      <c r="AO21" s="22" t="n">
        <f aca="false">+Z22/Y22-1</f>
        <v>0.00383243965233548</v>
      </c>
      <c r="AP21" s="22" t="n">
        <f aca="false">+AA22/Z22-1</f>
        <v>0.00413946203577598</v>
      </c>
      <c r="AQ21" s="23" t="n">
        <f aca="false">+(AA22/P22-1)/COUNTA(AE21:AP21)*12</f>
        <v>0.0461215166375695</v>
      </c>
      <c r="AV21" s="28" t="s">
        <v>26</v>
      </c>
      <c r="AW21" s="33" t="n">
        <f aca="false">LOOKUP(AW19,$F$2:$F$2974,$K$2:$K$2974)</f>
        <v>0</v>
      </c>
      <c r="AX21" s="33" t="n">
        <f aca="false">LOOKUP(AX19,$F$2:$F$2974,$K$2:$K$2974)</f>
        <v>6335.4774</v>
      </c>
      <c r="AY21" s="33" t="n">
        <f aca="false">LOOKUP(AY19,$F$2:$F$2974,$K$2:$K$2974)</f>
        <v>6303.0823</v>
      </c>
      <c r="AZ21" s="33" t="n">
        <f aca="false">LOOKUP(AZ19,$F$2:$F$2974,$K$2:$K$2974)</f>
        <v>6250.6982</v>
      </c>
      <c r="BA21" s="33" t="n">
        <f aca="false">LOOKUP(BA19,$F$2:$F$2974,$K$2:$K$2974)</f>
        <v>6141.4105</v>
      </c>
      <c r="BB21" s="33" t="n">
        <f aca="false">LOOKUP(BB19,$F$2:$F$2974,$K$2:$K$2974)</f>
        <v>1066.0204</v>
      </c>
    </row>
    <row r="22" customFormat="false" ht="15" hidden="false" customHeight="false" outlineLevel="0" collapsed="false">
      <c r="A22" s="17" t="n">
        <v>39294</v>
      </c>
      <c r="B22" s="20" t="n">
        <v>11866.53</v>
      </c>
      <c r="C22" s="25" t="n">
        <f aca="false">(B22/B21-1)/(A22-A21)*30</f>
        <v>0.0043096223151768</v>
      </c>
      <c r="D22" s="19"/>
      <c r="E22" s="19"/>
      <c r="F22" s="19"/>
      <c r="O22" s="3" t="n">
        <v>2025</v>
      </c>
      <c r="P22" s="3" t="n">
        <f aca="false">+B234</f>
        <v>24887.95</v>
      </c>
      <c r="Q22" s="19" t="n">
        <f aca="false">+B235</f>
        <v>24984.92</v>
      </c>
      <c r="R22" s="3" t="n">
        <f aca="false">+B236</f>
        <v>25092.7</v>
      </c>
      <c r="S22" s="3" t="n">
        <f aca="false">+B237</f>
        <v>25197.48</v>
      </c>
      <c r="T22" s="3" t="n">
        <f aca="false">+B238</f>
        <v>25302.66</v>
      </c>
      <c r="U22" s="19" t="n">
        <f aca="false">+B239</f>
        <v>25411.83</v>
      </c>
      <c r="V22" s="3" t="n">
        <f aca="false">+B240</f>
        <v>25521.26</v>
      </c>
      <c r="W22" s="3" t="n">
        <f aca="false">+B241</f>
        <v>25619.09</v>
      </c>
      <c r="X22" s="3" t="n">
        <f aca="false">+B242</f>
        <v>25727.46</v>
      </c>
      <c r="Y22" s="19" t="n">
        <f aca="false">+B243</f>
        <v>25829.5</v>
      </c>
      <c r="Z22" s="3" t="n">
        <f aca="false">+B244</f>
        <v>25928.49</v>
      </c>
      <c r="AA22" s="3" t="n">
        <f aca="false">+B245</f>
        <v>26035.82</v>
      </c>
      <c r="AD22" s="21" t="n">
        <v>2026</v>
      </c>
      <c r="AE22" s="22" t="n">
        <f aca="false">+P23/AA22-1</f>
        <v>0.00388234363273376</v>
      </c>
      <c r="AF22" s="22" t="n">
        <f aca="false">+Q23/P23-1</f>
        <v>0.00363126461056962</v>
      </c>
      <c r="AG22" s="22" t="n">
        <f aca="false">+R23/Q23-1</f>
        <v>0.0038819280865483</v>
      </c>
      <c r="AH22" s="22" t="n">
        <f aca="false">+S23/R23-1</f>
        <v>-0.254362857499898</v>
      </c>
      <c r="AI22" s="9"/>
      <c r="AJ22" s="9"/>
      <c r="AK22" s="9"/>
      <c r="AL22" s="9"/>
      <c r="AM22" s="9"/>
      <c r="AN22" s="9"/>
      <c r="AO22" s="9"/>
      <c r="AP22" s="9"/>
      <c r="AQ22" s="23" t="n">
        <f aca="false">+(S23/P23-1)/COUNTA(AE22:AP22)*12</f>
        <v>-0.746250693705866</v>
      </c>
      <c r="AV22" s="28" t="s">
        <v>27</v>
      </c>
      <c r="AW22" s="33" t="n">
        <f aca="false">LOOKUP(AW19,$F$2:$F$2972,$H$2:$H$2972)</f>
        <v>1145.1374</v>
      </c>
      <c r="AX22" s="33" t="n">
        <f aca="false">LOOKUP(AX19,$F$2:$F$2972,$H$2:$H$2972)</f>
        <v>1138.6966</v>
      </c>
      <c r="AY22" s="33" t="n">
        <f aca="false">LOOKUP(AY19,$F$2:$F$2972,$H$2:$H$2972)</f>
        <v>1126.4094</v>
      </c>
      <c r="AZ22" s="33" t="n">
        <f aca="false">LOOKUP(AZ19,$F$2:$F$2972,$H$2:$H$2972)</f>
        <v>1108.1141</v>
      </c>
      <c r="BA22" s="33" t="n">
        <f aca="false">LOOKUP(BA19,$F$2:$F$2972,$H$2:$H$2972)</f>
        <v>1070.9973</v>
      </c>
      <c r="BB22" s="33" t="n">
        <f aca="false">LOOKUP(BB19,$F$2:$F$2972,$H$2:$H$2972)</f>
        <v>0</v>
      </c>
    </row>
    <row r="23" customFormat="false" ht="15" hidden="false" customHeight="false" outlineLevel="0" collapsed="false">
      <c r="A23" s="17"/>
      <c r="B23" s="20"/>
      <c r="C23" s="25"/>
      <c r="D23" s="19"/>
      <c r="E23" s="19"/>
      <c r="F23" s="19"/>
      <c r="O23" s="3" t="n">
        <v>2026</v>
      </c>
      <c r="P23" s="3" t="n">
        <f aca="false">+B246</f>
        <v>26136.9</v>
      </c>
      <c r="Q23" s="19" t="n">
        <f aca="false">+B247</f>
        <v>26231.81</v>
      </c>
      <c r="R23" s="19" t="n">
        <f aca="false">+B248</f>
        <v>26333.64</v>
      </c>
      <c r="S23" s="3" t="n">
        <f aca="false">+B249</f>
        <v>19635.3400812264</v>
      </c>
      <c r="U23" s="19"/>
      <c r="Y23" s="19"/>
      <c r="AD23" s="26"/>
      <c r="AE23" s="9"/>
      <c r="AF23" s="9"/>
      <c r="AG23" s="9"/>
      <c r="AH23" s="9"/>
      <c r="AI23" s="9"/>
      <c r="AJ23" s="9"/>
      <c r="AK23" s="9"/>
      <c r="AL23" s="9"/>
      <c r="AM23" s="9"/>
      <c r="AN23" s="9"/>
      <c r="AO23" s="9"/>
      <c r="AP23" s="9"/>
      <c r="AQ23" s="9"/>
      <c r="AV23" s="28"/>
      <c r="AW23" s="33"/>
      <c r="AX23" s="33"/>
      <c r="AY23" s="33"/>
      <c r="AZ23" s="33"/>
      <c r="BA23" s="33"/>
      <c r="BB23" s="33"/>
    </row>
    <row r="24" customFormat="false" ht="15" hidden="false" customHeight="false" outlineLevel="0" collapsed="false">
      <c r="A24" s="17" t="n">
        <v>39325</v>
      </c>
      <c r="B24" s="20" t="n">
        <v>11922.48</v>
      </c>
      <c r="C24" s="25" t="n">
        <f aca="false">(B24/B22-1)/(A24-A22)*30</f>
        <v>0.00456284704040026</v>
      </c>
      <c r="D24" s="19"/>
      <c r="E24" s="19"/>
      <c r="F24" s="19"/>
      <c r="P24" s="10" t="n">
        <v>31</v>
      </c>
      <c r="Q24" s="10" t="n">
        <v>28</v>
      </c>
      <c r="R24" s="10" t="n">
        <v>31</v>
      </c>
      <c r="S24" s="10" t="n">
        <v>30</v>
      </c>
      <c r="T24" s="10" t="n">
        <v>31</v>
      </c>
      <c r="U24" s="10" t="n">
        <v>30</v>
      </c>
      <c r="V24" s="10" t="n">
        <v>31</v>
      </c>
      <c r="W24" s="10" t="n">
        <v>31</v>
      </c>
      <c r="X24" s="10" t="n">
        <v>30</v>
      </c>
      <c r="Y24" s="10" t="n">
        <v>31</v>
      </c>
      <c r="Z24" s="10" t="n">
        <v>30</v>
      </c>
      <c r="AA24" s="10" t="n">
        <v>31</v>
      </c>
      <c r="AD24" s="26" t="s">
        <v>28</v>
      </c>
      <c r="AV24" s="28"/>
      <c r="AW24" s="28"/>
      <c r="AX24" s="28"/>
      <c r="AY24" s="28"/>
      <c r="AZ24" s="28"/>
      <c r="BA24" s="28"/>
      <c r="BB24" s="28"/>
    </row>
    <row r="25" customFormat="false" ht="15" hidden="false" customHeight="false" outlineLevel="0" collapsed="false">
      <c r="A25" s="17" t="n">
        <v>39353</v>
      </c>
      <c r="B25" s="20" t="n">
        <v>11975.61</v>
      </c>
      <c r="C25" s="25" t="n">
        <f aca="false">(B25/B24-1)/(A25-A24)*30</f>
        <v>0.004774593876442</v>
      </c>
      <c r="D25" s="19"/>
      <c r="E25" s="19"/>
      <c r="F25" s="19"/>
      <c r="P25" s="10" t="n">
        <v>1</v>
      </c>
      <c r="Q25" s="10" t="n">
        <v>2</v>
      </c>
      <c r="R25" s="10" t="n">
        <v>3</v>
      </c>
      <c r="S25" s="10" t="n">
        <v>4</v>
      </c>
      <c r="T25" s="10" t="n">
        <v>5</v>
      </c>
      <c r="U25" s="10" t="n">
        <v>6</v>
      </c>
      <c r="V25" s="10" t="n">
        <v>7</v>
      </c>
      <c r="W25" s="10" t="n">
        <v>8</v>
      </c>
      <c r="X25" s="10" t="n">
        <v>9</v>
      </c>
      <c r="Y25" s="10" t="n">
        <v>10</v>
      </c>
      <c r="Z25" s="10" t="n">
        <v>11</v>
      </c>
      <c r="AA25" s="10" t="n">
        <v>12</v>
      </c>
      <c r="AR25" s="9"/>
      <c r="AS25" s="9"/>
    </row>
    <row r="26" customFormat="false" ht="15" hidden="false" customHeight="false" outlineLevel="0" collapsed="false">
      <c r="A26" s="17" t="n">
        <v>39386</v>
      </c>
      <c r="B26" s="20" t="n">
        <v>12038.9</v>
      </c>
      <c r="C26" s="25" t="n">
        <f aca="false">(B26/B25-1)/(A26-A25)*30</f>
        <v>0.00480446203879073</v>
      </c>
      <c r="D26" s="19"/>
      <c r="E26" s="19"/>
      <c r="F26" s="19"/>
      <c r="O26" s="34" t="s">
        <v>29</v>
      </c>
      <c r="P26" s="3" t="s">
        <v>4</v>
      </c>
      <c r="Q26" s="3" t="s">
        <v>5</v>
      </c>
      <c r="R26" s="3" t="s">
        <v>6</v>
      </c>
      <c r="S26" s="3" t="s">
        <v>7</v>
      </c>
      <c r="T26" s="3" t="s">
        <v>8</v>
      </c>
      <c r="U26" s="3" t="s">
        <v>9</v>
      </c>
      <c r="V26" s="3" t="s">
        <v>10</v>
      </c>
      <c r="W26" s="3" t="s">
        <v>11</v>
      </c>
      <c r="X26" s="3" t="s">
        <v>12</v>
      </c>
      <c r="Y26" s="3" t="s">
        <v>13</v>
      </c>
      <c r="Z26" s="3" t="s">
        <v>14</v>
      </c>
      <c r="AA26" s="3" t="s">
        <v>15</v>
      </c>
      <c r="AR26" s="26"/>
      <c r="AS26" s="9"/>
    </row>
    <row r="27" customFormat="false" ht="15.75" hidden="false" customHeight="true" outlineLevel="0" collapsed="false">
      <c r="A27" s="17" t="n">
        <v>39416</v>
      </c>
      <c r="B27" s="20" t="n">
        <v>12096.85</v>
      </c>
      <c r="C27" s="25" t="n">
        <f aca="false">(B27/B26-1)/(A27-A26)*30</f>
        <v>0.00481356270091138</v>
      </c>
      <c r="D27" s="19"/>
      <c r="E27" s="19"/>
      <c r="F27" s="19"/>
      <c r="O27" s="3" t="n">
        <v>2016</v>
      </c>
      <c r="P27" s="20"/>
      <c r="Q27" s="20"/>
      <c r="R27" s="20"/>
      <c r="S27" s="20"/>
      <c r="T27" s="20" t="n">
        <f aca="false">'[1]Cuota Liquidez '!B2</f>
        <v>999.9484</v>
      </c>
      <c r="U27" s="35" t="n">
        <f aca="false">LOOKUP(DATE($O27,U$25,U$24),$A$2:$A$2943,$H$2:$H$2943)</f>
        <v>0</v>
      </c>
      <c r="V27" s="35" t="n">
        <f aca="false">LOOKUP(DATE($O27,V$25,V$24),$A$2:$A$2943,$H$2:$H$2943)</f>
        <v>0</v>
      </c>
      <c r="W27" s="35" t="n">
        <f aca="false">LOOKUP(DATE($O27,W$25,W$24),$A$2:$A$2943,$H$2:$H$2943)</f>
        <v>0</v>
      </c>
      <c r="X27" s="35" t="n">
        <f aca="false">LOOKUP(DATE($O27,X$25,X$24),$A$2:$A$2943,$H$2:$H$2943)</f>
        <v>0</v>
      </c>
      <c r="Y27" s="35" t="n">
        <f aca="false">LOOKUP(DATE($O27,Y$25,Y$24),$A$2:$A$2943,$H$2:$H$2943)</f>
        <v>0</v>
      </c>
      <c r="Z27" s="35" t="n">
        <f aca="false">LOOKUP(DATE($O27,Z$25,Z$24),$A$2:$A$2943,$H$2:$H$2943)</f>
        <v>0</v>
      </c>
      <c r="AA27" s="35" t="n">
        <f aca="false">LOOKUP(DATE($O27,AA$25,AA$24),$A$2:$A$2943,$H$2:$H$2943)</f>
        <v>0</v>
      </c>
      <c r="AD27" s="36" t="s">
        <v>30</v>
      </c>
      <c r="AE27" s="8" t="s">
        <v>4</v>
      </c>
      <c r="AF27" s="8" t="s">
        <v>5</v>
      </c>
      <c r="AG27" s="8" t="s">
        <v>6</v>
      </c>
      <c r="AH27" s="8" t="s">
        <v>7</v>
      </c>
      <c r="AI27" s="8" t="s">
        <v>8</v>
      </c>
      <c r="AJ27" s="8" t="s">
        <v>9</v>
      </c>
      <c r="AK27" s="8" t="s">
        <v>10</v>
      </c>
      <c r="AL27" s="8" t="s">
        <v>11</v>
      </c>
      <c r="AM27" s="8" t="s">
        <v>12</v>
      </c>
      <c r="AN27" s="8" t="s">
        <v>13</v>
      </c>
      <c r="AO27" s="8" t="s">
        <v>14</v>
      </c>
      <c r="AP27" s="8" t="s">
        <v>15</v>
      </c>
      <c r="AQ27" s="8" t="s">
        <v>16</v>
      </c>
      <c r="AR27" s="26"/>
      <c r="AS27" s="26"/>
      <c r="AV27" s="9"/>
      <c r="AW27" s="9"/>
      <c r="AX27" s="9"/>
      <c r="AY27" s="9"/>
      <c r="AZ27" s="9"/>
      <c r="BA27" s="9"/>
      <c r="BB27" s="9"/>
      <c r="BC27" s="9"/>
    </row>
    <row r="28" customFormat="false" ht="15" hidden="false" customHeight="false" outlineLevel="0" collapsed="false">
      <c r="A28" s="17" t="n">
        <v>39447</v>
      </c>
      <c r="B28" s="20" t="n">
        <v>12152.6</v>
      </c>
      <c r="C28" s="25" t="n">
        <f aca="false">(B28/B27-1)/(A28-A27)*30</f>
        <v>0.00445997205084178</v>
      </c>
      <c r="D28" s="19"/>
      <c r="E28" s="19"/>
      <c r="F28" s="19"/>
      <c r="O28" s="3" t="n">
        <v>2017</v>
      </c>
      <c r="P28" s="35" t="n">
        <f aca="false">LOOKUP(DATE($O28,P$25,P$24),$A$2:$A$2943,$H$2:$H$2943)</f>
        <v>0</v>
      </c>
      <c r="Q28" s="35" t="n">
        <f aca="false">LOOKUP(DATE($O28,Q$25,Q$24),$A$2:$A$2943,$H$2:$H$2943)</f>
        <v>0</v>
      </c>
      <c r="R28" s="35" t="n">
        <f aca="false">LOOKUP(DATE($O28,R$25,R$24),$A$2:$A$2943,$H$2:$H$2943)</f>
        <v>0</v>
      </c>
      <c r="S28" s="35" t="n">
        <f aca="false">LOOKUP(DATE($O28,S$25,S$24),$A$2:$A$2943,$H$2:$H$2943)</f>
        <v>0</v>
      </c>
      <c r="T28" s="35" t="n">
        <f aca="false">LOOKUP(DATE($O28,T$25,T$24),$A$2:$A$2943,$H$2:$H$2943)</f>
        <v>0</v>
      </c>
      <c r="U28" s="35" t="n">
        <f aca="false">LOOKUP(DATE($O28,U$25,U$24),$A$2:$A$2943,$H$2:$H$2943)</f>
        <v>0</v>
      </c>
      <c r="V28" s="35" t="n">
        <f aca="false">LOOKUP(DATE($O28,V$25,V$24),$A$2:$A$2943,$H$2:$H$2943)</f>
        <v>0</v>
      </c>
      <c r="W28" s="35" t="n">
        <f aca="false">LOOKUP(DATE($O28,W$25,W$24),$A$2:$A$2943,$H$2:$H$2943)</f>
        <v>0</v>
      </c>
      <c r="X28" s="35" t="n">
        <f aca="false">LOOKUP(DATE($O28,X$25,X$24),$A$2:$A$2943,$H$2:$H$2943)</f>
        <v>0</v>
      </c>
      <c r="Y28" s="35" t="n">
        <f aca="false">LOOKUP(DATE($O28,Y$25,Y$24),$A$2:$A$2943,$H$2:$H$2943)</f>
        <v>0</v>
      </c>
      <c r="Z28" s="35" t="n">
        <f aca="false">LOOKUP(DATE($O28,Z$25,Z$24),$A$2:$A$2943,$H$2:$H$2943)</f>
        <v>0</v>
      </c>
      <c r="AA28" s="35" t="n">
        <f aca="false">LOOKUP(DATE($O28,AA$25,AA$24),$A$2:$A$2943,$H$2:$H$2943)</f>
        <v>0</v>
      </c>
      <c r="AD28" s="14" t="n">
        <v>2016</v>
      </c>
      <c r="AE28" s="15"/>
      <c r="AF28" s="15"/>
      <c r="AG28" s="15"/>
      <c r="AH28" s="15"/>
      <c r="AI28" s="15"/>
      <c r="AJ28" s="15"/>
      <c r="AK28" s="15"/>
      <c r="AL28" s="15"/>
      <c r="AM28" s="15"/>
      <c r="AN28" s="15"/>
      <c r="AO28" s="15"/>
      <c r="AP28" s="15"/>
      <c r="AQ28" s="16"/>
      <c r="AR28" s="9"/>
      <c r="AS28" s="9"/>
      <c r="AV28" s="37"/>
      <c r="AW28" s="38" t="s">
        <v>31</v>
      </c>
      <c r="AX28" s="38" t="s">
        <v>32</v>
      </c>
      <c r="AY28" s="38" t="s">
        <v>33</v>
      </c>
      <c r="AZ28" s="38" t="s">
        <v>34</v>
      </c>
      <c r="BA28" s="38" t="s">
        <v>35</v>
      </c>
      <c r="BB28" s="38" t="s">
        <v>36</v>
      </c>
      <c r="BC28" s="39"/>
      <c r="BD28" s="40"/>
    </row>
    <row r="29" customFormat="false" ht="15" hidden="false" customHeight="false" outlineLevel="0" collapsed="false">
      <c r="A29" s="17" t="n">
        <v>39478</v>
      </c>
      <c r="B29" s="20" t="n">
        <v>12223.14</v>
      </c>
      <c r="C29" s="25" t="n">
        <f aca="false">(B29/B28-1)/(A29-A28)*30</f>
        <v>0.0056172766427787</v>
      </c>
      <c r="D29" s="19"/>
      <c r="E29" s="19"/>
      <c r="F29" s="19"/>
      <c r="O29" s="3" t="n">
        <v>2018</v>
      </c>
      <c r="P29" s="35" t="n">
        <f aca="false">LOOKUP(DATE($O29,P$25,P$24),$A$2:$A$2943,$H$2:$H$2943)</f>
        <v>0</v>
      </c>
      <c r="Q29" s="35" t="n">
        <f aca="false">LOOKUP(DATE($O29,Q$25,Q$24),$A$2:$A$2943,$H$2:$H$2943)</f>
        <v>0</v>
      </c>
      <c r="R29" s="35" t="n">
        <f aca="false">LOOKUP(DATE($O29,R$25,R$24),$A$2:$A$2943,$H$2:$H$2943)</f>
        <v>0</v>
      </c>
      <c r="S29" s="35" t="n">
        <f aca="false">LOOKUP(DATE($O29,S$25,S$24),$A$2:$A$2943,$H$2:$H$2943)</f>
        <v>0</v>
      </c>
      <c r="T29" s="35" t="n">
        <f aca="false">LOOKUP(DATE($O29,T$25,T$24),$A$2:$A$2943,$H$2:$H$2943)</f>
        <v>0</v>
      </c>
      <c r="U29" s="35" t="n">
        <f aca="false">LOOKUP(DATE($O29,U$25,U$24),$A$2:$A$2943,$H$2:$H$2943)</f>
        <v>0</v>
      </c>
      <c r="V29" s="35" t="n">
        <f aca="false">LOOKUP(DATE($O29,V$25,V$24),$A$2:$A$2943,$H$2:$H$2943)</f>
        <v>0</v>
      </c>
      <c r="W29" s="35" t="n">
        <f aca="false">LOOKUP(DATE($O29,W$25,W$24),$A$2:$A$2943,$H$2:$H$2943)</f>
        <v>0</v>
      </c>
      <c r="X29" s="35" t="n">
        <f aca="false">LOOKUP(DATE($O29,X$25,X$24),$A$2:$A$2943,$H$2:$H$2943)</f>
        <v>0</v>
      </c>
      <c r="Y29" s="41" t="n">
        <f aca="false">LOOKUP(DATE($O29,Y$25,Y$24),$A$2:$A$2943,$H$2:$H$2943)</f>
        <v>0</v>
      </c>
      <c r="Z29" s="41" t="n">
        <f aca="false">LOOKUP(DATE($O29,Z$25,Z$24),$A$2:$A$2943,$H$2:$H$2943)</f>
        <v>0</v>
      </c>
      <c r="AA29" s="41" t="n">
        <f aca="false">LOOKUP(DATE($O29,AA$25,AA$24),$A$2:$A$2943,$H$2:$H$2943)</f>
        <v>0</v>
      </c>
      <c r="AD29" s="21" t="n">
        <v>2017</v>
      </c>
      <c r="AE29" s="22"/>
      <c r="AF29" s="22"/>
      <c r="AG29" s="22"/>
      <c r="AH29" s="22"/>
      <c r="AI29" s="22"/>
      <c r="AJ29" s="22"/>
      <c r="AK29" s="22"/>
      <c r="AL29" s="22"/>
      <c r="AM29" s="22"/>
      <c r="AN29" s="22"/>
      <c r="AO29" s="22"/>
      <c r="AP29" s="22"/>
      <c r="AQ29" s="23"/>
      <c r="AR29" s="26" t="s">
        <v>24</v>
      </c>
      <c r="AS29" s="9"/>
      <c r="AV29" s="42"/>
      <c r="AW29" s="38" t="s">
        <v>37</v>
      </c>
      <c r="AX29" s="43" t="n">
        <f aca="false">$AW20/AX20-1</f>
        <v>-0.254362857499898</v>
      </c>
      <c r="AY29" s="43" t="n">
        <f aca="false">$AW20/AY20-1</f>
        <v>-0.248750231235289</v>
      </c>
      <c r="AZ29" s="43" t="n">
        <f aca="false">$AW20/AZ20-1</f>
        <v>-0.239809516977627</v>
      </c>
      <c r="BA29" s="43" t="n">
        <f aca="false">$AW20/BA20-1</f>
        <v>-0.220741912237796</v>
      </c>
      <c r="BB29" s="43" t="n">
        <f aca="false">+AQ86</f>
        <v>-0.746250693705866</v>
      </c>
      <c r="BC29" s="44"/>
      <c r="BD29" s="27"/>
    </row>
    <row r="30" customFormat="false" ht="15" hidden="false" customHeight="false" outlineLevel="0" collapsed="false">
      <c r="A30" s="17" t="n">
        <v>39507</v>
      </c>
      <c r="B30" s="20" t="n">
        <v>12284.88</v>
      </c>
      <c r="C30" s="25" t="n">
        <f aca="false">(B30/B29-1)/(A30-A29)*30</f>
        <v>0.00522525026443619</v>
      </c>
      <c r="D30" s="19"/>
      <c r="E30" s="19"/>
      <c r="F30" s="19"/>
      <c r="O30" s="3" t="n">
        <v>2019</v>
      </c>
      <c r="P30" s="35" t="n">
        <f aca="false">LOOKUP(DATE($O30,P$25,P$24),$A$2:$A$2943,$H$2:$H$2943)</f>
        <v>0</v>
      </c>
      <c r="Q30" s="35" t="n">
        <f aca="false">LOOKUP(DATE($O30,Q$25,Q$24),$A$2:$A$2943,$H$2:$H$2943)</f>
        <v>0</v>
      </c>
      <c r="R30" s="35" t="n">
        <f aca="false">LOOKUP(DATE($O30,R$25,R$24),$A$2:$A$2943,$H$2:$H$2943)</f>
        <v>0</v>
      </c>
      <c r="S30" s="35" t="n">
        <f aca="false">LOOKUP(DATE($O30,S$25,S$24),$A$2:$A$2943,$H$2:$H$2943)</f>
        <v>0</v>
      </c>
      <c r="T30" s="35" t="n">
        <f aca="false">LOOKUP(DATE($O30,T$25,T$24),$A$2:$A$2943,$H$2:$H$2943)</f>
        <v>0</v>
      </c>
      <c r="U30" s="35" t="n">
        <f aca="false">LOOKUP(DATE($O30,U$25,U$24),$A$2:$A$2943,$H$2:$H$2943)</f>
        <v>0</v>
      </c>
      <c r="V30" s="35" t="n">
        <f aca="false">LOOKUP(DATE($O30,V$25,V$24),$A$2:$A$2943,$H$2:$H$2943)</f>
        <v>0</v>
      </c>
      <c r="W30" s="35" t="n">
        <f aca="false">LOOKUP(DATE($O30,W$25,W$24),$A$2:$A$2943,$H$2:$H$2943)</f>
        <v>0</v>
      </c>
      <c r="X30" s="35" t="n">
        <f aca="false">LOOKUP(DATE($O30,X$25,X$24),$A$2:$A$2943,$H$2:$H$2943)</f>
        <v>0</v>
      </c>
      <c r="Y30" s="35" t="n">
        <f aca="false">LOOKUP(DATE($O30,Y$25,Y$24),$A$2:$A$2943,$H$2:$H$2943)</f>
        <v>0</v>
      </c>
      <c r="Z30" s="35" t="n">
        <f aca="false">LOOKUP(DATE($O30,Z$25,Z$24),$A$2:$A$2943,$H$2:$H$2943)</f>
        <v>0</v>
      </c>
      <c r="AA30" s="35" t="n">
        <f aca="false">LOOKUP(DATE($O30,AA$25,AA$24),$A$2:$A$2943,$H$2:$H$2943)</f>
        <v>0</v>
      </c>
      <c r="AD30" s="14" t="n">
        <v>2018</v>
      </c>
      <c r="AE30" s="15"/>
      <c r="AF30" s="15"/>
      <c r="AG30" s="15"/>
      <c r="AH30" s="15"/>
      <c r="AI30" s="15"/>
      <c r="AJ30" s="15"/>
      <c r="AK30" s="15"/>
      <c r="AL30" s="15"/>
      <c r="AM30" s="15"/>
      <c r="AN30" s="15"/>
      <c r="AO30" s="15"/>
      <c r="AP30" s="15"/>
      <c r="AQ30" s="16"/>
      <c r="AR30" s="26"/>
      <c r="AS30" s="9"/>
      <c r="AV30" s="42"/>
      <c r="AW30" s="38" t="s">
        <v>26</v>
      </c>
      <c r="AX30" s="43" t="n">
        <f aca="false">$AW21/AX21-1</f>
        <v>-1</v>
      </c>
      <c r="AY30" s="43" t="n">
        <f aca="false">$AW21/AY21-1</f>
        <v>-1</v>
      </c>
      <c r="AZ30" s="43" t="n">
        <f aca="false">$AW21/AZ21-1</f>
        <v>-1</v>
      </c>
      <c r="BA30" s="43" t="n">
        <f aca="false">$AW21/BA21-1</f>
        <v>-1</v>
      </c>
      <c r="BB30" s="43" t="n">
        <f aca="false">+AQ87</f>
        <v>-3</v>
      </c>
      <c r="BC30" s="44"/>
      <c r="BD30" s="27"/>
    </row>
    <row r="31" customFormat="false" ht="15" hidden="false" customHeight="false" outlineLevel="0" collapsed="false">
      <c r="A31" s="17" t="n">
        <v>39538</v>
      </c>
      <c r="B31" s="20" t="n">
        <v>12351.45</v>
      </c>
      <c r="C31" s="25" t="n">
        <f aca="false">(B31/B30-1)/(A31-A30)*30</f>
        <v>0.00524405453249546</v>
      </c>
      <c r="D31" s="19"/>
      <c r="E31" s="19"/>
      <c r="F31" s="19"/>
      <c r="O31" s="3" t="n">
        <v>2020</v>
      </c>
      <c r="P31" s="35" t="n">
        <f aca="false">LOOKUP(DATE($O31,P$25,P$24),$A$2:$A$2943,$H$2:$H$2943)</f>
        <v>0</v>
      </c>
      <c r="Q31" s="35" t="n">
        <f aca="false">LOOKUP(DATE($O31,Q$25,Q$24)+1,$A$2:$A$2943,$H$2:$H$2943)</f>
        <v>0</v>
      </c>
      <c r="R31" s="35" t="n">
        <f aca="false">LOOKUP(DATE($O31,R$25,R$24)+1,$A$2:$A$2943,$H$2:$H$2943)</f>
        <v>0</v>
      </c>
      <c r="S31" s="35" t="n">
        <f aca="false">LOOKUP(DATE($O31,S$25,S$24)+1,$A$2:$A$2943,$H$2:$H$2943)</f>
        <v>0</v>
      </c>
      <c r="T31" s="35" t="n">
        <f aca="false">LOOKUP(DATE($O31,T$25,T$24)+1,$A$2:$A$2943,$H$2:$H$2943)</f>
        <v>0</v>
      </c>
      <c r="U31" s="35" t="n">
        <f aca="false">LOOKUP(DATE($O31,U$25,U$24)+1,$A$2:$A$2943,$H$2:$H$2943)</f>
        <v>0</v>
      </c>
      <c r="V31" s="35" t="n">
        <f aca="false">LOOKUP(DATE($O31,V$25,V$24)+1,$A$2:$A$2943,$H$2:$H$2943)</f>
        <v>0</v>
      </c>
      <c r="W31" s="35" t="n">
        <f aca="false">LOOKUP(DATE($O31,W$25,W$24)+1,$A$2:$A$2943,$H$2:$H$2943)</f>
        <v>0</v>
      </c>
      <c r="X31" s="35" t="n">
        <f aca="false">LOOKUP(DATE($O31,X$25,X$24)+1,$A$2:$A$2943,$H$2:$H$2943)</f>
        <v>0</v>
      </c>
      <c r="Y31" s="35" t="n">
        <f aca="false">+H183</f>
        <v>0</v>
      </c>
      <c r="Z31" s="35" t="n">
        <f aca="false">+H184</f>
        <v>0</v>
      </c>
      <c r="AA31" s="35" t="n">
        <f aca="false">+H185</f>
        <v>0</v>
      </c>
      <c r="AD31" s="21" t="n">
        <v>2019</v>
      </c>
      <c r="AE31" s="22"/>
      <c r="AF31" s="22"/>
      <c r="AG31" s="22"/>
      <c r="AH31" s="22"/>
      <c r="AI31" s="22"/>
      <c r="AJ31" s="22"/>
      <c r="AK31" s="22"/>
      <c r="AL31" s="22"/>
      <c r="AM31" s="22"/>
      <c r="AN31" s="22"/>
      <c r="AO31" s="22"/>
      <c r="AP31" s="22"/>
      <c r="AQ31" s="23"/>
      <c r="AR31" s="9"/>
      <c r="AS31" s="9"/>
      <c r="AV31" s="9"/>
      <c r="AW31" s="38" t="s">
        <v>38</v>
      </c>
      <c r="AX31" s="43" t="n">
        <f aca="false">$AW22/AX22-1</f>
        <v>0.00565629158811931</v>
      </c>
      <c r="AY31" s="43" t="n">
        <f aca="false">$AW22/AY22-1</f>
        <v>0.0166262817053906</v>
      </c>
      <c r="AZ31" s="43" t="n">
        <f aca="false">$AW22/AZ22-1</f>
        <v>0.0334110900673497</v>
      </c>
      <c r="BA31" s="43" t="n">
        <f aca="false">$AW22/BA22-1</f>
        <v>0.0692252912308931</v>
      </c>
      <c r="BB31" s="43" t="n">
        <f aca="false">+AQ88</f>
        <v>0.0498788451161718</v>
      </c>
      <c r="BC31" s="9"/>
      <c r="BD31" s="27"/>
    </row>
    <row r="32" customFormat="false" ht="15" hidden="false" customHeight="false" outlineLevel="0" collapsed="false">
      <c r="A32" s="17" t="n">
        <v>39568</v>
      </c>
      <c r="B32" s="20" t="n">
        <v>12416.18</v>
      </c>
      <c r="C32" s="25" t="n">
        <f aca="false">(B32/B31-1)/(A32-A31)*30</f>
        <v>0.00524068024401991</v>
      </c>
      <c r="D32" s="19"/>
      <c r="E32" s="19"/>
      <c r="F32" s="19"/>
      <c r="O32" s="3" t="n">
        <v>2021</v>
      </c>
      <c r="P32" s="20"/>
      <c r="Q32" s="20"/>
      <c r="R32" s="20"/>
      <c r="S32" s="20"/>
      <c r="T32" s="20"/>
      <c r="U32" s="20"/>
      <c r="V32" s="20"/>
      <c r="W32" s="20"/>
      <c r="X32" s="20"/>
      <c r="Y32" s="20"/>
      <c r="Z32" s="20" t="n">
        <f aca="false">+G196</f>
        <v>0</v>
      </c>
      <c r="AA32" s="20" t="n">
        <f aca="false">+G197+S156</f>
        <v>0</v>
      </c>
      <c r="AD32" s="21" t="n">
        <v>2020</v>
      </c>
      <c r="AE32" s="22"/>
      <c r="AF32" s="22"/>
      <c r="AG32" s="22"/>
      <c r="AH32" s="22"/>
      <c r="AI32" s="22"/>
      <c r="AJ32" s="22"/>
      <c r="AK32" s="22"/>
      <c r="AL32" s="22"/>
      <c r="AM32" s="22"/>
      <c r="AN32" s="22"/>
      <c r="AO32" s="22"/>
      <c r="AP32" s="22"/>
      <c r="AQ32" s="23"/>
      <c r="AR32" s="9"/>
      <c r="AS32" s="9"/>
      <c r="AV32" s="9"/>
      <c r="AW32" s="45"/>
      <c r="AX32" s="9"/>
      <c r="AY32" s="9"/>
      <c r="AZ32" s="9"/>
      <c r="BA32" s="9"/>
      <c r="BB32" s="9"/>
      <c r="BC32" s="9"/>
      <c r="BD32" s="27"/>
    </row>
    <row r="33" customFormat="false" ht="15" hidden="false" customHeight="false" outlineLevel="0" collapsed="false">
      <c r="A33" s="17" t="n">
        <v>39598</v>
      </c>
      <c r="B33" s="20" t="n">
        <v>12481.48</v>
      </c>
      <c r="C33" s="25" t="n">
        <f aca="false">(B33/B32-1)/(A33-A32)*30</f>
        <v>0.00525926653769515</v>
      </c>
      <c r="D33" s="19"/>
      <c r="E33" s="19"/>
      <c r="F33" s="19"/>
      <c r="O33" s="3" t="n">
        <v>2022</v>
      </c>
      <c r="P33" s="20"/>
      <c r="Q33" s="20"/>
      <c r="R33" s="20"/>
      <c r="S33" s="20"/>
      <c r="T33" s="20"/>
      <c r="U33" s="20"/>
      <c r="V33" s="20"/>
      <c r="W33" s="20"/>
      <c r="X33" s="20"/>
      <c r="Y33" s="20"/>
      <c r="Z33" s="20" t="n">
        <f aca="false">+G208+S156</f>
        <v>0</v>
      </c>
      <c r="AA33" s="20" t="n">
        <f aca="false">+G209+S156</f>
        <v>0</v>
      </c>
      <c r="AD33" s="21" t="n">
        <v>2021</v>
      </c>
      <c r="AE33" s="22"/>
      <c r="AF33" s="22"/>
      <c r="AG33" s="22"/>
      <c r="AH33" s="22"/>
      <c r="AI33" s="22"/>
      <c r="AJ33" s="22"/>
      <c r="AK33" s="22"/>
      <c r="AL33" s="22"/>
      <c r="AM33" s="22"/>
      <c r="AN33" s="22"/>
      <c r="AO33" s="22"/>
      <c r="AP33" s="22"/>
      <c r="AQ33" s="23"/>
      <c r="AR33" s="9"/>
      <c r="AS33" s="9"/>
      <c r="AY33" s="46"/>
      <c r="BD33" s="27"/>
    </row>
    <row r="34" customFormat="false" ht="15" hidden="false" customHeight="false" outlineLevel="0" collapsed="false">
      <c r="A34" s="17" t="n">
        <v>39629</v>
      </c>
      <c r="B34" s="20" t="n">
        <v>12552.23</v>
      </c>
      <c r="C34" s="25" t="n">
        <f aca="false">(B34/B33-1)/(A34-A33)*30</f>
        <v>0.00548554674088997</v>
      </c>
      <c r="D34" s="19"/>
      <c r="E34" s="19"/>
      <c r="F34" s="19"/>
      <c r="O34" s="3" t="n">
        <v>2023</v>
      </c>
      <c r="P34" s="20"/>
      <c r="Q34" s="20"/>
      <c r="R34" s="20"/>
      <c r="S34" s="20"/>
      <c r="T34" s="20"/>
      <c r="U34" s="20"/>
      <c r="V34" s="20"/>
      <c r="W34" s="20"/>
      <c r="X34" s="20"/>
      <c r="Y34" s="20"/>
      <c r="Z34" s="20" t="n">
        <f aca="false">+H220</f>
        <v>0</v>
      </c>
      <c r="AA34" s="20" t="n">
        <f aca="false">+H221</f>
        <v>0</v>
      </c>
      <c r="AD34" s="21" t="n">
        <v>2022</v>
      </c>
      <c r="AE34" s="22"/>
      <c r="AF34" s="22"/>
      <c r="AG34" s="22"/>
      <c r="AH34" s="22"/>
      <c r="AI34" s="22"/>
      <c r="AJ34" s="22"/>
      <c r="AK34" s="22"/>
      <c r="AL34" s="22"/>
      <c r="AM34" s="22"/>
      <c r="AN34" s="22"/>
      <c r="AO34" s="22"/>
      <c r="AP34" s="22"/>
      <c r="AQ34" s="23"/>
      <c r="AR34" s="26"/>
      <c r="AS34" s="9"/>
    </row>
    <row r="35" customFormat="false" ht="15" hidden="false" customHeight="false" outlineLevel="0" collapsed="false">
      <c r="A35" s="17" t="n">
        <v>39660</v>
      </c>
      <c r="B35" s="20" t="n">
        <v>12628.9</v>
      </c>
      <c r="C35" s="25" t="n">
        <f aca="false">(B35/B34-1)/(A35-A34)*30</f>
        <v>0.00591104323244138</v>
      </c>
      <c r="D35" s="19"/>
      <c r="E35" s="19"/>
      <c r="F35" s="19"/>
      <c r="O35" s="3" t="n">
        <v>2024</v>
      </c>
      <c r="P35" s="20"/>
      <c r="Q35" s="20"/>
      <c r="R35" s="20" t="n">
        <f aca="false">+H224</f>
        <v>1000</v>
      </c>
      <c r="S35" s="20" t="n">
        <f aca="false">+H225</f>
        <v>1005.8464</v>
      </c>
      <c r="T35" s="20" t="n">
        <f aca="false">+H226</f>
        <v>1012.8819</v>
      </c>
      <c r="U35" s="20" t="n">
        <f aca="false">+H227</f>
        <v>1018.8107</v>
      </c>
      <c r="V35" s="20" t="n">
        <f aca="false">+H228</f>
        <v>1024.7784</v>
      </c>
      <c r="W35" s="20" t="n">
        <f aca="false">+H229</f>
        <v>1030.0486</v>
      </c>
      <c r="X35" s="20" t="n">
        <f aca="false">+H230</f>
        <v>1035.8135</v>
      </c>
      <c r="Y35" s="20" t="n">
        <f aca="false">+H231</f>
        <v>1040.5856</v>
      </c>
      <c r="Z35" s="20" t="n">
        <f aca="false">+H232</f>
        <v>1045.0807</v>
      </c>
      <c r="AA35" s="20" t="n">
        <f aca="false">+H233</f>
        <v>1049.9006</v>
      </c>
      <c r="AD35" s="21" t="n">
        <v>2023</v>
      </c>
      <c r="AE35" s="22"/>
      <c r="AF35" s="22"/>
      <c r="AG35" s="22"/>
      <c r="AH35" s="22"/>
      <c r="AI35" s="22"/>
      <c r="AJ35" s="22"/>
      <c r="AK35" s="22"/>
      <c r="AL35" s="22"/>
      <c r="AM35" s="22"/>
      <c r="AN35" s="22"/>
      <c r="AO35" s="22"/>
      <c r="AP35" s="22"/>
      <c r="AQ35" s="23"/>
      <c r="AR35" s="26"/>
      <c r="AS35" s="9"/>
    </row>
    <row r="36" customFormat="false" ht="15" hidden="false" customHeight="false" outlineLevel="0" collapsed="false">
      <c r="A36" s="17" t="n">
        <v>39689</v>
      </c>
      <c r="B36" s="20" t="n">
        <v>12704.63</v>
      </c>
      <c r="C36" s="25" t="n">
        <f aca="false">(B36/B35-1)/(A36-A35)*30</f>
        <v>0.00620334148740949</v>
      </c>
      <c r="D36" s="19"/>
      <c r="E36" s="19"/>
      <c r="F36" s="19"/>
      <c r="O36" s="3" t="n">
        <v>2025</v>
      </c>
      <c r="P36" s="20" t="n">
        <f aca="false">+H234</f>
        <v>1053.7877</v>
      </c>
      <c r="Q36" s="20" t="n">
        <f aca="false">+H235</f>
        <v>1058.303</v>
      </c>
      <c r="R36" s="20" t="n">
        <f aca="false">+H236</f>
        <v>1063.6086</v>
      </c>
      <c r="S36" s="20" t="n">
        <f aca="false">+H237</f>
        <v>1070.9973</v>
      </c>
      <c r="T36" s="20" t="n">
        <f aca="false">+H238</f>
        <v>1077.4596</v>
      </c>
      <c r="U36" s="20" t="n">
        <f aca="false">+H239</f>
        <v>1083.4836</v>
      </c>
      <c r="V36" s="20" t="n">
        <f aca="false">+H240</f>
        <v>1089.8893</v>
      </c>
      <c r="W36" s="20" t="n">
        <f aca="false">+H241</f>
        <v>1096.1978</v>
      </c>
      <c r="X36" s="20" t="n">
        <f aca="false">+H242</f>
        <v>1101.8984</v>
      </c>
      <c r="Y36" s="20" t="n">
        <f aca="false">+H243</f>
        <v>1108.1141</v>
      </c>
      <c r="Z36" s="20" t="n">
        <f aca="false">+H244</f>
        <v>1113.9827</v>
      </c>
      <c r="AA36" s="20" t="n">
        <f aca="false">+H245</f>
        <v>1120.4391</v>
      </c>
      <c r="AD36" s="21" t="n">
        <v>2024</v>
      </c>
      <c r="AE36" s="22"/>
      <c r="AF36" s="22"/>
      <c r="AG36" s="22"/>
      <c r="AH36" s="22" t="n">
        <f aca="false">+(S35/R35-1)</f>
        <v>0.00584640000000003</v>
      </c>
      <c r="AI36" s="22" t="n">
        <f aca="false">+(T35/S35-1)</f>
        <v>0.00699460673120655</v>
      </c>
      <c r="AJ36" s="22" t="n">
        <f aca="false">+(U35/T35-1)</f>
        <v>0.00585339712359367</v>
      </c>
      <c r="AK36" s="22" t="n">
        <f aca="false">+(V35/U35-1)</f>
        <v>0.00585751602333962</v>
      </c>
      <c r="AL36" s="22" t="n">
        <f aca="false">+(W35/V35-1)</f>
        <v>0.00514277037845456</v>
      </c>
      <c r="AM36" s="22" t="n">
        <f aca="false">+(X35/W35-1)</f>
        <v>0.00559672621272433</v>
      </c>
      <c r="AN36" s="22" t="n">
        <f aca="false">+(Y35/X35-1)</f>
        <v>0.00460710349884419</v>
      </c>
      <c r="AO36" s="22" t="n">
        <f aca="false">+(Z35/Y35-1)</f>
        <v>0.00431977917049764</v>
      </c>
      <c r="AP36" s="22" t="n">
        <f aca="false">+(AA35/Z35-1)</f>
        <v>0.00461198833735987</v>
      </c>
      <c r="AQ36" s="23" t="n">
        <f aca="false">+(AA35/R35-1)/COUNTA(AE36:AP36)*12</f>
        <v>0.0665341333333333</v>
      </c>
      <c r="AR36" s="9"/>
      <c r="AS36" s="9"/>
    </row>
    <row r="37" customFormat="false" ht="15" hidden="false" customHeight="false" outlineLevel="0" collapsed="false">
      <c r="A37" s="17"/>
      <c r="B37" s="20"/>
      <c r="C37" s="25"/>
      <c r="D37" s="19"/>
      <c r="E37" s="19"/>
      <c r="F37" s="19"/>
      <c r="O37" s="3" t="n">
        <v>2026</v>
      </c>
      <c r="P37" s="20" t="n">
        <f aca="false">+H246</f>
        <v>1126.4094</v>
      </c>
      <c r="Q37" s="20" t="n">
        <f aca="false">+H247</f>
        <v>1132.382</v>
      </c>
      <c r="R37" s="20" t="n">
        <f aca="false">+H248</f>
        <v>1138.6966</v>
      </c>
      <c r="S37" s="20" t="n">
        <f aca="false">+H249</f>
        <v>1145.1374</v>
      </c>
      <c r="T37" s="20"/>
      <c r="U37" s="20"/>
      <c r="V37" s="20"/>
      <c r="W37" s="20"/>
      <c r="X37" s="20"/>
      <c r="Y37" s="20"/>
      <c r="Z37" s="20"/>
      <c r="AA37" s="20"/>
      <c r="AD37" s="21" t="n">
        <v>2025</v>
      </c>
      <c r="AE37" s="22" t="n">
        <f aca="false">+(P36/AA35-1)</f>
        <v>0.00370235048917977</v>
      </c>
      <c r="AF37" s="22" t="n">
        <f aca="false">+(Q36/P36-1)</f>
        <v>0.00428482890813786</v>
      </c>
      <c r="AG37" s="22" t="n">
        <f aca="false">+(R36/Q36-1)</f>
        <v>0.00501330904287323</v>
      </c>
      <c r="AH37" s="22" t="n">
        <f aca="false">+(S36/R36-1)</f>
        <v>0.00694682235551691</v>
      </c>
      <c r="AI37" s="22" t="n">
        <f aca="false">+(T36/S36-1)</f>
        <v>0.0060339087689576</v>
      </c>
      <c r="AJ37" s="22" t="n">
        <f aca="false">+(U36/T36-1)</f>
        <v>0.00559092888494384</v>
      </c>
      <c r="AK37" s="22" t="n">
        <f aca="false">+(V36/U36-1)</f>
        <v>0.00591213378771949</v>
      </c>
      <c r="AL37" s="22" t="n">
        <f aca="false">+(W36/V36-1)</f>
        <v>0.00578820252662338</v>
      </c>
      <c r="AM37" s="22" t="n">
        <f aca="false">+(X36/W36-1)</f>
        <v>0.00520033884395699</v>
      </c>
      <c r="AN37" s="22" t="n">
        <f aca="false">+(Y36/X36-1)</f>
        <v>0.00564090119379435</v>
      </c>
      <c r="AO37" s="22" t="n">
        <f aca="false">+(Z36/Y36-1)</f>
        <v>0.00529602502125015</v>
      </c>
      <c r="AP37" s="22" t="n">
        <f aca="false">+(AA36/Z36-1)</f>
        <v>0.00579578120916957</v>
      </c>
      <c r="AQ37" s="23" t="n">
        <f aca="false">+(AA36/P36-1)/COUNTA(AE37:AP37)*12</f>
        <v>0.063249362276671</v>
      </c>
      <c r="AR37" s="9"/>
      <c r="AS37" s="9"/>
    </row>
    <row r="38" customFormat="false" ht="15" hidden="false" customHeight="false" outlineLevel="0" collapsed="false">
      <c r="A38" s="17" t="n">
        <v>39721</v>
      </c>
      <c r="B38" s="20" t="n">
        <v>12796.95</v>
      </c>
      <c r="C38" s="25" t="n">
        <f aca="false">(B38/B36-1)/(A38-A36)*30</f>
        <v>0.0068124770260921</v>
      </c>
      <c r="D38" s="19"/>
      <c r="E38" s="19"/>
      <c r="F38" s="19"/>
      <c r="P38" s="10" t="n">
        <v>31</v>
      </c>
      <c r="Q38" s="10" t="n">
        <v>28</v>
      </c>
      <c r="R38" s="10" t="n">
        <v>31</v>
      </c>
      <c r="S38" s="10" t="n">
        <v>30</v>
      </c>
      <c r="T38" s="10" t="n">
        <v>31</v>
      </c>
      <c r="U38" s="10" t="n">
        <v>30</v>
      </c>
      <c r="V38" s="10" t="n">
        <v>31</v>
      </c>
      <c r="W38" s="10" t="n">
        <v>31</v>
      </c>
      <c r="X38" s="10" t="n">
        <v>30</v>
      </c>
      <c r="Y38" s="10" t="n">
        <v>31</v>
      </c>
      <c r="Z38" s="10" t="n">
        <v>30</v>
      </c>
      <c r="AA38" s="10" t="n">
        <v>31</v>
      </c>
      <c r="AD38" s="21" t="n">
        <v>2026</v>
      </c>
      <c r="AE38" s="22" t="n">
        <f aca="false">+(P37/AA36-1)</f>
        <v>0.00532853592845872</v>
      </c>
      <c r="AF38" s="22" t="n">
        <f aca="false">+(Q37/P37-1)</f>
        <v>0.00530233501247412</v>
      </c>
      <c r="AG38" s="22" t="n">
        <f aca="false">+(R37/Q37-1)</f>
        <v>0.00557638676700956</v>
      </c>
      <c r="AH38" s="22" t="n">
        <f aca="false">+(S37/R37-1)</f>
        <v>0.00565629158811931</v>
      </c>
      <c r="AQ38" s="23" t="n">
        <f aca="false">+(S37/P37-1)/COUNTA(AE38:AP38)*12</f>
        <v>0.0498788451161718</v>
      </c>
      <c r="AR38" s="26" t="s">
        <v>24</v>
      </c>
      <c r="AS38" s="9"/>
    </row>
    <row r="39" customFormat="false" ht="15" hidden="false" customHeight="false" outlineLevel="0" collapsed="false">
      <c r="A39" s="17" t="n">
        <v>39752</v>
      </c>
      <c r="B39" s="20" t="n">
        <v>12885.37</v>
      </c>
      <c r="C39" s="25" t="n">
        <f aca="false">(B39/B38-1)/(A39-A38)*30</f>
        <v>0.00668657312371183</v>
      </c>
      <c r="D39" s="19"/>
      <c r="E39" s="19"/>
      <c r="F39" s="19"/>
      <c r="P39" s="10" t="n">
        <v>1</v>
      </c>
      <c r="Q39" s="10" t="n">
        <v>2</v>
      </c>
      <c r="R39" s="10" t="n">
        <v>3</v>
      </c>
      <c r="S39" s="10" t="n">
        <v>4</v>
      </c>
      <c r="T39" s="10" t="n">
        <v>5</v>
      </c>
      <c r="U39" s="10" t="n">
        <v>6</v>
      </c>
      <c r="V39" s="10" t="n">
        <v>7</v>
      </c>
      <c r="W39" s="10" t="n">
        <v>8</v>
      </c>
      <c r="X39" s="10" t="n">
        <v>9</v>
      </c>
      <c r="Y39" s="10" t="n">
        <v>10</v>
      </c>
      <c r="Z39" s="10" t="n">
        <v>11</v>
      </c>
      <c r="AA39" s="10" t="n">
        <v>12</v>
      </c>
      <c r="AD39" s="26" t="s">
        <v>28</v>
      </c>
      <c r="AE39" s="22"/>
      <c r="AF39" s="22"/>
      <c r="AG39" s="22"/>
      <c r="AH39" s="22"/>
      <c r="AI39" s="22"/>
      <c r="AJ39" s="22"/>
      <c r="AK39" s="22"/>
      <c r="AL39" s="22"/>
      <c r="AM39" s="22"/>
      <c r="AN39" s="22"/>
      <c r="AO39" s="22"/>
      <c r="AP39" s="22"/>
      <c r="AQ39" s="23"/>
      <c r="AR39" s="9"/>
      <c r="AS39" s="9"/>
    </row>
    <row r="40" customFormat="false" ht="15.75" hidden="false" customHeight="true" outlineLevel="0" collapsed="false">
      <c r="A40" s="17" t="n">
        <v>39780</v>
      </c>
      <c r="B40" s="20" t="n">
        <v>12970.93</v>
      </c>
      <c r="C40" s="25" t="n">
        <f aca="false">(B40/B39-1)/(A40-A39)*30</f>
        <v>0.0071143807722579</v>
      </c>
      <c r="D40" s="19"/>
      <c r="E40" s="19"/>
      <c r="F40" s="19"/>
      <c r="O40" s="34" t="s">
        <v>26</v>
      </c>
      <c r="P40" s="3" t="s">
        <v>4</v>
      </c>
      <c r="Q40" s="3" t="s">
        <v>5</v>
      </c>
      <c r="R40" s="3" t="s">
        <v>6</v>
      </c>
      <c r="S40" s="3" t="s">
        <v>7</v>
      </c>
      <c r="T40" s="3" t="s">
        <v>8</v>
      </c>
      <c r="U40" s="3" t="s">
        <v>9</v>
      </c>
      <c r="V40" s="3" t="s">
        <v>10</v>
      </c>
      <c r="W40" s="3" t="s">
        <v>11</v>
      </c>
      <c r="X40" s="3" t="s">
        <v>12</v>
      </c>
      <c r="Y40" s="3" t="s">
        <v>13</v>
      </c>
      <c r="Z40" s="3" t="s">
        <v>14</v>
      </c>
      <c r="AA40" s="3" t="s">
        <v>15</v>
      </c>
      <c r="AD40" s="36" t="s">
        <v>26</v>
      </c>
      <c r="AE40" s="8" t="s">
        <v>4</v>
      </c>
      <c r="AF40" s="8" t="s">
        <v>5</v>
      </c>
      <c r="AG40" s="8" t="s">
        <v>6</v>
      </c>
      <c r="AH40" s="8" t="s">
        <v>7</v>
      </c>
      <c r="AI40" s="8" t="s">
        <v>8</v>
      </c>
      <c r="AJ40" s="8" t="s">
        <v>9</v>
      </c>
      <c r="AK40" s="8" t="s">
        <v>10</v>
      </c>
      <c r="AL40" s="8" t="s">
        <v>11</v>
      </c>
      <c r="AM40" s="8" t="s">
        <v>12</v>
      </c>
      <c r="AN40" s="8" t="s">
        <v>13</v>
      </c>
      <c r="AO40" s="8" t="s">
        <v>14</v>
      </c>
      <c r="AP40" s="8" t="s">
        <v>15</v>
      </c>
      <c r="AQ40" s="8" t="s">
        <v>16</v>
      </c>
      <c r="AR40" s="9"/>
      <c r="AS40" s="9"/>
      <c r="BE40" s="40"/>
      <c r="BF40" s="40"/>
      <c r="BG40" s="40"/>
      <c r="BH40" s="40"/>
      <c r="BI40" s="40"/>
      <c r="BJ40" s="40"/>
    </row>
    <row r="41" customFormat="false" ht="15" hidden="false" customHeight="true" outlineLevel="0" collapsed="false">
      <c r="A41" s="17" t="n">
        <v>39813</v>
      </c>
      <c r="B41" s="20" t="n">
        <v>13066.33</v>
      </c>
      <c r="C41" s="25" t="n">
        <f aca="false">(B41/B40-1)/(A41-A40)*30</f>
        <v>0.00668628022256474</v>
      </c>
      <c r="D41" s="19"/>
      <c r="E41" s="19"/>
      <c r="F41" s="19"/>
      <c r="O41" s="3" t="n">
        <v>2016</v>
      </c>
      <c r="P41" s="20" t="n">
        <f aca="false">+K126</f>
        <v>999.91</v>
      </c>
      <c r="Q41" s="20" t="n">
        <f aca="false">+K127</f>
        <v>1003.0557</v>
      </c>
      <c r="R41" s="20" t="n">
        <f aca="false">+K128</f>
        <v>1006.748</v>
      </c>
      <c r="S41" s="20" t="n">
        <f aca="false">+K129</f>
        <v>1010.1901</v>
      </c>
      <c r="T41" s="20" t="n">
        <f aca="false">+K130</f>
        <v>1013.6123</v>
      </c>
      <c r="U41" s="35" t="n">
        <f aca="false">+K131</f>
        <v>1016.7787</v>
      </c>
      <c r="V41" s="35" t="n">
        <f aca="false">+K132</f>
        <v>1020.0427</v>
      </c>
      <c r="W41" s="35" t="n">
        <f aca="false">+K133</f>
        <v>1023.2554</v>
      </c>
      <c r="X41" s="35" t="n">
        <f aca="false">+K134</f>
        <v>1026.3402</v>
      </c>
      <c r="Y41" s="35" t="n">
        <f aca="false">+K135</f>
        <v>1029.5221</v>
      </c>
      <c r="Z41" s="35" t="n">
        <f aca="false">+K136</f>
        <v>1032.6171</v>
      </c>
      <c r="AA41" s="35" t="n">
        <f aca="false">+K137</f>
        <v>1035.8294</v>
      </c>
      <c r="AD41" s="14" t="n">
        <v>2016</v>
      </c>
      <c r="AE41" s="15"/>
      <c r="AF41" s="15" t="n">
        <f aca="false">+Q41/P41-1</f>
        <v>0.00314598313848258</v>
      </c>
      <c r="AG41" s="15" t="n">
        <f aca="false">+R41/Q41-1</f>
        <v>0.00368105180998435</v>
      </c>
      <c r="AH41" s="15" t="n">
        <f aca="false">+S41/R41-1</f>
        <v>0.00341902839638131</v>
      </c>
      <c r="AI41" s="15" t="n">
        <f aca="false">+T41/S41-1</f>
        <v>0.00338767921008132</v>
      </c>
      <c r="AJ41" s="15" t="n">
        <f aca="false">+U41/T41-1</f>
        <v>0.00312387685113924</v>
      </c>
      <c r="AK41" s="15" t="n">
        <f aca="false">+V41/U41-1</f>
        <v>0.00321013805658987</v>
      </c>
      <c r="AL41" s="15" t="n">
        <f aca="false">+W41/V41-1</f>
        <v>0.00314957403253802</v>
      </c>
      <c r="AM41" s="15" t="n">
        <f aca="false">+X41/W41-1</f>
        <v>0.00301469212867089</v>
      </c>
      <c r="AN41" s="15" t="n">
        <f aca="false">+Y41/X41-1</f>
        <v>0.00310023908251855</v>
      </c>
      <c r="AO41" s="15" t="n">
        <f aca="false">+Z41/Y41-1</f>
        <v>0.00300624921019188</v>
      </c>
      <c r="AP41" s="15" t="n">
        <f aca="false">+AA41/Z41-1</f>
        <v>0.00311083362845732</v>
      </c>
      <c r="AQ41" s="16" t="n">
        <f aca="false">+AA41/P41-1</f>
        <v>0.0359226330369735</v>
      </c>
      <c r="AR41" s="9"/>
      <c r="AS41" s="9"/>
      <c r="BE41" s="27"/>
      <c r="BF41" s="27"/>
      <c r="BG41" s="27"/>
      <c r="BH41" s="27"/>
      <c r="BI41" s="27"/>
      <c r="BJ41" s="47"/>
    </row>
    <row r="42" customFormat="false" ht="15" hidden="false" customHeight="true" outlineLevel="0" collapsed="false">
      <c r="A42" s="17" t="n">
        <v>39843</v>
      </c>
      <c r="B42" s="20" t="n">
        <v>13151.16</v>
      </c>
      <c r="C42" s="25" t="n">
        <f aca="false">(B42/B41-1)/(A42-A41)*30</f>
        <v>0.0064922591117782</v>
      </c>
      <c r="D42" s="19"/>
      <c r="E42" s="19"/>
      <c r="F42" s="19"/>
      <c r="O42" s="3" t="n">
        <v>2017</v>
      </c>
      <c r="P42" s="35" t="n">
        <f aca="false">+K138</f>
        <v>1039.2621</v>
      </c>
      <c r="Q42" s="35" t="n">
        <f aca="false">+K139</f>
        <v>1042.1611</v>
      </c>
      <c r="R42" s="35" t="n">
        <f aca="false">+K140</f>
        <v>1045.2075</v>
      </c>
      <c r="S42" s="35" t="n">
        <f aca="false">+K141</f>
        <v>1047.9294</v>
      </c>
      <c r="T42" s="35" t="n">
        <f aca="false">+K142</f>
        <v>1050.5427</v>
      </c>
      <c r="U42" s="4" t="n">
        <f aca="false">+$K143</f>
        <v>1052.9694</v>
      </c>
      <c r="V42" s="4" t="n">
        <f aca="false">+$K144</f>
        <v>1055.2846</v>
      </c>
      <c r="W42" s="4" t="n">
        <f aca="false">+$K145</f>
        <v>1057.4719</v>
      </c>
      <c r="X42" s="4" t="n">
        <f aca="false">+$K146</f>
        <v>1059.5996</v>
      </c>
      <c r="Y42" s="4" t="n">
        <f aca="false">+$K147</f>
        <v>1061.7911</v>
      </c>
      <c r="Z42" s="4" t="n">
        <f aca="false">+$K148</f>
        <v>1063.8688</v>
      </c>
      <c r="AA42" s="4" t="n">
        <f aca="false">+K149</f>
        <v>1066.0204</v>
      </c>
      <c r="AD42" s="21" t="n">
        <v>2017</v>
      </c>
      <c r="AE42" s="22" t="n">
        <f aca="false">+P42/AA41-1</f>
        <v>0.00331396270466922</v>
      </c>
      <c r="AF42" s="22" t="n">
        <f aca="false">+Q42/P42-1</f>
        <v>0.00278947918912853</v>
      </c>
      <c r="AG42" s="22" t="n">
        <f aca="false">+R42/Q42-1</f>
        <v>0.00292315650622532</v>
      </c>
      <c r="AH42" s="22" t="n">
        <f aca="false">+S42/R42-1</f>
        <v>0.0026041718988814</v>
      </c>
      <c r="AI42" s="22" t="n">
        <f aca="false">+T42/S42-1</f>
        <v>0.00249377486689473</v>
      </c>
      <c r="AJ42" s="22" t="n">
        <f aca="false">+U42/T42-1</f>
        <v>0.00230994894353165</v>
      </c>
      <c r="AK42" s="22" t="n">
        <f aca="false">+V42/U42-1</f>
        <v>0.0021987343601817</v>
      </c>
      <c r="AL42" s="22" t="n">
        <f aca="false">+W42/V42-1</f>
        <v>0.00207271100137341</v>
      </c>
      <c r="AM42" s="22" t="n">
        <f aca="false">+X42/W42-1</f>
        <v>0.00201206292101008</v>
      </c>
      <c r="AN42" s="22" t="n">
        <f aca="false">+Y42/X42-1</f>
        <v>0.00206823407634338</v>
      </c>
      <c r="AO42" s="22" t="n">
        <f aca="false">+Z42/Y42-1</f>
        <v>0.00195678792184273</v>
      </c>
      <c r="AP42" s="22" t="n">
        <f aca="false">+AA42/Z42-1</f>
        <v>0.00202242983345324</v>
      </c>
      <c r="AQ42" s="23" t="n">
        <f aca="false">+AA42/AA41-1</f>
        <v>0.0291466915304779</v>
      </c>
      <c r="AR42" s="9"/>
      <c r="AS42" s="9"/>
      <c r="BE42" s="27"/>
      <c r="BF42" s="27"/>
      <c r="BG42" s="27"/>
      <c r="BH42" s="27"/>
      <c r="BI42" s="27"/>
      <c r="BJ42" s="47"/>
    </row>
    <row r="43" customFormat="false" ht="15" hidden="false" customHeight="true" outlineLevel="0" collapsed="false">
      <c r="A43" s="17" t="n">
        <v>39871</v>
      </c>
      <c r="B43" s="20" t="n">
        <v>13212.09</v>
      </c>
      <c r="C43" s="25" t="n">
        <f aca="false">(B43/B42-1)/(A43-A42)*30</f>
        <v>0.00496398362252023</v>
      </c>
      <c r="D43" s="19"/>
      <c r="E43" s="19"/>
      <c r="F43" s="19"/>
      <c r="O43" s="3" t="n">
        <v>2018</v>
      </c>
      <c r="P43" s="35" t="n">
        <f aca="false">+K150</f>
        <v>1068.2126</v>
      </c>
      <c r="Q43" s="35" t="n">
        <f aca="false">+K151</f>
        <v>1070.2119</v>
      </c>
      <c r="R43" s="35" t="n">
        <f aca="false">+K152</f>
        <v>1072.548</v>
      </c>
      <c r="S43" s="35" t="n">
        <f aca="false">+K153</f>
        <v>1074.6551</v>
      </c>
      <c r="T43" s="20" t="n">
        <f aca="false">+K154</f>
        <v>1076.9917</v>
      </c>
      <c r="U43" s="20" t="n">
        <f aca="false">+K155</f>
        <v>1079.3907</v>
      </c>
      <c r="V43" s="20" t="n">
        <f aca="false">+K156</f>
        <v>1081.8116</v>
      </c>
      <c r="W43" s="20" t="n">
        <f aca="false">+K157</f>
        <v>1084.2472</v>
      </c>
      <c r="X43" s="20" t="n">
        <f aca="false">+K158</f>
        <v>1086.6424</v>
      </c>
      <c r="Y43" s="20" t="n">
        <f aca="false">+K159</f>
        <v>4807.6121</v>
      </c>
      <c r="Z43" s="20" t="n">
        <f aca="false">+K160</f>
        <v>4812.5415</v>
      </c>
      <c r="AA43" s="20" t="n">
        <f aca="false">+K161</f>
        <v>4819.2415</v>
      </c>
      <c r="AD43" s="14" t="n">
        <v>2018</v>
      </c>
      <c r="AE43" s="15" t="n">
        <f aca="false">+P43/AA42-1</f>
        <v>0.00205643344161133</v>
      </c>
      <c r="AF43" s="15" t="n">
        <f aca="false">+Q43/P43-1</f>
        <v>0.00187163117154765</v>
      </c>
      <c r="AG43" s="15" t="n">
        <f aca="false">+R43/Q43-1</f>
        <v>0.00218283874436453</v>
      </c>
      <c r="AH43" s="15" t="n">
        <f aca="false">+S43/R43-1</f>
        <v>0.0019645740796681</v>
      </c>
      <c r="AI43" s="15" t="n">
        <f aca="false">+T43/S43-1</f>
        <v>0.0021742789849506</v>
      </c>
      <c r="AJ43" s="15" t="n">
        <f aca="false">+U43/T43-1</f>
        <v>0.00222750091760204</v>
      </c>
      <c r="AK43" s="27" t="n">
        <f aca="false">+V43/U43-1</f>
        <v>0.00224283940930747</v>
      </c>
      <c r="AL43" s="27" t="n">
        <f aca="false">+W43/V43-1</f>
        <v>0.00225140865562912</v>
      </c>
      <c r="AM43" s="27" t="n">
        <f aca="false">+X43/W43-1</f>
        <v>0.00220909032552719</v>
      </c>
      <c r="AN43" s="15" t="n">
        <f aca="false">+Y43/X43-1</f>
        <v>3.4242817140211</v>
      </c>
      <c r="AO43" s="15" t="n">
        <f aca="false">+Z43/Y43-1</f>
        <v>0.00102533230582402</v>
      </c>
      <c r="AP43" s="15" t="n">
        <f aca="false">+AA43/Z43-1</f>
        <v>0.00139219578677907</v>
      </c>
      <c r="AQ43" s="16" t="n">
        <f aca="false">+AA43/AA42-1</f>
        <v>3.5207779325799</v>
      </c>
      <c r="AR43" s="9"/>
      <c r="AS43" s="9"/>
      <c r="BE43" s="27"/>
      <c r="BF43" s="27"/>
      <c r="BG43" s="27"/>
      <c r="BH43" s="27"/>
      <c r="BI43" s="27"/>
      <c r="BJ43" s="47"/>
    </row>
    <row r="44" customFormat="false" ht="15" hidden="false" customHeight="false" outlineLevel="0" collapsed="false">
      <c r="A44" s="17" t="n">
        <v>39903</v>
      </c>
      <c r="B44" s="20" t="n">
        <v>13251.18</v>
      </c>
      <c r="C44" s="25" t="n">
        <f aca="false">(B44/B43-1)/(A44-A43)*30</f>
        <v>0.00277373791731671</v>
      </c>
      <c r="D44" s="19"/>
      <c r="E44" s="19"/>
      <c r="F44" s="19"/>
      <c r="O44" s="3" t="n">
        <v>2019</v>
      </c>
      <c r="P44" s="3" t="n">
        <f aca="false">+K162</f>
        <v>4825.82</v>
      </c>
      <c r="Q44" s="3" t="n">
        <f aca="false">+K163</f>
        <v>4832.1058</v>
      </c>
      <c r="R44" s="18" t="n">
        <f aca="false">+K164</f>
        <v>4839.1073</v>
      </c>
      <c r="S44" s="18" t="n">
        <f aca="false">+K165</f>
        <v>4845.9628</v>
      </c>
      <c r="T44" s="18" t="n">
        <f aca="false">+K166</f>
        <v>4852.5891</v>
      </c>
      <c r="U44" s="3" t="n">
        <f aca="false">+K167</f>
        <v>4858.4077</v>
      </c>
      <c r="V44" s="3" t="n">
        <f aca="false">+K168</f>
        <v>4863.4466</v>
      </c>
      <c r="W44" s="3" t="n">
        <f aca="false">+K169</f>
        <v>4868.1253</v>
      </c>
      <c r="X44" s="48" t="n">
        <f aca="false">+K170</f>
        <v>4873.326</v>
      </c>
      <c r="Y44" s="48" t="n">
        <f aca="false">+K171</f>
        <v>4876.4951</v>
      </c>
      <c r="Z44" s="3" t="n">
        <f aca="false">+K172</f>
        <v>4879.8683</v>
      </c>
      <c r="AA44" s="3" t="n">
        <f aca="false">+K173</f>
        <v>4882.8959</v>
      </c>
      <c r="AD44" s="21" t="n">
        <v>2019</v>
      </c>
      <c r="AE44" s="22" t="n">
        <f aca="false">+P44/AA43-1</f>
        <v>0.00136504883600441</v>
      </c>
      <c r="AF44" s="22" t="n">
        <f aca="false">+Q44/P44-1</f>
        <v>0.00130253511320366</v>
      </c>
      <c r="AG44" s="22" t="n">
        <f aca="false">+R44/Q44-1</f>
        <v>0.00144895420129232</v>
      </c>
      <c r="AH44" s="22" t="n">
        <f aca="false">+S44/R44-1</f>
        <v>0.0014166869166139</v>
      </c>
      <c r="AI44" s="22" t="n">
        <f aca="false">+T44/S44-1</f>
        <v>0.0013673856514127</v>
      </c>
      <c r="AJ44" s="22" t="n">
        <f aca="false">+U44/T44-1</f>
        <v>0.00119907123395202</v>
      </c>
      <c r="AK44" s="22" t="n">
        <f aca="false">+V44/U44-1</f>
        <v>0.00103715050509257</v>
      </c>
      <c r="AL44" s="22" t="n">
        <f aca="false">+W44/V44-1</f>
        <v>0.000962013235634052</v>
      </c>
      <c r="AM44" s="22" t="n">
        <f aca="false">+X44/W44-1</f>
        <v>0.00106831679127084</v>
      </c>
      <c r="AN44" s="22" t="n">
        <f aca="false">+Y44/X44-1</f>
        <v>0.000650295096203291</v>
      </c>
      <c r="AO44" s="22" t="n">
        <f aca="false">+Z44/Y44-1</f>
        <v>0.000691726317945118</v>
      </c>
      <c r="AP44" s="22" t="n">
        <f aca="false">+AA44/Z44-1</f>
        <v>0.000620426579955202</v>
      </c>
      <c r="AQ44" s="23" t="n">
        <f aca="false">+(AA44/AA43-1)/COUNTA(AE44:AP44)*12</f>
        <v>0.013208385593459</v>
      </c>
      <c r="AR44" s="9"/>
      <c r="AS44" s="9"/>
      <c r="BE44" s="27"/>
      <c r="BF44" s="27"/>
      <c r="BG44" s="27"/>
      <c r="BH44" s="27"/>
      <c r="BI44" s="27"/>
      <c r="BJ44" s="47"/>
    </row>
    <row r="45" customFormat="false" ht="15" hidden="false" customHeight="false" outlineLevel="0" collapsed="false">
      <c r="A45" s="17" t="n">
        <v>39933</v>
      </c>
      <c r="B45" s="20" t="n">
        <v>13272.62</v>
      </c>
      <c r="C45" s="25" t="n">
        <f aca="false">(B45/B44-1)/(A45-A44)*30</f>
        <v>0.00161796911671264</v>
      </c>
      <c r="D45" s="19"/>
      <c r="E45" s="19"/>
      <c r="F45" s="19"/>
      <c r="O45" s="3" t="n">
        <v>2020</v>
      </c>
      <c r="P45" s="3" t="n">
        <f aca="false">+K174</f>
        <v>4885.3887</v>
      </c>
      <c r="Q45" s="3" t="n">
        <f aca="false">+K175</f>
        <v>4887.7164</v>
      </c>
      <c r="R45" s="3" t="n">
        <f aca="false">+K176</f>
        <v>4892.3528</v>
      </c>
      <c r="S45" s="3" t="n">
        <f aca="false">+K177</f>
        <v>4903.1164</v>
      </c>
      <c r="T45" s="3" t="n">
        <f aca="false">+K178</f>
        <v>4903.90225</v>
      </c>
      <c r="U45" s="3" t="n">
        <f aca="false">+K179</f>
        <v>4904.6881</v>
      </c>
      <c r="V45" s="3" t="n">
        <f aca="false">+K180</f>
        <v>4905.1791</v>
      </c>
      <c r="W45" s="3" t="n">
        <f aca="false">+K181</f>
        <v>4906.1183</v>
      </c>
      <c r="X45" s="3" t="n">
        <f aca="false">+K182</f>
        <v>4906.466</v>
      </c>
      <c r="Y45" s="3" t="n">
        <f aca="false">+K183</f>
        <v>4906.7963</v>
      </c>
      <c r="Z45" s="3" t="n">
        <f aca="false">+K184</f>
        <v>4907.0953</v>
      </c>
      <c r="AA45" s="3" t="n">
        <f aca="false">+K185</f>
        <v>4907.3928</v>
      </c>
      <c r="AD45" s="21" t="n">
        <v>2020</v>
      </c>
      <c r="AE45" s="22" t="n">
        <f aca="false">+(P45/AA44-1)</f>
        <v>0.000510516720211074</v>
      </c>
      <c r="AF45" s="22" t="n">
        <f aca="false">+(Q45/P45-1)</f>
        <v>0.000476461576127907</v>
      </c>
      <c r="AG45" s="22" t="n">
        <f aca="false">+(R45/Q45-1)</f>
        <v>0.00094858204129844</v>
      </c>
      <c r="AH45" s="22" t="n">
        <f aca="false">+(S45/R45-1)</f>
        <v>0.00220008663316351</v>
      </c>
      <c r="AI45" s="22" t="n">
        <f aca="false">+(T45/S45-1)</f>
        <v>0.000160275615728844</v>
      </c>
      <c r="AJ45" s="22" t="n">
        <f aca="false">+(U45/T45-1)</f>
        <v>0.000160249931572487</v>
      </c>
      <c r="AK45" s="22" t="n">
        <f aca="false">+(V45/U45-1)</f>
        <v>0.000100108302503399</v>
      </c>
      <c r="AL45" s="22" t="n">
        <f aca="false">+(W45/V45-1)</f>
        <v>0.000191471092258366</v>
      </c>
      <c r="AM45" s="22" t="n">
        <f aca="false">+(X45/W45-1)</f>
        <v>7.08706922130098E-005</v>
      </c>
      <c r="AN45" s="22" t="n">
        <f aca="false">+(Y45/X45-1)</f>
        <v>6.73193292279883E-005</v>
      </c>
      <c r="AO45" s="22" t="n">
        <f aca="false">+(Z45/Y45-1)</f>
        <v>6.09358900838242E-005</v>
      </c>
      <c r="AP45" s="22" t="n">
        <f aca="false">+(AA45/Z45-1)</f>
        <v>6.06264973088688E-005</v>
      </c>
      <c r="AQ45" s="23" t="n">
        <f aca="false">+(AA45/AA44-1)/COUNTA(AE45:AP45)*12</f>
        <v>0.00501687943009377</v>
      </c>
      <c r="AR45" s="9"/>
      <c r="AS45" s="9"/>
      <c r="BE45" s="27"/>
      <c r="BF45" s="27"/>
      <c r="BG45" s="27"/>
      <c r="BH45" s="27"/>
      <c r="BI45" s="27"/>
      <c r="BJ45" s="47"/>
    </row>
    <row r="46" customFormat="false" ht="15" hidden="false" customHeight="false" outlineLevel="0" collapsed="false">
      <c r="A46" s="17" t="n">
        <v>39962</v>
      </c>
      <c r="B46" s="20" t="n">
        <v>13286.96</v>
      </c>
      <c r="C46" s="25" t="n">
        <f aca="false">(B46/B45-1)/(A46-A45)*30</f>
        <v>0.00111767554247918</v>
      </c>
      <c r="D46" s="19"/>
      <c r="E46" s="19"/>
      <c r="F46" s="19"/>
      <c r="O46" s="3" t="n">
        <v>2021</v>
      </c>
      <c r="Q46" s="3" t="n">
        <f aca="false">+K187</f>
        <v>4907.9052</v>
      </c>
      <c r="R46" s="3" t="n">
        <f aca="false">+K188</f>
        <v>4908.1704</v>
      </c>
      <c r="S46" s="3" t="n">
        <f aca="false">+K189</f>
        <v>4908.4956</v>
      </c>
      <c r="T46" s="3" t="n">
        <f aca="false">+K190</f>
        <v>4908.7905</v>
      </c>
      <c r="U46" s="3" t="n">
        <f aca="false">+K191</f>
        <v>4909.0847</v>
      </c>
      <c r="V46" s="3" t="n">
        <f aca="false">+K192</f>
        <v>4909.3885</v>
      </c>
      <c r="W46" s="3" t="n">
        <f aca="false">+K193</f>
        <v>4909.6931</v>
      </c>
      <c r="X46" s="18" t="n">
        <f aca="false">+K194</f>
        <v>4909.1149</v>
      </c>
      <c r="Y46" s="3" t="n">
        <f aca="false">+K195</f>
        <v>4914.1336</v>
      </c>
      <c r="Z46" s="18" t="n">
        <f aca="false">+K196</f>
        <v>4920.3216</v>
      </c>
      <c r="AA46" s="3" t="n">
        <f aca="false">+K197</f>
        <v>4929.2918</v>
      </c>
      <c r="AD46" s="21" t="n">
        <v>2021</v>
      </c>
      <c r="AE46" s="22"/>
      <c r="AF46" s="22" t="n">
        <f aca="false">+L187</f>
        <v>6.66195152189254E-005</v>
      </c>
      <c r="AG46" s="22" t="n">
        <f aca="false">+(R46/Q46-1)</f>
        <v>5.40352735418637E-005</v>
      </c>
      <c r="AH46" s="22" t="n">
        <f aca="false">+(S46/R46-1)</f>
        <v>6.6256868343384E-005</v>
      </c>
      <c r="AI46" s="22" t="n">
        <f aca="false">+(T46/S46-1)</f>
        <v>6.00795078637972E-005</v>
      </c>
      <c r="AJ46" s="22" t="n">
        <f aca="false">+(U46/T46-1)</f>
        <v>5.99332972144318E-005</v>
      </c>
      <c r="AK46" s="22" t="n">
        <f aca="false">+(V46/U46-1)</f>
        <v>6.18852634586276E-005</v>
      </c>
      <c r="AL46" s="22" t="n">
        <f aca="false">+(W46/V46-1)</f>
        <v>6.20443869945309E-005</v>
      </c>
      <c r="AM46" s="22" t="n">
        <f aca="false">+(X46/W46-1)</f>
        <v>-0.000117767035173966</v>
      </c>
      <c r="AN46" s="22" t="n">
        <f aca="false">+(Y46/X46-1)</f>
        <v>0.0010223227816486</v>
      </c>
      <c r="AO46" s="22" t="n">
        <f aca="false">+(Z46/Y46-1)</f>
        <v>0.00125922502391873</v>
      </c>
      <c r="AP46" s="22" t="n">
        <f aca="false">+(AA46/Z46-1)</f>
        <v>0.0018230922141349</v>
      </c>
      <c r="AQ46" s="23" t="n">
        <f aca="false">+(AA46/Q46-1)/COUNTA(AF46:AP46)*12</f>
        <v>0.00475372596105483</v>
      </c>
      <c r="AR46" s="9"/>
      <c r="AS46" s="9"/>
      <c r="BD46" s="27"/>
      <c r="BE46" s="27"/>
      <c r="BF46" s="27"/>
      <c r="BG46" s="27"/>
      <c r="BH46" s="27"/>
      <c r="BI46" s="27"/>
      <c r="BJ46" s="47"/>
    </row>
    <row r="47" customFormat="false" ht="15.75" hidden="false" customHeight="true" outlineLevel="0" collapsed="false">
      <c r="A47" s="17" t="n">
        <v>39994</v>
      </c>
      <c r="B47" s="20" t="n">
        <v>13299.08</v>
      </c>
      <c r="C47" s="25" t="n">
        <f aca="false">(B47/B46-1)/(A47-A46)*30</f>
        <v>0.000855161752575523</v>
      </c>
      <c r="D47" s="19"/>
      <c r="E47" s="19"/>
      <c r="F47" s="19"/>
      <c r="O47" s="3" t="n">
        <v>2022</v>
      </c>
      <c r="P47" s="3" t="n">
        <f aca="false">+K198</f>
        <v>4941.9683</v>
      </c>
      <c r="Q47" s="3" t="n">
        <f aca="false">+K199</f>
        <v>4958.2785</v>
      </c>
      <c r="R47" s="3" t="n">
        <f aca="false">+K200</f>
        <v>4977.0833</v>
      </c>
      <c r="S47" s="3" t="n">
        <f aca="false">+K201</f>
        <v>4999.8366</v>
      </c>
      <c r="T47" s="3" t="n">
        <f aca="false">+K202</f>
        <v>5027.3885</v>
      </c>
      <c r="U47" s="18" t="n">
        <f aca="false">+K203</f>
        <v>5056.9676</v>
      </c>
      <c r="V47" s="3" t="n">
        <f aca="false">+K204</f>
        <v>5089.8979</v>
      </c>
      <c r="W47" s="18" t="n">
        <f aca="false">+K205</f>
        <v>5125.6822</v>
      </c>
      <c r="X47" s="18" t="n">
        <f aca="false">+K206</f>
        <v>5163.2829</v>
      </c>
      <c r="Y47" s="18" t="n">
        <f aca="false">+K207</f>
        <v>5200.6767</v>
      </c>
      <c r="Z47" s="18" t="n">
        <f aca="false">+K208</f>
        <v>5246.14</v>
      </c>
      <c r="AA47" s="3" t="n">
        <f aca="false">+K209</f>
        <v>5287.7323</v>
      </c>
      <c r="AD47" s="21" t="n">
        <v>2022</v>
      </c>
      <c r="AE47" s="22" t="n">
        <f aca="false">+(P47/AA46-1)</f>
        <v>0.00257166759736172</v>
      </c>
      <c r="AF47" s="22" t="n">
        <f aca="false">+(Q47/P47-1)</f>
        <v>0.00330034492532061</v>
      </c>
      <c r="AG47" s="22" t="n">
        <f aca="false">+(R47/Q47-1)</f>
        <v>0.00379260664764991</v>
      </c>
      <c r="AH47" s="22" t="n">
        <f aca="false">+(S47/R47-1)</f>
        <v>0.00457161325790945</v>
      </c>
      <c r="AI47" s="22" t="n">
        <f aca="false">+(T47/S47-1)</f>
        <v>0.00551056008510376</v>
      </c>
      <c r="AJ47" s="22" t="n">
        <f aca="false">+(U47/T47-1)</f>
        <v>0.00588359145110817</v>
      </c>
      <c r="AK47" s="22" t="n">
        <f aca="false">+(V47/U47-1)</f>
        <v>0.00651186691407713</v>
      </c>
      <c r="AL47" s="22" t="n">
        <f aca="false">+(W47/V47-1)</f>
        <v>0.00703045536532287</v>
      </c>
      <c r="AM47" s="22" t="n">
        <f aca="false">+(X47/W47-1)</f>
        <v>0.00733574547403659</v>
      </c>
      <c r="AN47" s="22" t="n">
        <f aca="false">+(Y47/X47-1)</f>
        <v>0.00724225279230772</v>
      </c>
      <c r="AO47" s="22" t="n">
        <f aca="false">+(Z47/Y47-1)</f>
        <v>0.00874180469630037</v>
      </c>
      <c r="AP47" s="22" t="n">
        <f aca="false">+(AA47/Z47-1)</f>
        <v>0.00792817195118678</v>
      </c>
      <c r="AQ47" s="23" t="n">
        <f aca="false">+(AA47/AA46-1)/COUNTA(AE47:AP47)*12</f>
        <v>0.0727164295690508</v>
      </c>
      <c r="AR47" s="9"/>
      <c r="AS47" s="9"/>
      <c r="BD47" s="27"/>
      <c r="BE47" s="27"/>
      <c r="BF47" s="27"/>
      <c r="BG47" s="27"/>
      <c r="BH47" s="27"/>
      <c r="BI47" s="27"/>
      <c r="BJ47" s="47"/>
    </row>
    <row r="48" customFormat="false" ht="15" hidden="false" customHeight="false" outlineLevel="0" collapsed="false">
      <c r="A48" s="17" t="n">
        <v>40025</v>
      </c>
      <c r="B48" s="20" t="n">
        <v>13305.34</v>
      </c>
      <c r="C48" s="25" t="n">
        <f aca="false">(B48/B47-1)/(A48-A47)*30</f>
        <v>0.000455525082647034</v>
      </c>
      <c r="D48" s="19"/>
      <c r="E48" s="19"/>
      <c r="F48" s="19"/>
      <c r="O48" s="3" t="n">
        <v>2023</v>
      </c>
      <c r="P48" s="3" t="n">
        <f aca="false">+K210</f>
        <v>5332.3677</v>
      </c>
      <c r="Q48" s="3" t="n">
        <f aca="false">+K211</f>
        <v>5371.762</v>
      </c>
      <c r="R48" s="3" t="n">
        <f aca="false">+K212</f>
        <v>5415.8662</v>
      </c>
      <c r="S48" s="3" t="n">
        <f aca="false">+K213</f>
        <v>5456.2587</v>
      </c>
      <c r="T48" s="18" t="n">
        <f aca="false">+K214</f>
        <v>5504.4106</v>
      </c>
      <c r="U48" s="3" t="n">
        <f aca="false">+K215</f>
        <v>5548.4618</v>
      </c>
      <c r="V48" s="3" t="n">
        <f aca="false">+K216</f>
        <v>5593.984</v>
      </c>
      <c r="W48" s="18" t="n">
        <f aca="false">+K217</f>
        <v>5636.4775</v>
      </c>
      <c r="X48" s="18" t="n">
        <f aca="false">+K218</f>
        <v>5674.7198</v>
      </c>
      <c r="Y48" s="3" t="n">
        <f aca="false">+K219</f>
        <v>5712.6049</v>
      </c>
      <c r="Z48" s="18" t="n">
        <f aca="false">+K220</f>
        <v>5747.8492</v>
      </c>
      <c r="AA48" s="3" t="n">
        <f aca="false">+K221</f>
        <v>5782.92</v>
      </c>
      <c r="AD48" s="21" t="n">
        <v>2023</v>
      </c>
      <c r="AE48" s="22" t="n">
        <f aca="false">+(P48/AA47-1)</f>
        <v>0.00844131235614931</v>
      </c>
      <c r="AF48" s="22" t="n">
        <f aca="false">+(Q48/P48-1)</f>
        <v>0.0073877688517241</v>
      </c>
      <c r="AG48" s="22" t="n">
        <f aca="false">+(R48/Q48-1)</f>
        <v>0.00821037864298546</v>
      </c>
      <c r="AH48" s="22" t="n">
        <f aca="false">+(S48/R48-1)</f>
        <v>0.00745817908130753</v>
      </c>
      <c r="AI48" s="22" t="n">
        <f aca="false">+(T48/S48-1)</f>
        <v>0.00882507642095476</v>
      </c>
      <c r="AJ48" s="22" t="n">
        <f aca="false">+(U48/T48-1)</f>
        <v>0.00800289135407151</v>
      </c>
      <c r="AK48" s="22" t="n">
        <f aca="false">+(V48/U48-1)</f>
        <v>0.00820447209350883</v>
      </c>
      <c r="AL48" s="22" t="n">
        <f aca="false">+(W48/V48-1)</f>
        <v>0.00759628558108139</v>
      </c>
      <c r="AM48" s="22" t="n">
        <f aca="false">+(X48/W48-1)</f>
        <v>0.00678478712990516</v>
      </c>
      <c r="AN48" s="22" t="n">
        <f aca="false">+(Y48/X48-1)</f>
        <v>0.00667611817591429</v>
      </c>
      <c r="AO48" s="22" t="n">
        <f aca="false">+(Z48/Y48-1)</f>
        <v>0.00616956723192952</v>
      </c>
      <c r="AP48" s="22" t="n">
        <f aca="false">+(AA48/Z48-1)</f>
        <v>0.00610155186395645</v>
      </c>
      <c r="AQ48" s="23" t="n">
        <f aca="false">+(AA48/P48-1)/COUNTA(AE48:AP48)*12</f>
        <v>0.0844938543904241</v>
      </c>
      <c r="AR48" s="9"/>
      <c r="AS48" s="9"/>
      <c r="BD48" s="27"/>
      <c r="BE48" s="27"/>
      <c r="BF48" s="27"/>
      <c r="BG48" s="27"/>
      <c r="BH48" s="27"/>
      <c r="BI48" s="27"/>
      <c r="BJ48" s="47"/>
    </row>
    <row r="49" customFormat="false" ht="15" hidden="false" customHeight="false" outlineLevel="0" collapsed="false">
      <c r="A49" s="17" t="n">
        <v>40056</v>
      </c>
      <c r="B49" s="20" t="n">
        <v>13310.07</v>
      </c>
      <c r="C49" s="25" t="n">
        <f aca="false">(B49/B48-1)/(A49-A48)*30</f>
        <v>0.000344028739952432</v>
      </c>
      <c r="D49" s="19"/>
      <c r="E49" s="19"/>
      <c r="F49" s="19"/>
      <c r="O49" s="3" t="n">
        <v>2024</v>
      </c>
      <c r="P49" s="18" t="n">
        <f aca="false">+K222</f>
        <v>5816.8769</v>
      </c>
      <c r="Q49" s="3" t="n">
        <f aca="false">+K223</f>
        <v>5846.4552</v>
      </c>
      <c r="R49" s="18" t="n">
        <f aca="false">+K224</f>
        <v>5872.4728</v>
      </c>
      <c r="S49" s="3" t="n">
        <f aca="false">+K225</f>
        <v>5900.1916</v>
      </c>
      <c r="T49" s="3" t="n">
        <f aca="false">+K226</f>
        <v>5924.7824</v>
      </c>
      <c r="U49" s="3" t="n">
        <f aca="false">+K227</f>
        <v>5946.409</v>
      </c>
      <c r="V49" s="3" t="n">
        <f aca="false">+K228</f>
        <v>5968.019</v>
      </c>
      <c r="W49" s="3" t="n">
        <f aca="false">+K229</f>
        <v>5989.669</v>
      </c>
      <c r="X49" s="3" t="n">
        <f aca="false">+K230</f>
        <v>6009.8868</v>
      </c>
      <c r="Y49" s="3" t="n">
        <f aca="false">+K231</f>
        <v>6030.3854</v>
      </c>
      <c r="Z49" s="3" t="n">
        <f aca="false">+K232</f>
        <v>6049.8055</v>
      </c>
      <c r="AA49" s="3" t="n">
        <f aca="false">+K233</f>
        <v>6069.3455</v>
      </c>
      <c r="AD49" s="21" t="n">
        <v>2024</v>
      </c>
      <c r="AE49" s="22"/>
      <c r="AF49" s="22"/>
      <c r="AG49" s="22"/>
      <c r="AH49" s="22" t="n">
        <f aca="false">+(S49/R49-1)</f>
        <v>0.00472012403360989</v>
      </c>
      <c r="AI49" s="22" t="n">
        <f aca="false">+(T49/S49-1)</f>
        <v>0.00416779685595303</v>
      </c>
      <c r="AJ49" s="22" t="n">
        <f aca="false">+(U49/T49-1)</f>
        <v>0.00365019312776771</v>
      </c>
      <c r="AK49" s="22" t="n">
        <f aca="false">+(V49/U49-1)</f>
        <v>0.00363412607508162</v>
      </c>
      <c r="AL49" s="22" t="n">
        <f aca="false">+(W49/V49-1)</f>
        <v>0.00362766941593184</v>
      </c>
      <c r="AM49" s="22" t="n">
        <f aca="false">+(X49/W49-1)</f>
        <v>0.0033754452875443</v>
      </c>
      <c r="AN49" s="22" t="n">
        <f aca="false">+(Y49/X49-1)</f>
        <v>0.00341081299567914</v>
      </c>
      <c r="AO49" s="22" t="n">
        <f aca="false">+(Z49/Y49-1)</f>
        <v>0.00322037460491331</v>
      </c>
      <c r="AP49" s="22" t="n">
        <f aca="false">+(AA49/Z49-1)</f>
        <v>0.003229855901979</v>
      </c>
      <c r="AQ49" s="23" t="n">
        <f aca="false">+(AA49/R49-1)/COUNTA(AE49:AP49)*12</f>
        <v>0.0446995571155876</v>
      </c>
      <c r="AR49" s="9"/>
      <c r="AS49" s="9"/>
      <c r="BD49" s="27"/>
      <c r="BE49" s="27"/>
      <c r="BF49" s="27"/>
      <c r="BG49" s="27"/>
      <c r="BH49" s="27"/>
      <c r="BI49" s="27"/>
      <c r="BJ49" s="47"/>
    </row>
    <row r="50" customFormat="false" ht="15" hidden="false" customHeight="false" outlineLevel="0" collapsed="false">
      <c r="A50" s="17" t="n">
        <v>40086</v>
      </c>
      <c r="B50" s="20" t="n">
        <v>13315.05</v>
      </c>
      <c r="C50" s="25" t="n">
        <f aca="false">(B50/B49-1)/(A50-A49)*30</f>
        <v>0.000374152803103156</v>
      </c>
      <c r="D50" s="19"/>
      <c r="E50" s="19"/>
      <c r="F50" s="19"/>
      <c r="O50" s="3" t="n">
        <v>2025</v>
      </c>
      <c r="P50" s="3" t="n">
        <f aca="false">+K234</f>
        <v>6087.6762</v>
      </c>
      <c r="Q50" s="3" t="n">
        <f aca="false">+K235</f>
        <v>6104.4912</v>
      </c>
      <c r="R50" s="3" t="n">
        <f aca="false">+K236</f>
        <v>6123.1882</v>
      </c>
      <c r="S50" s="3" t="n">
        <f aca="false">+K237</f>
        <v>6141.4105</v>
      </c>
      <c r="T50" s="3" t="n">
        <f aca="false">+K238</f>
        <v>6160.386</v>
      </c>
      <c r="U50" s="3" t="n">
        <f aca="false">+K239</f>
        <v>6178.849</v>
      </c>
      <c r="V50" s="3" t="n">
        <f aca="false">+K240</f>
        <v>6197.08</v>
      </c>
      <c r="W50" s="3" t="n">
        <f aca="false">+K241</f>
        <v>6215.6746</v>
      </c>
      <c r="X50" s="3" t="n">
        <f aca="false">+K242</f>
        <v>6232.8399</v>
      </c>
      <c r="Y50" s="3" t="n">
        <f aca="false">+K243</f>
        <v>6250.6982</v>
      </c>
      <c r="Z50" s="3" t="n">
        <f aca="false">+K244</f>
        <v>6268.169</v>
      </c>
      <c r="AA50" s="3" t="n">
        <f aca="false">+K245</f>
        <v>6285.9566</v>
      </c>
      <c r="AD50" s="21" t="n">
        <v>2025</v>
      </c>
      <c r="AE50" s="22" t="n">
        <f aca="false">+(P50/AA49-1)</f>
        <v>0.00302021033404665</v>
      </c>
      <c r="AF50" s="22" t="n">
        <f aca="false">+(Q50/P50-1)</f>
        <v>0.00276213771028111</v>
      </c>
      <c r="AG50" s="22" t="n">
        <f aca="false">+(R50/Q50-1)</f>
        <v>0.00306282692323312</v>
      </c>
      <c r="AH50" s="22" t="n">
        <f aca="false">+(S50/R50-1)</f>
        <v>0.00297594968581905</v>
      </c>
      <c r="AI50" s="22" t="n">
        <f aca="false">+(T50/S50-1)</f>
        <v>0.00308976252279503</v>
      </c>
      <c r="AJ50" s="22" t="n">
        <f aca="false">+(U50/T50-1)</f>
        <v>0.00299705245742721</v>
      </c>
      <c r="AK50" s="22" t="n">
        <f aca="false">+(V50/U50-1)</f>
        <v>0.00295054952791363</v>
      </c>
      <c r="AL50" s="22" t="n">
        <f aca="false">+(W50/V50-1)</f>
        <v>0.00300054219083834</v>
      </c>
      <c r="AM50" s="22" t="n">
        <f aca="false">+(X50/W50-1)</f>
        <v>0.00276161496613736</v>
      </c>
      <c r="AN50" s="22" t="n">
        <f aca="false">+(Y50/X50-1)</f>
        <v>0.00286519472447866</v>
      </c>
      <c r="AO50" s="22" t="n">
        <f aca="false">+(Z50/Y50-1)</f>
        <v>0.00279501576319907</v>
      </c>
      <c r="AP50" s="22" t="n">
        <f aca="false">+(AA50/Z50-1)</f>
        <v>0.00283776649927603</v>
      </c>
      <c r="AQ50" s="23" t="n">
        <f aca="false">+(AA50/P50-1)/COUNTA(AE50:AP50)*12</f>
        <v>0.0325707862057447</v>
      </c>
      <c r="AR50" s="9"/>
      <c r="AS50" s="9"/>
      <c r="BD50" s="27"/>
      <c r="BE50" s="27"/>
      <c r="BF50" s="27"/>
      <c r="BG50" s="27"/>
      <c r="BH50" s="27"/>
      <c r="BI50" s="27"/>
      <c r="BJ50" s="47"/>
    </row>
    <row r="51" customFormat="false" ht="15" hidden="false" customHeight="false" outlineLevel="0" collapsed="false">
      <c r="A51" s="17" t="n">
        <v>40116</v>
      </c>
      <c r="B51" s="20" t="n">
        <v>13319.74</v>
      </c>
      <c r="C51" s="25" t="n">
        <f aca="false">(B51/B50-1)/(A51-A50)*30</f>
        <v>0.000352232999500712</v>
      </c>
      <c r="D51" s="19"/>
      <c r="E51" s="19"/>
      <c r="F51" s="19"/>
      <c r="O51" s="3" t="n">
        <v>2026</v>
      </c>
      <c r="P51" s="3" t="n">
        <f aca="false">+K246</f>
        <v>6303.0823</v>
      </c>
      <c r="Q51" s="3" t="n">
        <f aca="false">+K247</f>
        <v>6318.4947</v>
      </c>
      <c r="R51" s="3" t="n">
        <f aca="false">+K248</f>
        <v>6335.4774</v>
      </c>
      <c r="S51" s="3" t="n">
        <f aca="false">+K249</f>
        <v>0</v>
      </c>
      <c r="AD51" s="21" t="n">
        <v>2026</v>
      </c>
      <c r="AE51" s="22" t="n">
        <f aca="false">+(P51/AA50-1)</f>
        <v>0.00272443815472734</v>
      </c>
      <c r="AF51" s="22" t="n">
        <f aca="false">+(Q51/P51-1)</f>
        <v>0.00244521636660222</v>
      </c>
      <c r="AG51" s="22" t="n">
        <f aca="false">+(R51/Q51-1)</f>
        <v>0.00268777625151762</v>
      </c>
      <c r="AH51" s="22" t="n">
        <f aca="false">+(S51/R51-1)</f>
        <v>-1</v>
      </c>
      <c r="AI51" s="9"/>
      <c r="AJ51" s="9"/>
      <c r="AK51" s="9"/>
      <c r="AL51" s="9"/>
      <c r="AM51" s="9"/>
      <c r="AN51" s="9"/>
      <c r="AO51" s="9"/>
      <c r="AP51" s="9"/>
      <c r="AQ51" s="23" t="n">
        <f aca="false">+(S51/P51-1)/COUNTA(AE51:AP51)*12</f>
        <v>-3</v>
      </c>
      <c r="AR51" s="9"/>
      <c r="AS51" s="9"/>
      <c r="BD51" s="27"/>
      <c r="BE51" s="27"/>
      <c r="BF51" s="27"/>
      <c r="BG51" s="27"/>
      <c r="BH51" s="27"/>
      <c r="BI51" s="27"/>
      <c r="BJ51" s="47"/>
      <c r="BK51" s="49"/>
    </row>
    <row r="52" customFormat="false" ht="15" hidden="false" customHeight="false" outlineLevel="0" collapsed="false">
      <c r="A52" s="17" t="n">
        <v>40147</v>
      </c>
      <c r="B52" s="20" t="n">
        <v>13324.51</v>
      </c>
      <c r="C52" s="25" t="n">
        <f aca="false">(B52/B51-1)/(A52-A51)*30</f>
        <v>0.000346562998396176</v>
      </c>
      <c r="D52" s="19"/>
      <c r="E52" s="19"/>
      <c r="F52" s="19"/>
      <c r="AD52" s="26"/>
      <c r="AE52" s="9"/>
      <c r="AF52" s="9"/>
      <c r="AG52" s="9"/>
      <c r="AH52" s="9"/>
      <c r="AI52" s="9"/>
      <c r="AJ52" s="9"/>
      <c r="AK52" s="9"/>
      <c r="AL52" s="9"/>
      <c r="AM52" s="9"/>
      <c r="AN52" s="9"/>
      <c r="AO52" s="9"/>
      <c r="AP52" s="9"/>
      <c r="AQ52" s="9"/>
      <c r="AR52" s="9"/>
      <c r="AS52" s="9"/>
      <c r="BD52" s="27"/>
      <c r="BE52" s="27"/>
      <c r="BF52" s="27"/>
      <c r="BG52" s="27"/>
      <c r="BH52" s="27"/>
      <c r="BI52" s="27"/>
      <c r="BJ52" s="47"/>
      <c r="BK52" s="49"/>
    </row>
    <row r="53" customFormat="false" ht="15" hidden="false" customHeight="false" outlineLevel="0" collapsed="false">
      <c r="A53" s="17" t="n">
        <v>40178</v>
      </c>
      <c r="B53" s="20" t="n">
        <v>13329.5</v>
      </c>
      <c r="C53" s="25" t="n">
        <f aca="false">(B53/B52-1)/(A53-A52)*30</f>
        <v>0.000362417248969413</v>
      </c>
      <c r="D53" s="19"/>
      <c r="E53" s="19"/>
      <c r="F53" s="19"/>
      <c r="AD53" s="26" t="s">
        <v>28</v>
      </c>
      <c r="AE53" s="9"/>
      <c r="AF53" s="9"/>
      <c r="AG53" s="9"/>
      <c r="AH53" s="9"/>
      <c r="AI53" s="9"/>
      <c r="AJ53" s="9"/>
      <c r="AK53" s="9"/>
      <c r="AL53" s="9"/>
      <c r="AM53" s="9"/>
      <c r="AN53" s="9"/>
      <c r="AO53" s="9"/>
      <c r="AP53" s="9"/>
      <c r="AQ53" s="9"/>
      <c r="AR53" s="9"/>
      <c r="AS53" s="9"/>
    </row>
    <row r="54" customFormat="false" ht="15" hidden="false" customHeight="false" outlineLevel="0" collapsed="false">
      <c r="A54" s="17" t="n">
        <v>40207</v>
      </c>
      <c r="B54" s="20" t="n">
        <v>13334.25</v>
      </c>
      <c r="C54" s="25" t="n">
        <f aca="false">(B54/B53-1)/(A54-A53)*30</f>
        <v>0.000368640466892793</v>
      </c>
      <c r="D54" s="19"/>
      <c r="E54" s="19"/>
      <c r="F54" s="19"/>
      <c r="AC54" s="50" t="s">
        <v>39</v>
      </c>
      <c r="AD54" s="51" t="s">
        <v>40</v>
      </c>
      <c r="AE54" s="51" t="s">
        <v>4</v>
      </c>
      <c r="AF54" s="51" t="s">
        <v>5</v>
      </c>
      <c r="AG54" s="51" t="s">
        <v>6</v>
      </c>
      <c r="AH54" s="51" t="s">
        <v>7</v>
      </c>
      <c r="AI54" s="51" t="s">
        <v>8</v>
      </c>
      <c r="AJ54" s="51" t="s">
        <v>9</v>
      </c>
      <c r="AK54" s="51" t="s">
        <v>10</v>
      </c>
      <c r="AL54" s="51" t="s">
        <v>11</v>
      </c>
      <c r="AM54" s="51" t="s">
        <v>12</v>
      </c>
      <c r="AN54" s="51" t="s">
        <v>13</v>
      </c>
      <c r="AO54" s="51" t="s">
        <v>14</v>
      </c>
      <c r="AP54" s="51" t="s">
        <v>15</v>
      </c>
      <c r="AQ54" s="51" t="s">
        <v>16</v>
      </c>
      <c r="AR54" s="52"/>
      <c r="AS54" s="9"/>
    </row>
    <row r="55" customFormat="false" ht="15" hidden="false" customHeight="false" outlineLevel="0" collapsed="false">
      <c r="A55" s="17" t="n">
        <v>40235</v>
      </c>
      <c r="B55" s="20" t="n">
        <v>13338.53</v>
      </c>
      <c r="C55" s="25" t="n">
        <f aca="false">(B55/B54-1)/(A55-A54)*30</f>
        <v>0.000343904927964735</v>
      </c>
      <c r="D55" s="19"/>
      <c r="E55" s="19"/>
      <c r="F55" s="19"/>
      <c r="AC55" s="53" t="n">
        <v>2013</v>
      </c>
      <c r="AD55" s="53" t="s">
        <v>3</v>
      </c>
      <c r="AE55" s="54"/>
      <c r="AF55" s="54"/>
      <c r="AG55" s="54"/>
      <c r="AH55" s="54"/>
      <c r="AI55" s="54"/>
      <c r="AJ55" s="54"/>
      <c r="AK55" s="54"/>
      <c r="AL55" s="54"/>
      <c r="AM55" s="54"/>
      <c r="AN55" s="54"/>
      <c r="AO55" s="54"/>
      <c r="AP55" s="54"/>
      <c r="AQ55" s="55"/>
      <c r="AR55" s="9"/>
      <c r="AS55" s="9"/>
    </row>
    <row r="56" customFormat="false" ht="15" hidden="false" customHeight="false" outlineLevel="0" collapsed="false">
      <c r="A56" s="17" t="n">
        <v>40268</v>
      </c>
      <c r="B56" s="20" t="n">
        <v>13343.79</v>
      </c>
      <c r="C56" s="25" t="n">
        <f aca="false">(B56/B55-1)/(A56-A55)*30</f>
        <v>0.000358496639571185</v>
      </c>
      <c r="D56" s="19"/>
      <c r="E56" s="19"/>
      <c r="F56" s="19"/>
      <c r="AC56" s="56" t="n">
        <v>2014</v>
      </c>
      <c r="AD56" s="56" t="s">
        <v>3</v>
      </c>
      <c r="AE56" s="57"/>
      <c r="AF56" s="57"/>
      <c r="AG56" s="57"/>
      <c r="AH56" s="57"/>
      <c r="AI56" s="57"/>
      <c r="AJ56" s="57"/>
      <c r="AK56" s="57"/>
      <c r="AL56" s="57"/>
      <c r="AM56" s="57"/>
      <c r="AN56" s="57"/>
      <c r="AO56" s="57"/>
      <c r="AP56" s="57"/>
      <c r="AQ56" s="55"/>
      <c r="AR56" s="9"/>
      <c r="AS56" s="9"/>
    </row>
    <row r="57" customFormat="false" ht="15" hidden="false" customHeight="false" outlineLevel="0" collapsed="false">
      <c r="A57" s="17" t="n">
        <v>40298</v>
      </c>
      <c r="B57" s="20" t="n">
        <v>13348.63</v>
      </c>
      <c r="C57" s="25" t="n">
        <f aca="false">(B57/B56-1)/(A57-A56)*30</f>
        <v>0.000362715540337399</v>
      </c>
      <c r="D57" s="19"/>
      <c r="E57" s="19"/>
      <c r="F57" s="19"/>
      <c r="AC57" s="53" t="n">
        <v>2015</v>
      </c>
      <c r="AD57" s="53" t="s">
        <v>3</v>
      </c>
      <c r="AE57" s="54"/>
      <c r="AF57" s="54"/>
      <c r="AG57" s="54"/>
      <c r="AH57" s="54"/>
      <c r="AI57" s="54"/>
      <c r="AJ57" s="54"/>
      <c r="AK57" s="54"/>
      <c r="AL57" s="54"/>
      <c r="AM57" s="54"/>
      <c r="AN57" s="54"/>
      <c r="AO57" s="54"/>
      <c r="AP57" s="54"/>
      <c r="AQ57" s="55"/>
      <c r="AR57" s="9"/>
      <c r="AS57" s="9"/>
    </row>
    <row r="58" customFormat="false" ht="15" hidden="false" customHeight="false" outlineLevel="0" collapsed="false">
      <c r="A58" s="17" t="n">
        <v>40329</v>
      </c>
      <c r="B58" s="20" t="n">
        <v>13353.5</v>
      </c>
      <c r="C58" s="25" t="n">
        <f aca="false">(B58/B57-1)/(A58-A57)*30</f>
        <v>0.00035306269076351</v>
      </c>
      <c r="D58" s="19"/>
      <c r="E58" s="19"/>
      <c r="F58" s="19"/>
      <c r="AC58" s="56" t="n">
        <v>2016</v>
      </c>
      <c r="AD58" s="56" t="s">
        <v>3</v>
      </c>
      <c r="AE58" s="57"/>
      <c r="AF58" s="57"/>
      <c r="AG58" s="57"/>
      <c r="AH58" s="57"/>
      <c r="AI58" s="57"/>
      <c r="AJ58" s="57"/>
      <c r="AK58" s="57"/>
      <c r="AL58" s="57"/>
      <c r="AM58" s="57"/>
      <c r="AN58" s="57"/>
      <c r="AO58" s="57"/>
      <c r="AP58" s="57"/>
      <c r="AQ58" s="55"/>
      <c r="AR58" s="52"/>
      <c r="AS58" s="9"/>
    </row>
    <row r="59" customFormat="false" ht="15" hidden="false" customHeight="false" outlineLevel="0" collapsed="false">
      <c r="A59" s="17" t="n">
        <v>40359</v>
      </c>
      <c r="B59" s="20" t="n">
        <v>13360.9</v>
      </c>
      <c r="C59" s="25" t="n">
        <f aca="false">(B59/B58-1)/(A59-A58)*30</f>
        <v>0.000554161830231825</v>
      </c>
      <c r="D59" s="19"/>
      <c r="E59" s="19"/>
      <c r="F59" s="19"/>
      <c r="AC59" s="58" t="n">
        <v>2017</v>
      </c>
      <c r="AD59" s="53" t="s">
        <v>3</v>
      </c>
      <c r="AE59" s="54"/>
      <c r="AF59" s="54"/>
      <c r="AG59" s="54"/>
      <c r="AH59" s="54"/>
      <c r="AI59" s="54"/>
      <c r="AJ59" s="54"/>
      <c r="AK59" s="54"/>
      <c r="AL59" s="54"/>
      <c r="AM59" s="54"/>
      <c r="AN59" s="54"/>
      <c r="AO59" s="54"/>
      <c r="AP59" s="54"/>
      <c r="AQ59" s="55"/>
      <c r="AR59" s="52"/>
      <c r="AS59" s="9"/>
    </row>
    <row r="60" customFormat="false" ht="15" hidden="false" customHeight="false" outlineLevel="0" collapsed="false">
      <c r="A60" s="17" t="n">
        <v>40389</v>
      </c>
      <c r="B60" s="20" t="n">
        <v>13373.99</v>
      </c>
      <c r="C60" s="25" t="n">
        <f aca="false">(B60/B59-1)/(A60-A59)*30</f>
        <v>0.00097972441976224</v>
      </c>
      <c r="D60" s="19"/>
      <c r="E60" s="19"/>
      <c r="F60" s="19"/>
      <c r="AC60" s="58"/>
      <c r="AD60" s="53" t="s">
        <v>26</v>
      </c>
      <c r="AE60" s="54"/>
      <c r="AF60" s="54"/>
      <c r="AG60" s="54"/>
      <c r="AH60" s="54"/>
      <c r="AI60" s="54"/>
      <c r="AJ60" s="54"/>
      <c r="AK60" s="54"/>
      <c r="AL60" s="54"/>
      <c r="AM60" s="54"/>
      <c r="AN60" s="54"/>
      <c r="AO60" s="54"/>
      <c r="AP60" s="54"/>
      <c r="AQ60" s="55"/>
      <c r="AR60" s="52" t="s">
        <v>24</v>
      </c>
      <c r="AS60" s="9"/>
    </row>
    <row r="61" customFormat="false" ht="15" hidden="false" customHeight="false" outlineLevel="0" collapsed="false">
      <c r="A61" s="17" t="n">
        <v>40421</v>
      </c>
      <c r="B61" s="20" t="n">
        <v>13395.21</v>
      </c>
      <c r="C61" s="25" t="n">
        <f aca="false">(B61/B60-1)/(A61-A60)*30</f>
        <v>0.00148749550433341</v>
      </c>
      <c r="D61" s="19"/>
      <c r="E61" s="19"/>
      <c r="F61" s="19"/>
      <c r="AC61" s="58"/>
      <c r="AD61" s="53" t="s">
        <v>27</v>
      </c>
      <c r="AE61" s="54"/>
      <c r="AF61" s="54"/>
      <c r="AG61" s="54"/>
      <c r="AH61" s="54"/>
      <c r="AI61" s="54"/>
      <c r="AJ61" s="54"/>
      <c r="AK61" s="54"/>
      <c r="AL61" s="54"/>
      <c r="AM61" s="54"/>
      <c r="AN61" s="54"/>
      <c r="AO61" s="54"/>
      <c r="AP61" s="54"/>
      <c r="AQ61" s="55"/>
      <c r="AR61" s="52"/>
      <c r="AS61" s="9"/>
    </row>
    <row r="62" customFormat="false" ht="15" hidden="false" customHeight="false" outlineLevel="0" collapsed="false">
      <c r="A62" s="17" t="n">
        <v>40451</v>
      </c>
      <c r="B62" s="20" t="n">
        <v>13419.79</v>
      </c>
      <c r="C62" s="25" t="n">
        <f aca="false">(B62/B61-1)/(A62-A61)*30</f>
        <v>0.00183498429662565</v>
      </c>
      <c r="D62" s="19"/>
      <c r="E62" s="19"/>
      <c r="F62" s="19"/>
      <c r="AC62" s="59" t="n">
        <v>2018</v>
      </c>
      <c r="AD62" s="53" t="s">
        <v>3</v>
      </c>
      <c r="AE62" s="57"/>
      <c r="AF62" s="57"/>
      <c r="AG62" s="57"/>
      <c r="AH62" s="57"/>
      <c r="AI62" s="57"/>
      <c r="AJ62" s="57"/>
      <c r="AK62" s="57"/>
      <c r="AL62" s="57"/>
      <c r="AM62" s="57"/>
      <c r="AN62" s="57"/>
      <c r="AO62" s="57"/>
      <c r="AP62" s="57"/>
      <c r="AQ62" s="55"/>
      <c r="AR62" s="9"/>
    </row>
    <row r="63" customFormat="false" ht="15" hidden="false" customHeight="false" outlineLevel="0" collapsed="false">
      <c r="A63" s="17" t="n">
        <v>40480</v>
      </c>
      <c r="B63" s="20" t="n">
        <v>13448.69</v>
      </c>
      <c r="C63" s="25" t="n">
        <f aca="false">(B63/B62-1)/(A63-A62)*30</f>
        <v>0.00222779579443021</v>
      </c>
      <c r="D63" s="19"/>
      <c r="E63" s="19"/>
      <c r="F63" s="19"/>
      <c r="AC63" s="59"/>
      <c r="AD63" s="53" t="s">
        <v>26</v>
      </c>
      <c r="AE63" s="57"/>
      <c r="AF63" s="57"/>
      <c r="AG63" s="57"/>
      <c r="AH63" s="57"/>
      <c r="AI63" s="57"/>
      <c r="AJ63" s="57"/>
      <c r="AK63" s="57"/>
      <c r="AL63" s="57"/>
      <c r="AM63" s="57"/>
      <c r="AN63" s="57"/>
      <c r="AO63" s="57"/>
      <c r="AP63" s="57"/>
      <c r="AQ63" s="55"/>
      <c r="AR63" s="9"/>
    </row>
    <row r="64" customFormat="false" ht="15" hidden="false" customHeight="false" outlineLevel="0" collapsed="false">
      <c r="A64" s="17" t="n">
        <v>40512</v>
      </c>
      <c r="B64" s="20" t="n">
        <v>13483.02</v>
      </c>
      <c r="C64" s="25" t="n">
        <f aca="false">(B64/B63-1)/(A64-A63)*30</f>
        <v>0.00239312341945575</v>
      </c>
      <c r="D64" s="19"/>
      <c r="E64" s="19"/>
      <c r="F64" s="19"/>
      <c r="AC64" s="59"/>
      <c r="AD64" s="53" t="s">
        <v>27</v>
      </c>
      <c r="AE64" s="57"/>
      <c r="AF64" s="57"/>
      <c r="AG64" s="57"/>
      <c r="AH64" s="57"/>
      <c r="AI64" s="57"/>
      <c r="AJ64" s="57"/>
      <c r="AK64" s="57"/>
      <c r="AL64" s="57"/>
      <c r="AM64" s="57"/>
      <c r="AN64" s="57"/>
      <c r="AO64" s="57"/>
      <c r="AP64" s="57"/>
      <c r="AQ64" s="55"/>
    </row>
    <row r="65" customFormat="false" ht="15" hidden="false" customHeight="false" outlineLevel="0" collapsed="false">
      <c r="A65" s="17" t="n">
        <v>40543</v>
      </c>
      <c r="B65" s="20" t="n">
        <v>13522.93</v>
      </c>
      <c r="C65" s="25" t="n">
        <f aca="false">(B65/B64-1)/(A65-A64)*30</f>
        <v>0.00286453484791705</v>
      </c>
      <c r="D65" s="19"/>
      <c r="E65" s="19"/>
      <c r="F65" s="19"/>
      <c r="AC65" s="58" t="n">
        <v>2019</v>
      </c>
      <c r="AD65" s="53" t="s">
        <v>3</v>
      </c>
      <c r="AE65" s="54"/>
      <c r="AF65" s="54"/>
      <c r="AG65" s="54"/>
      <c r="AH65" s="54"/>
      <c r="AI65" s="54"/>
      <c r="AJ65" s="54"/>
      <c r="AK65" s="54"/>
      <c r="AL65" s="54"/>
      <c r="AM65" s="54"/>
      <c r="AN65" s="54"/>
      <c r="AO65" s="54"/>
      <c r="AP65" s="54"/>
      <c r="AQ65" s="55"/>
    </row>
    <row r="66" customFormat="false" ht="15" hidden="false" customHeight="false" outlineLevel="0" collapsed="false">
      <c r="A66" s="17" t="n">
        <v>40574</v>
      </c>
      <c r="B66" s="20" t="n">
        <v>13557.12</v>
      </c>
      <c r="C66" s="25" t="n">
        <f aca="false">(B66/B65-1)/(A66-A65)*30</f>
        <v>0.00244674022376755</v>
      </c>
      <c r="D66" s="19"/>
      <c r="E66" s="19"/>
      <c r="F66" s="19"/>
      <c r="AC66" s="58"/>
      <c r="AD66" s="53" t="s">
        <v>26</v>
      </c>
      <c r="AE66" s="54"/>
      <c r="AF66" s="54"/>
      <c r="AG66" s="54"/>
      <c r="AH66" s="54"/>
      <c r="AI66" s="54"/>
      <c r="AJ66" s="54"/>
      <c r="AK66" s="54"/>
      <c r="AL66" s="54"/>
      <c r="AM66" s="54"/>
      <c r="AN66" s="54"/>
      <c r="AO66" s="54"/>
      <c r="AP66" s="54"/>
      <c r="AQ66" s="55"/>
    </row>
    <row r="67" s="4" customFormat="true" ht="15" hidden="false" customHeight="false" outlineLevel="0" collapsed="false">
      <c r="A67" s="17" t="n">
        <v>40602</v>
      </c>
      <c r="B67" s="20" t="n">
        <v>13592.3</v>
      </c>
      <c r="C67" s="25" t="n">
        <f aca="false">(B67/B66-1)/(A67-A66)*30</f>
        <v>0.00278029973496265</v>
      </c>
      <c r="D67" s="19"/>
      <c r="E67" s="19"/>
      <c r="F67" s="19"/>
      <c r="I67" s="5"/>
      <c r="N67" s="3"/>
      <c r="O67" s="3"/>
      <c r="P67" s="3"/>
      <c r="Q67" s="3"/>
      <c r="R67" s="3"/>
      <c r="S67" s="3"/>
      <c r="T67" s="3"/>
      <c r="U67" s="3"/>
      <c r="V67" s="3"/>
      <c r="W67" s="3"/>
      <c r="X67" s="3"/>
      <c r="Y67" s="3"/>
      <c r="Z67" s="3"/>
      <c r="AA67" s="3"/>
      <c r="AB67" s="3"/>
      <c r="AC67" s="58"/>
      <c r="AD67" s="53" t="s">
        <v>27</v>
      </c>
      <c r="AE67" s="54"/>
      <c r="AF67" s="54"/>
      <c r="AG67" s="54"/>
      <c r="AH67" s="54"/>
      <c r="AI67" s="54"/>
      <c r="AJ67" s="54"/>
      <c r="AK67" s="54"/>
      <c r="AL67" s="54"/>
      <c r="AM67" s="54"/>
      <c r="AN67" s="54"/>
      <c r="AO67" s="54"/>
      <c r="AP67" s="54"/>
      <c r="AQ67" s="55"/>
      <c r="AR67" s="3"/>
      <c r="AS67" s="3"/>
      <c r="AT67" s="3"/>
    </row>
    <row r="68" s="4" customFormat="true" ht="15" hidden="false" customHeight="false" outlineLevel="0" collapsed="false">
      <c r="A68" s="17" t="n">
        <v>40633</v>
      </c>
      <c r="B68" s="20" t="n">
        <v>13635.91</v>
      </c>
      <c r="C68" s="25" t="n">
        <f aca="false">(B68/B67-1)/(A68-A67)*30</f>
        <v>0.0031049363100028</v>
      </c>
      <c r="D68" s="19"/>
      <c r="E68" s="19"/>
      <c r="F68" s="19"/>
      <c r="I68" s="5"/>
      <c r="O68" s="3"/>
      <c r="P68" s="3"/>
      <c r="Q68" s="3"/>
      <c r="R68" s="3"/>
      <c r="S68" s="3"/>
      <c r="T68" s="3"/>
      <c r="U68" s="3"/>
      <c r="V68" s="3"/>
      <c r="W68" s="3"/>
      <c r="X68" s="3"/>
      <c r="Y68" s="3"/>
      <c r="Z68" s="3"/>
      <c r="AA68" s="3"/>
      <c r="AB68" s="3"/>
      <c r="AC68" s="58" t="n">
        <v>2020</v>
      </c>
      <c r="AD68" s="53" t="s">
        <v>3</v>
      </c>
      <c r="AE68" s="54"/>
      <c r="AF68" s="54"/>
      <c r="AG68" s="54"/>
      <c r="AH68" s="54"/>
      <c r="AI68" s="54"/>
      <c r="AJ68" s="54"/>
      <c r="AK68" s="54"/>
      <c r="AL68" s="54"/>
      <c r="AM68" s="54"/>
      <c r="AN68" s="54"/>
      <c r="AO68" s="54"/>
      <c r="AP68" s="54"/>
      <c r="AQ68" s="55"/>
      <c r="AR68" s="3"/>
      <c r="AS68" s="3"/>
    </row>
    <row r="69" s="4" customFormat="true" ht="15" hidden="false" customHeight="false" outlineLevel="0" collapsed="false">
      <c r="A69" s="17" t="n">
        <v>40662</v>
      </c>
      <c r="B69" s="20" t="n">
        <v>13682.94</v>
      </c>
      <c r="C69" s="25" t="n">
        <f aca="false">(B69/B68-1)/(A69-A68)*30</f>
        <v>0.00356791179598074</v>
      </c>
      <c r="D69" s="19"/>
      <c r="E69" s="19"/>
      <c r="F69" s="19"/>
      <c r="I69" s="5"/>
      <c r="O69" s="3"/>
      <c r="P69" s="3"/>
      <c r="Q69" s="3"/>
      <c r="R69" s="3"/>
      <c r="S69" s="3"/>
      <c r="T69" s="3"/>
      <c r="U69" s="3"/>
      <c r="V69" s="3"/>
      <c r="W69" s="3"/>
      <c r="X69" s="3"/>
      <c r="Y69" s="3"/>
      <c r="Z69" s="3"/>
      <c r="AA69" s="3"/>
      <c r="AB69" s="3"/>
      <c r="AC69" s="58"/>
      <c r="AD69" s="53" t="s">
        <v>26</v>
      </c>
      <c r="AE69" s="54"/>
      <c r="AF69" s="54"/>
      <c r="AG69" s="54"/>
      <c r="AH69" s="54"/>
      <c r="AI69" s="54"/>
      <c r="AJ69" s="54"/>
      <c r="AK69" s="54"/>
      <c r="AL69" s="54"/>
      <c r="AM69" s="54"/>
      <c r="AN69" s="54"/>
      <c r="AO69" s="54"/>
      <c r="AP69" s="54"/>
      <c r="AQ69" s="55"/>
      <c r="AR69" s="3"/>
      <c r="AS69" s="3"/>
    </row>
    <row r="70" s="4" customFormat="true" ht="15" hidden="false" customHeight="false" outlineLevel="0" collapsed="false">
      <c r="A70" s="17" t="n">
        <v>40694</v>
      </c>
      <c r="B70" s="20" t="n">
        <v>13741.06</v>
      </c>
      <c r="C70" s="25" t="n">
        <f aca="false">(B70/B69-1)/(A70-A69)*30</f>
        <v>0.00398214857333289</v>
      </c>
      <c r="D70" s="19"/>
      <c r="E70" s="19"/>
      <c r="F70" s="19"/>
      <c r="I70" s="5"/>
      <c r="O70" s="3"/>
      <c r="P70" s="3"/>
      <c r="Q70" s="3"/>
      <c r="R70" s="3"/>
      <c r="S70" s="3"/>
      <c r="T70" s="3"/>
      <c r="U70" s="3"/>
      <c r="V70" s="3"/>
      <c r="W70" s="3"/>
      <c r="X70" s="3"/>
      <c r="Y70" s="3"/>
      <c r="Z70" s="3"/>
      <c r="AA70" s="3"/>
      <c r="AB70" s="3"/>
      <c r="AC70" s="58"/>
      <c r="AD70" s="53" t="s">
        <v>27</v>
      </c>
      <c r="AE70" s="54"/>
      <c r="AF70" s="54"/>
      <c r="AG70" s="54"/>
      <c r="AH70" s="54"/>
      <c r="AI70" s="54"/>
      <c r="AJ70" s="54"/>
      <c r="AK70" s="54"/>
      <c r="AL70" s="54"/>
      <c r="AM70" s="54"/>
      <c r="AN70" s="54"/>
      <c r="AO70" s="54"/>
      <c r="AP70" s="54"/>
      <c r="AQ70" s="55"/>
      <c r="AR70" s="3"/>
      <c r="AS70" s="3"/>
    </row>
    <row r="71" s="4" customFormat="true" ht="15" hidden="false" customHeight="false" outlineLevel="0" collapsed="false">
      <c r="A71" s="17" t="n">
        <v>40724</v>
      </c>
      <c r="B71" s="20" t="n">
        <v>13799.74</v>
      </c>
      <c r="C71" s="25" t="n">
        <f aca="false">(B71/B70-1)/(A71-A70)*30</f>
        <v>0.00427041290846564</v>
      </c>
      <c r="D71" s="19"/>
      <c r="E71" s="19"/>
      <c r="F71" s="19"/>
      <c r="I71" s="5"/>
      <c r="O71" s="3"/>
      <c r="P71" s="3"/>
      <c r="Q71" s="3"/>
      <c r="R71" s="3"/>
      <c r="S71" s="3"/>
      <c r="T71" s="3"/>
      <c r="U71" s="3"/>
      <c r="V71" s="3"/>
      <c r="W71" s="3"/>
      <c r="X71" s="3"/>
      <c r="Y71" s="3"/>
      <c r="Z71" s="3"/>
      <c r="AA71" s="3"/>
      <c r="AC71" s="59" t="n">
        <v>2021</v>
      </c>
      <c r="AD71" s="53" t="s">
        <v>3</v>
      </c>
      <c r="AE71" s="60"/>
      <c r="AF71" s="60"/>
      <c r="AG71" s="60"/>
      <c r="AH71" s="60"/>
      <c r="AI71" s="60"/>
      <c r="AJ71" s="60"/>
      <c r="AK71" s="60"/>
      <c r="AL71" s="60"/>
      <c r="AM71" s="60"/>
      <c r="AN71" s="60"/>
      <c r="AO71" s="60"/>
      <c r="AP71" s="60"/>
      <c r="AQ71" s="60"/>
      <c r="AR71" s="3"/>
      <c r="AS71" s="3"/>
    </row>
    <row r="72" s="4" customFormat="true" ht="15" hidden="false" customHeight="false" outlineLevel="0" collapsed="false">
      <c r="A72" s="17" t="n">
        <v>40753</v>
      </c>
      <c r="B72" s="20" t="n">
        <v>13858.14</v>
      </c>
      <c r="C72" s="25" t="n">
        <f aca="false">(B72/B71-1)/(A72-A71)*30</f>
        <v>0.00437789357650559</v>
      </c>
      <c r="D72" s="19"/>
      <c r="E72" s="19"/>
      <c r="F72" s="19"/>
      <c r="I72" s="5"/>
      <c r="O72" s="3"/>
      <c r="P72" s="3"/>
      <c r="Q72" s="3"/>
      <c r="R72" s="3"/>
      <c r="S72" s="3"/>
      <c r="T72" s="3"/>
      <c r="U72" s="3"/>
      <c r="V72" s="3"/>
      <c r="W72" s="3"/>
      <c r="X72" s="3"/>
      <c r="Y72" s="3"/>
      <c r="Z72" s="3"/>
      <c r="AA72" s="3"/>
      <c r="AC72" s="59"/>
      <c r="AD72" s="53" t="s">
        <v>26</v>
      </c>
      <c r="AE72" s="60"/>
      <c r="AF72" s="60"/>
      <c r="AG72" s="60"/>
      <c r="AH72" s="60"/>
      <c r="AI72" s="60"/>
      <c r="AJ72" s="60"/>
      <c r="AK72" s="60"/>
      <c r="AL72" s="60"/>
      <c r="AM72" s="60"/>
      <c r="AN72" s="60"/>
      <c r="AO72" s="60"/>
      <c r="AP72" s="60"/>
      <c r="AQ72" s="60"/>
      <c r="AR72" s="3"/>
      <c r="AS72" s="3"/>
    </row>
    <row r="73" s="4" customFormat="true" ht="15" hidden="false" customHeight="false" outlineLevel="0" collapsed="false">
      <c r="A73" s="17" t="n">
        <v>40786</v>
      </c>
      <c r="B73" s="20" t="n">
        <v>13925.03</v>
      </c>
      <c r="C73" s="25" t="n">
        <f aca="false">(B73/B72-1)/(A73-A72)*30</f>
        <v>0.00438796915813318</v>
      </c>
      <c r="D73" s="19"/>
      <c r="E73" s="19"/>
      <c r="F73" s="19"/>
      <c r="I73" s="5"/>
      <c r="O73" s="3"/>
      <c r="P73" s="3"/>
      <c r="Q73" s="3"/>
      <c r="R73" s="3"/>
      <c r="S73" s="3"/>
      <c r="T73" s="3"/>
      <c r="U73" s="3"/>
      <c r="V73" s="3"/>
      <c r="W73" s="3"/>
      <c r="X73" s="3"/>
      <c r="Y73" s="3"/>
      <c r="Z73" s="3"/>
      <c r="AA73" s="3"/>
      <c r="AC73" s="59"/>
      <c r="AD73" s="53" t="s">
        <v>27</v>
      </c>
      <c r="AE73" s="60"/>
      <c r="AF73" s="60"/>
      <c r="AG73" s="60"/>
      <c r="AH73" s="60"/>
      <c r="AI73" s="60"/>
      <c r="AJ73" s="60"/>
      <c r="AK73" s="60"/>
      <c r="AL73" s="60"/>
      <c r="AM73" s="60"/>
      <c r="AN73" s="60"/>
      <c r="AO73" s="60"/>
      <c r="AP73" s="60"/>
      <c r="AQ73" s="60"/>
      <c r="AR73" s="3"/>
      <c r="AS73" s="3"/>
    </row>
    <row r="74" s="4" customFormat="true" ht="15" hidden="false" customHeight="false" outlineLevel="0" collapsed="false">
      <c r="A74" s="17" t="n">
        <v>40816</v>
      </c>
      <c r="B74" s="20" t="n">
        <v>13985.97</v>
      </c>
      <c r="C74" s="25" t="n">
        <f aca="false">(B74/B73-1)/(A74-A73)*30</f>
        <v>0.00437629218752123</v>
      </c>
      <c r="D74" s="19"/>
      <c r="E74" s="19"/>
      <c r="F74" s="19"/>
      <c r="I74" s="5"/>
      <c r="O74" s="3"/>
      <c r="P74" s="3"/>
      <c r="Q74" s="3"/>
      <c r="R74" s="3"/>
      <c r="S74" s="3"/>
      <c r="T74" s="3"/>
      <c r="U74" s="3"/>
      <c r="V74" s="3"/>
      <c r="W74" s="3"/>
      <c r="X74" s="3"/>
      <c r="Y74" s="3"/>
      <c r="Z74" s="3"/>
      <c r="AA74" s="3"/>
      <c r="AC74" s="61" t="n">
        <v>2022</v>
      </c>
      <c r="AD74" s="53" t="s">
        <v>3</v>
      </c>
      <c r="AE74" s="60"/>
      <c r="AF74" s="60"/>
      <c r="AG74" s="60"/>
      <c r="AH74" s="60"/>
      <c r="AI74" s="60"/>
      <c r="AJ74" s="60"/>
      <c r="AK74" s="60"/>
      <c r="AL74" s="60"/>
      <c r="AM74" s="60"/>
      <c r="AN74" s="60"/>
      <c r="AO74" s="60"/>
      <c r="AP74" s="60"/>
      <c r="AQ74" s="60"/>
      <c r="AR74" s="3"/>
      <c r="AS74" s="3"/>
    </row>
    <row r="75" s="4" customFormat="true" ht="15" hidden="false" customHeight="false" outlineLevel="0" collapsed="false">
      <c r="A75" s="17" t="n">
        <v>40847</v>
      </c>
      <c r="B75" s="20" t="n">
        <v>14043.21</v>
      </c>
      <c r="C75" s="25" t="n">
        <f aca="false">(B75/B74-1)/(A75-A74)*30</f>
        <v>0.00396065116592525</v>
      </c>
      <c r="D75" s="19"/>
      <c r="E75" s="19"/>
      <c r="F75" s="19"/>
      <c r="I75" s="5"/>
      <c r="O75" s="3"/>
      <c r="P75" s="3"/>
      <c r="Q75" s="3"/>
      <c r="R75" s="3"/>
      <c r="S75" s="3"/>
      <c r="T75" s="3"/>
      <c r="U75" s="3"/>
      <c r="V75" s="3"/>
      <c r="W75" s="3"/>
      <c r="X75" s="3"/>
      <c r="Y75" s="3"/>
      <c r="Z75" s="3"/>
      <c r="AA75" s="3"/>
      <c r="AC75" s="61"/>
      <c r="AD75" s="53" t="s">
        <v>26</v>
      </c>
      <c r="AE75" s="60"/>
      <c r="AF75" s="60"/>
      <c r="AG75" s="60"/>
      <c r="AH75" s="60"/>
      <c r="AI75" s="60"/>
      <c r="AJ75" s="60"/>
      <c r="AK75" s="60"/>
      <c r="AL75" s="60"/>
      <c r="AM75" s="60"/>
      <c r="AN75" s="60"/>
      <c r="AO75" s="60"/>
      <c r="AP75" s="60"/>
      <c r="AQ75" s="60"/>
      <c r="AR75" s="3"/>
      <c r="AS75" s="3"/>
    </row>
    <row r="76" s="4" customFormat="true" ht="15" hidden="false" customHeight="false" outlineLevel="0" collapsed="false">
      <c r="A76" s="17" t="n">
        <v>40877</v>
      </c>
      <c r="B76" s="20" t="n">
        <v>14110.87</v>
      </c>
      <c r="C76" s="25" t="n">
        <f aca="false">(B76/B75-1)/(A76-A75)*30</f>
        <v>0.0048179867708309</v>
      </c>
      <c r="D76" s="19"/>
      <c r="E76" s="19"/>
      <c r="F76" s="19"/>
      <c r="I76" s="5"/>
      <c r="O76" s="3"/>
      <c r="P76" s="3"/>
      <c r="Q76" s="3"/>
      <c r="R76" s="3"/>
      <c r="S76" s="3"/>
      <c r="T76" s="3"/>
      <c r="U76" s="3"/>
      <c r="V76" s="3"/>
      <c r="W76" s="3"/>
      <c r="X76" s="3"/>
      <c r="Y76" s="3"/>
      <c r="Z76" s="3"/>
      <c r="AA76" s="3"/>
      <c r="AC76" s="61"/>
      <c r="AD76" s="53" t="s">
        <v>27</v>
      </c>
      <c r="AE76" s="60"/>
      <c r="AF76" s="60"/>
      <c r="AG76" s="60"/>
      <c r="AH76" s="60"/>
      <c r="AI76" s="60"/>
      <c r="AJ76" s="60"/>
      <c r="AK76" s="60"/>
      <c r="AL76" s="60"/>
      <c r="AM76" s="60"/>
      <c r="AN76" s="60"/>
      <c r="AO76" s="60"/>
      <c r="AP76" s="60"/>
      <c r="AQ76" s="60"/>
      <c r="AR76" s="3"/>
      <c r="AS76" s="3"/>
    </row>
    <row r="77" s="4" customFormat="true" ht="15" hidden="false" customHeight="false" outlineLevel="0" collapsed="false">
      <c r="A77" s="17" t="n">
        <v>40907</v>
      </c>
      <c r="B77" s="20" t="n">
        <v>14172.63</v>
      </c>
      <c r="C77" s="25" t="n">
        <f aca="false">(B77/B76-1)/(A77-A76)*30</f>
        <v>0.0043767676975266</v>
      </c>
      <c r="D77" s="19"/>
      <c r="E77" s="19"/>
      <c r="F77" s="19"/>
      <c r="I77" s="5"/>
      <c r="O77" s="3"/>
      <c r="P77" s="3"/>
      <c r="Q77" s="3"/>
      <c r="R77" s="3"/>
      <c r="S77" s="3"/>
      <c r="T77" s="3"/>
      <c r="U77" s="3"/>
      <c r="V77" s="3"/>
      <c r="W77" s="3"/>
      <c r="X77" s="3"/>
      <c r="Y77" s="3"/>
      <c r="Z77" s="3"/>
      <c r="AA77" s="3"/>
      <c r="AC77" s="61" t="n">
        <v>2023</v>
      </c>
      <c r="AD77" s="53" t="s">
        <v>3</v>
      </c>
      <c r="AE77" s="60"/>
      <c r="AF77" s="60"/>
      <c r="AG77" s="60"/>
      <c r="AH77" s="60"/>
      <c r="AI77" s="60"/>
      <c r="AJ77" s="60"/>
      <c r="AK77" s="60"/>
      <c r="AL77" s="60"/>
      <c r="AM77" s="60"/>
      <c r="AN77" s="60"/>
      <c r="AO77" s="60"/>
      <c r="AP77" s="60"/>
      <c r="AQ77" s="60"/>
    </row>
    <row r="78" s="4" customFormat="true" ht="15" hidden="false" customHeight="false" outlineLevel="0" collapsed="false">
      <c r="A78" s="17" t="n">
        <v>40939</v>
      </c>
      <c r="B78" s="20" t="n">
        <v>14236.38</v>
      </c>
      <c r="C78" s="25" t="n">
        <f aca="false">(B78/B77-1)/(A78-A77)*30</f>
        <v>0.00421697490162375</v>
      </c>
      <c r="D78" s="19"/>
      <c r="E78" s="19"/>
      <c r="F78" s="19"/>
      <c r="I78" s="5"/>
      <c r="AC78" s="61"/>
      <c r="AD78" s="53" t="s">
        <v>26</v>
      </c>
      <c r="AE78" s="60"/>
      <c r="AF78" s="60"/>
      <c r="AG78" s="60"/>
      <c r="AH78" s="60"/>
      <c r="AI78" s="60"/>
      <c r="AJ78" s="60"/>
      <c r="AK78" s="60"/>
      <c r="AL78" s="60"/>
      <c r="AM78" s="60"/>
      <c r="AN78" s="60"/>
      <c r="AO78" s="60"/>
      <c r="AP78" s="60"/>
      <c r="AQ78" s="60"/>
    </row>
    <row r="79" s="4" customFormat="true" ht="15" hidden="false" customHeight="false" outlineLevel="0" collapsed="false">
      <c r="A79" s="17" t="n">
        <v>40968</v>
      </c>
      <c r="B79" s="20" t="n">
        <v>14293.67</v>
      </c>
      <c r="C79" s="25" t="n">
        <f aca="false">(B79/B78-1)/(A79-A78)*30</f>
        <v>0.00416296258187693</v>
      </c>
      <c r="D79" s="19"/>
      <c r="E79" s="19"/>
      <c r="F79" s="19"/>
      <c r="I79" s="5"/>
      <c r="AC79" s="61"/>
      <c r="AD79" s="53" t="s">
        <v>27</v>
      </c>
      <c r="AE79" s="60"/>
      <c r="AF79" s="60"/>
      <c r="AG79" s="60"/>
      <c r="AH79" s="60"/>
      <c r="AI79" s="60"/>
      <c r="AJ79" s="60"/>
      <c r="AK79" s="60"/>
      <c r="AL79" s="60"/>
      <c r="AM79" s="60"/>
      <c r="AN79" s="60"/>
      <c r="AO79" s="60"/>
      <c r="AP79" s="60"/>
      <c r="AQ79" s="60"/>
    </row>
    <row r="80" s="4" customFormat="true" ht="15" hidden="false" customHeight="false" outlineLevel="0" collapsed="false">
      <c r="A80" s="17" t="n">
        <v>40998</v>
      </c>
      <c r="B80" s="20" t="n">
        <v>14353.34</v>
      </c>
      <c r="C80" s="25" t="n">
        <f aca="false">(B80/B79-1)/(A80-A79)*30</f>
        <v>0.00417457517908271</v>
      </c>
      <c r="D80" s="19"/>
      <c r="E80" s="19"/>
      <c r="F80" s="19"/>
      <c r="I80" s="5"/>
      <c r="AC80" s="61" t="n">
        <v>2024</v>
      </c>
      <c r="AD80" s="53" t="s">
        <v>3</v>
      </c>
      <c r="AE80" s="60"/>
      <c r="AF80" s="60"/>
      <c r="AG80" s="60"/>
      <c r="AH80" s="60" t="n">
        <f aca="false">+AH20</f>
        <v>0.00609278396182833</v>
      </c>
      <c r="AI80" s="60" t="n">
        <f aca="false">+AI20</f>
        <v>0.00551411929031809</v>
      </c>
      <c r="AJ80" s="60" t="n">
        <f aca="false">+AJ20</f>
        <v>0.00461354906321554</v>
      </c>
      <c r="AK80" s="60" t="n">
        <f aca="false">+AK20</f>
        <v>0.00528435035284347</v>
      </c>
      <c r="AL80" s="60" t="n">
        <f aca="false">+AL20</f>
        <v>0.00480235203759283</v>
      </c>
      <c r="AM80" s="60" t="n">
        <f aca="false">+AM20</f>
        <v>0.00478104349541386</v>
      </c>
      <c r="AN80" s="60" t="n">
        <f aca="false">+AN20</f>
        <v>0.00451044051641847</v>
      </c>
      <c r="AO80" s="60" t="n">
        <f aca="false">+AO20</f>
        <v>0.0043843255475724</v>
      </c>
      <c r="AP80" s="60" t="n">
        <f aca="false">+AP20</f>
        <v>0.00444626417327787</v>
      </c>
      <c r="AQ80" s="60" t="n">
        <f aca="false">+AQ20</f>
        <v>0.0604204591877272</v>
      </c>
    </row>
    <row r="81" s="4" customFormat="true" ht="15" hidden="false" customHeight="false" outlineLevel="0" collapsed="false">
      <c r="A81" s="17" t="n">
        <v>41029</v>
      </c>
      <c r="B81" s="20" t="n">
        <v>14415.21</v>
      </c>
      <c r="C81" s="25" t="n">
        <f aca="false">(B81/B80-1)/(A81-A80)*30</f>
        <v>0.00417144675374423</v>
      </c>
      <c r="D81" s="19"/>
      <c r="E81" s="19"/>
      <c r="F81" s="19"/>
      <c r="I81" s="5"/>
      <c r="AC81" s="61"/>
      <c r="AD81" s="53" t="s">
        <v>26</v>
      </c>
      <c r="AE81" s="60"/>
      <c r="AF81" s="60"/>
      <c r="AG81" s="60"/>
      <c r="AH81" s="60" t="n">
        <f aca="false">+AH49</f>
        <v>0.00472012403360989</v>
      </c>
      <c r="AI81" s="60" t="n">
        <f aca="false">+AI49</f>
        <v>0.00416779685595303</v>
      </c>
      <c r="AJ81" s="60" t="n">
        <f aca="false">+AJ49</f>
        <v>0.00365019312776771</v>
      </c>
      <c r="AK81" s="60" t="n">
        <f aca="false">+AK49</f>
        <v>0.00363412607508162</v>
      </c>
      <c r="AL81" s="60" t="n">
        <f aca="false">+AL49</f>
        <v>0.00362766941593184</v>
      </c>
      <c r="AM81" s="60" t="n">
        <f aca="false">+AM49</f>
        <v>0.0033754452875443</v>
      </c>
      <c r="AN81" s="60" t="n">
        <f aca="false">+AN49</f>
        <v>0.00341081299567914</v>
      </c>
      <c r="AO81" s="60" t="n">
        <f aca="false">+AO49</f>
        <v>0.00322037460491331</v>
      </c>
      <c r="AP81" s="60" t="n">
        <f aca="false">+AP49</f>
        <v>0.003229855901979</v>
      </c>
      <c r="AQ81" s="60" t="n">
        <f aca="false">+AQ49</f>
        <v>0.0446995571155876</v>
      </c>
    </row>
    <row r="82" s="4" customFormat="true" ht="15" hidden="false" customHeight="false" outlineLevel="0" collapsed="false">
      <c r="A82" s="17" t="n">
        <v>41060</v>
      </c>
      <c r="B82" s="20" t="n">
        <v>14477.55</v>
      </c>
      <c r="C82" s="25" t="n">
        <f aca="false">(B82/B81-1)/(A82-A81)*30</f>
        <v>0.00418509562178174</v>
      </c>
      <c r="D82" s="19"/>
      <c r="E82" s="19"/>
      <c r="F82" s="19"/>
      <c r="I82" s="5"/>
      <c r="AC82" s="61"/>
      <c r="AD82" s="53" t="s">
        <v>27</v>
      </c>
      <c r="AE82" s="60"/>
      <c r="AF82" s="60"/>
      <c r="AG82" s="60"/>
      <c r="AH82" s="60" t="n">
        <f aca="false">+AH36</f>
        <v>0.00584640000000003</v>
      </c>
      <c r="AI82" s="60" t="n">
        <f aca="false">+AI36</f>
        <v>0.00699460673120655</v>
      </c>
      <c r="AJ82" s="60" t="n">
        <f aca="false">+AJ36</f>
        <v>0.00585339712359367</v>
      </c>
      <c r="AK82" s="60" t="n">
        <f aca="false">+AK36</f>
        <v>0.00585751602333962</v>
      </c>
      <c r="AL82" s="60" t="n">
        <f aca="false">+AL36</f>
        <v>0.00514277037845456</v>
      </c>
      <c r="AM82" s="60" t="n">
        <f aca="false">+AM36</f>
        <v>0.00559672621272433</v>
      </c>
      <c r="AN82" s="60" t="n">
        <f aca="false">+AN36</f>
        <v>0.00460710349884419</v>
      </c>
      <c r="AO82" s="60" t="n">
        <f aca="false">+AO36</f>
        <v>0.00431977917049764</v>
      </c>
      <c r="AP82" s="60" t="n">
        <f aca="false">+AP36</f>
        <v>0.00461198833735987</v>
      </c>
      <c r="AQ82" s="60" t="n">
        <f aca="false">+AQ36</f>
        <v>0.0665341333333333</v>
      </c>
    </row>
    <row r="83" s="4" customFormat="true" ht="15" hidden="false" customHeight="false" outlineLevel="0" collapsed="false">
      <c r="A83" s="17" t="n">
        <v>41089</v>
      </c>
      <c r="B83" s="20" t="n">
        <v>14536.13</v>
      </c>
      <c r="C83" s="25" t="n">
        <f aca="false">(B83/B82-1)/(A83-A82)*30</f>
        <v>0.00418579110415774</v>
      </c>
      <c r="D83" s="19"/>
      <c r="E83" s="19"/>
      <c r="F83" s="19"/>
      <c r="I83" s="5"/>
      <c r="AC83" s="61" t="n">
        <v>2025</v>
      </c>
      <c r="AD83" s="53" t="s">
        <v>3</v>
      </c>
      <c r="AE83" s="60" t="n">
        <f aca="false">+AE21</f>
        <v>0.00445443017437541</v>
      </c>
      <c r="AF83" s="60" t="n">
        <f aca="false">+AF21</f>
        <v>0.00389626305099444</v>
      </c>
      <c r="AG83" s="60" t="n">
        <f aca="false">+AG21</f>
        <v>0.0043138020854181</v>
      </c>
      <c r="AH83" s="60" t="n">
        <f aca="false">+AH21</f>
        <v>0.00417571644342774</v>
      </c>
      <c r="AI83" s="60" t="n">
        <f aca="false">+AI21</f>
        <v>0.00417422694650416</v>
      </c>
      <c r="AJ83" s="60" t="n">
        <f aca="false">+AJ21</f>
        <v>0.00431456613652492</v>
      </c>
      <c r="AK83" s="60" t="n">
        <f aca="false">+AK21</f>
        <v>0.00430626208344687</v>
      </c>
      <c r="AL83" s="60" t="n">
        <f aca="false">+AL21</f>
        <v>0.00383327468941586</v>
      </c>
      <c r="AM83" s="60" t="n">
        <f aca="false">+AM21</f>
        <v>0.00423004876441735</v>
      </c>
      <c r="AN83" s="60" t="n">
        <f aca="false">+AN21</f>
        <v>0.00396619021077105</v>
      </c>
      <c r="AO83" s="60" t="n">
        <f aca="false">+AO21</f>
        <v>0.00383243965233548</v>
      </c>
      <c r="AP83" s="60" t="n">
        <f aca="false">+AP21</f>
        <v>0.00413946203577598</v>
      </c>
      <c r="AQ83" s="60" t="n">
        <f aca="false">+AQ21</f>
        <v>0.0461215166375695</v>
      </c>
    </row>
    <row r="84" s="4" customFormat="true" ht="15" hidden="false" customHeight="false" outlineLevel="0" collapsed="false">
      <c r="A84" s="17" t="n">
        <v>41121</v>
      </c>
      <c r="B84" s="20" t="n">
        <v>14600.61</v>
      </c>
      <c r="C84" s="25" t="n">
        <f aca="false">(B84/B83-1)/(A84-A83)*30</f>
        <v>0.00415860342470799</v>
      </c>
      <c r="D84" s="19"/>
      <c r="E84" s="19"/>
      <c r="F84" s="19"/>
      <c r="I84" s="5"/>
      <c r="AC84" s="61"/>
      <c r="AD84" s="53" t="s">
        <v>26</v>
      </c>
      <c r="AE84" s="60" t="n">
        <f aca="false">+AE50</f>
        <v>0.00302021033404665</v>
      </c>
      <c r="AF84" s="60" t="n">
        <f aca="false">+AF50</f>
        <v>0.00276213771028111</v>
      </c>
      <c r="AG84" s="60" t="n">
        <f aca="false">+AG50</f>
        <v>0.00306282692323312</v>
      </c>
      <c r="AH84" s="60" t="n">
        <f aca="false">+AH50</f>
        <v>0.00297594968581905</v>
      </c>
      <c r="AI84" s="60" t="n">
        <f aca="false">+AI50</f>
        <v>0.00308976252279503</v>
      </c>
      <c r="AJ84" s="60" t="n">
        <f aca="false">+AJ50</f>
        <v>0.00299705245742721</v>
      </c>
      <c r="AK84" s="60" t="n">
        <f aca="false">+AK50</f>
        <v>0.00295054952791363</v>
      </c>
      <c r="AL84" s="60" t="n">
        <f aca="false">+AL50</f>
        <v>0.00300054219083834</v>
      </c>
      <c r="AM84" s="60" t="n">
        <f aca="false">+AM50</f>
        <v>0.00276161496613736</v>
      </c>
      <c r="AN84" s="60" t="n">
        <f aca="false">+AN50</f>
        <v>0.00286519472447866</v>
      </c>
      <c r="AO84" s="60" t="n">
        <f aca="false">+AO50</f>
        <v>0.00279501576319907</v>
      </c>
      <c r="AP84" s="60" t="n">
        <f aca="false">+AP50</f>
        <v>0.00283776649927603</v>
      </c>
      <c r="AQ84" s="60" t="n">
        <f aca="false">+AQ50</f>
        <v>0.0325707862057447</v>
      </c>
    </row>
    <row r="85" s="4" customFormat="true" ht="15" hidden="false" customHeight="false" outlineLevel="0" collapsed="false">
      <c r="A85" s="17" t="n">
        <v>41152</v>
      </c>
      <c r="B85" s="20" t="n">
        <v>14663.33</v>
      </c>
      <c r="C85" s="25" t="n">
        <f aca="false">(B85/B84-1)/(A85-A84)*30</f>
        <v>0.0041571396122181</v>
      </c>
      <c r="D85" s="19"/>
      <c r="E85" s="19"/>
      <c r="F85" s="19"/>
      <c r="I85" s="5"/>
      <c r="AC85" s="61"/>
      <c r="AD85" s="53" t="s">
        <v>27</v>
      </c>
      <c r="AE85" s="60" t="n">
        <f aca="false">+AE37</f>
        <v>0.00370235048917977</v>
      </c>
      <c r="AF85" s="60" t="n">
        <f aca="false">+AF37</f>
        <v>0.00428482890813786</v>
      </c>
      <c r="AG85" s="60" t="n">
        <f aca="false">+AG37</f>
        <v>0.00501330904287323</v>
      </c>
      <c r="AH85" s="60" t="n">
        <f aca="false">+AH37</f>
        <v>0.00694682235551691</v>
      </c>
      <c r="AI85" s="60" t="n">
        <f aca="false">+AI37</f>
        <v>0.0060339087689576</v>
      </c>
      <c r="AJ85" s="60" t="n">
        <f aca="false">+AJ37</f>
        <v>0.00559092888494384</v>
      </c>
      <c r="AK85" s="60" t="n">
        <f aca="false">+AK37</f>
        <v>0.00591213378771949</v>
      </c>
      <c r="AL85" s="60" t="n">
        <f aca="false">+AL37</f>
        <v>0.00578820252662338</v>
      </c>
      <c r="AM85" s="60" t="n">
        <f aca="false">+AM37</f>
        <v>0.00520033884395699</v>
      </c>
      <c r="AN85" s="60" t="n">
        <f aca="false">+AN37</f>
        <v>0.00564090119379435</v>
      </c>
      <c r="AO85" s="60" t="n">
        <f aca="false">+AO37</f>
        <v>0.00529602502125015</v>
      </c>
      <c r="AP85" s="60" t="n">
        <f aca="false">+AP37</f>
        <v>0.00579578120916957</v>
      </c>
      <c r="AQ85" s="60" t="n">
        <f aca="false">+AQ37</f>
        <v>0.063249362276671</v>
      </c>
    </row>
    <row r="86" s="4" customFormat="true" ht="15" hidden="false" customHeight="false" outlineLevel="0" collapsed="false">
      <c r="A86" s="17" t="n">
        <v>41180</v>
      </c>
      <c r="B86" s="20" t="n">
        <v>14720.68</v>
      </c>
      <c r="C86" s="25" t="n">
        <f aca="false">(B86/B85-1)/(A86-A85)*30</f>
        <v>0.0041904825555607</v>
      </c>
      <c r="D86" s="19"/>
      <c r="E86" s="19"/>
      <c r="F86" s="19"/>
      <c r="I86" s="5"/>
      <c r="AC86" s="61" t="n">
        <v>2026</v>
      </c>
      <c r="AD86" s="53" t="s">
        <v>3</v>
      </c>
      <c r="AE86" s="60" t="n">
        <f aca="false">+AE22</f>
        <v>0.00388234363273376</v>
      </c>
      <c r="AF86" s="60" t="n">
        <f aca="false">+AF22</f>
        <v>0.00363126461056962</v>
      </c>
      <c r="AG86" s="60" t="n">
        <f aca="false">+AG22</f>
        <v>0.0038819280865483</v>
      </c>
      <c r="AH86" s="60" t="n">
        <f aca="false">+AH22</f>
        <v>-0.254362857499898</v>
      </c>
      <c r="AI86" s="60"/>
      <c r="AJ86" s="60"/>
      <c r="AK86" s="60"/>
      <c r="AL86" s="60"/>
      <c r="AM86" s="60"/>
      <c r="AN86" s="60"/>
      <c r="AO86" s="60"/>
      <c r="AP86" s="60"/>
      <c r="AQ86" s="60" t="n">
        <f aca="false">+AQ22</f>
        <v>-0.746250693705866</v>
      </c>
    </row>
    <row r="87" s="4" customFormat="true" ht="15" hidden="false" customHeight="false" outlineLevel="0" collapsed="false">
      <c r="A87" s="17" t="n">
        <v>41213</v>
      </c>
      <c r="B87" s="20" t="n">
        <v>14788.56</v>
      </c>
      <c r="C87" s="25" t="n">
        <f aca="false">(B87/B86-1)/(A87-A86)*30</f>
        <v>0.0041920000237142</v>
      </c>
      <c r="D87" s="19"/>
      <c r="E87" s="19"/>
      <c r="F87" s="19"/>
      <c r="I87" s="5"/>
      <c r="AC87" s="61"/>
      <c r="AD87" s="53" t="s">
        <v>26</v>
      </c>
      <c r="AE87" s="60" t="n">
        <f aca="false">+AE51</f>
        <v>0.00272443815472734</v>
      </c>
      <c r="AF87" s="60" t="n">
        <f aca="false">+AF51</f>
        <v>0.00244521636660222</v>
      </c>
      <c r="AG87" s="60" t="n">
        <f aca="false">+AG51</f>
        <v>0.00268777625151762</v>
      </c>
      <c r="AH87" s="60" t="n">
        <f aca="false">+AH51</f>
        <v>-1</v>
      </c>
      <c r="AI87" s="60"/>
      <c r="AJ87" s="60"/>
      <c r="AK87" s="60"/>
      <c r="AL87" s="60"/>
      <c r="AM87" s="60"/>
      <c r="AN87" s="60"/>
      <c r="AO87" s="60"/>
      <c r="AP87" s="60"/>
      <c r="AQ87" s="60" t="n">
        <f aca="false">+AQ51</f>
        <v>-3</v>
      </c>
    </row>
    <row r="88" s="4" customFormat="true" ht="15" hidden="false" customHeight="false" outlineLevel="0" collapsed="false">
      <c r="A88" s="17" t="n">
        <v>41243</v>
      </c>
      <c r="B88" s="20" t="n">
        <v>14850.38</v>
      </c>
      <c r="C88" s="25" t="n">
        <f aca="false">(B88/B87-1)/(A88-A87)*30</f>
        <v>0.00418025825367718</v>
      </c>
      <c r="D88" s="19"/>
      <c r="E88" s="19"/>
      <c r="F88" s="19"/>
      <c r="I88" s="5"/>
      <c r="AC88" s="61"/>
      <c r="AD88" s="53" t="s">
        <v>27</v>
      </c>
      <c r="AE88" s="60" t="n">
        <f aca="false">+AE38</f>
        <v>0.00532853592845872</v>
      </c>
      <c r="AF88" s="60" t="n">
        <f aca="false">+AF38</f>
        <v>0.00530233501247412</v>
      </c>
      <c r="AG88" s="60" t="n">
        <f aca="false">+AG38</f>
        <v>0.00557638676700956</v>
      </c>
      <c r="AH88" s="60" t="n">
        <f aca="false">+AH38</f>
        <v>0.00565629158811931</v>
      </c>
      <c r="AI88" s="60"/>
      <c r="AJ88" s="60"/>
      <c r="AK88" s="60"/>
      <c r="AL88" s="60"/>
      <c r="AM88" s="60"/>
      <c r="AN88" s="60"/>
      <c r="AO88" s="60"/>
      <c r="AP88" s="60"/>
      <c r="AQ88" s="60" t="n">
        <f aca="false">+AQ38</f>
        <v>0.0498788451161718</v>
      </c>
    </row>
    <row r="89" s="4" customFormat="true" ht="15" hidden="false" customHeight="false" outlineLevel="0" collapsed="false">
      <c r="A89" s="17" t="n">
        <v>41274</v>
      </c>
      <c r="B89" s="20" t="n">
        <v>14908.2</v>
      </c>
      <c r="C89" s="25" t="n">
        <f aca="false">(B89/B88-1)/(A89-A88)*30</f>
        <v>0.00376790618891083</v>
      </c>
      <c r="D89" s="19"/>
      <c r="E89" s="19"/>
      <c r="F89" s="19"/>
      <c r="I89" s="5"/>
      <c r="AC89" s="3"/>
      <c r="AF89" s="3"/>
      <c r="AG89" s="3"/>
      <c r="AH89" s="3"/>
      <c r="AI89" s="3"/>
      <c r="AJ89" s="3"/>
      <c r="AK89" s="3"/>
      <c r="AL89" s="3"/>
      <c r="AM89" s="3"/>
      <c r="AN89" s="3"/>
      <c r="AO89" s="3"/>
      <c r="AP89" s="3"/>
      <c r="AQ89" s="3"/>
    </row>
    <row r="90" s="4" customFormat="true" ht="15" hidden="false" customHeight="false" outlineLevel="0" collapsed="false">
      <c r="A90" s="17" t="n">
        <v>41305</v>
      </c>
      <c r="B90" s="20" t="n">
        <v>14978.58</v>
      </c>
      <c r="C90" s="25" t="n">
        <f aca="false">(B90/B89-1)/(A90-A89)*30</f>
        <v>0.00456860502403746</v>
      </c>
      <c r="D90" s="19"/>
      <c r="E90" s="19"/>
      <c r="F90" s="19"/>
      <c r="I90" s="5"/>
      <c r="AC90" s="3"/>
      <c r="AF90" s="3"/>
      <c r="AG90" s="3"/>
      <c r="AH90" s="3"/>
      <c r="AI90" s="3"/>
      <c r="AJ90" s="3"/>
      <c r="AK90" s="3"/>
      <c r="AL90" s="3"/>
      <c r="AM90" s="3"/>
      <c r="AN90" s="3"/>
      <c r="AO90" s="3"/>
      <c r="AP90" s="3"/>
      <c r="AQ90" s="3"/>
    </row>
    <row r="91" s="4" customFormat="true" ht="15" hidden="false" customHeight="false" outlineLevel="0" collapsed="false">
      <c r="A91" s="17" t="n">
        <v>41333</v>
      </c>
      <c r="B91" s="20" t="n">
        <v>15036.94</v>
      </c>
      <c r="C91" s="25" t="n">
        <f aca="false">(B91/B90-1)/(A91-A90)*30</f>
        <v>0.00417453266121161</v>
      </c>
      <c r="D91" s="19"/>
      <c r="E91" s="19"/>
      <c r="F91" s="19"/>
      <c r="I91" s="5"/>
      <c r="AC91" s="3"/>
      <c r="AF91" s="3"/>
      <c r="AG91" s="3"/>
      <c r="AH91" s="3"/>
      <c r="AI91" s="3"/>
      <c r="AJ91" s="3"/>
      <c r="AK91" s="3"/>
      <c r="AL91" s="3"/>
      <c r="AM91" s="3"/>
      <c r="AN91" s="3"/>
      <c r="AO91" s="3"/>
      <c r="AP91" s="3"/>
      <c r="AQ91" s="3"/>
    </row>
    <row r="92" s="4" customFormat="true" ht="15" hidden="false" customHeight="false" outlineLevel="0" collapsed="false">
      <c r="A92" s="17" t="n">
        <v>41362</v>
      </c>
      <c r="B92" s="20" t="n">
        <v>15095.51</v>
      </c>
      <c r="C92" s="25" t="n">
        <f aca="false">(B92/B91-1)/(A92-A91)*30</f>
        <v>0.00402938730701959</v>
      </c>
      <c r="D92" s="19"/>
      <c r="E92" s="19"/>
      <c r="F92" s="19"/>
      <c r="I92" s="5"/>
      <c r="AC92" s="3"/>
      <c r="AF92" s="3"/>
      <c r="AG92" s="3"/>
      <c r="AH92" s="3"/>
      <c r="AI92" s="3"/>
      <c r="AJ92" s="3"/>
      <c r="AK92" s="3"/>
      <c r="AL92" s="3"/>
      <c r="AM92" s="3"/>
      <c r="AN92" s="3"/>
      <c r="AO92" s="3"/>
      <c r="AP92" s="3"/>
      <c r="AQ92" s="3"/>
    </row>
    <row r="93" s="4" customFormat="true" ht="15" hidden="false" customHeight="false" outlineLevel="0" collapsed="false">
      <c r="A93" s="17" t="n">
        <v>41394</v>
      </c>
      <c r="B93" s="20" t="n">
        <v>15164.77</v>
      </c>
      <c r="C93" s="25" t="n">
        <f aca="false">(B93/B92-1)/(A93-A92)*30</f>
        <v>0.00430136179565985</v>
      </c>
      <c r="D93" s="19"/>
      <c r="E93" s="19"/>
      <c r="F93" s="19"/>
      <c r="I93" s="5"/>
      <c r="AC93" s="3"/>
      <c r="AF93" s="3"/>
      <c r="AG93" s="3"/>
      <c r="AH93" s="3"/>
      <c r="AI93" s="3"/>
      <c r="AJ93" s="3"/>
      <c r="AK93" s="3"/>
      <c r="AL93" s="3"/>
      <c r="AM93" s="3"/>
      <c r="AN93" s="3"/>
      <c r="AO93" s="3"/>
      <c r="AP93" s="3"/>
      <c r="AQ93" s="3"/>
    </row>
    <row r="94" s="4" customFormat="true" ht="15" hidden="false" customHeight="false" outlineLevel="0" collapsed="false">
      <c r="A94" s="17" t="n">
        <v>41425</v>
      </c>
      <c r="B94" s="20" t="n">
        <v>15230.38</v>
      </c>
      <c r="C94" s="25" t="n">
        <f aca="false">(B94/B93-1)/(A94-A93)*30</f>
        <v>0.00418691139971771</v>
      </c>
      <c r="D94" s="19"/>
      <c r="E94" s="19"/>
      <c r="F94" s="19"/>
      <c r="I94" s="5"/>
      <c r="AC94" s="3"/>
      <c r="AF94" s="3"/>
      <c r="AG94" s="3"/>
      <c r="AH94" s="3"/>
      <c r="AI94" s="3"/>
      <c r="AJ94" s="3"/>
      <c r="AK94" s="3"/>
      <c r="AL94" s="3"/>
      <c r="AM94" s="3"/>
      <c r="AN94" s="3"/>
      <c r="AO94" s="3"/>
      <c r="AP94" s="3"/>
      <c r="AQ94" s="3"/>
    </row>
    <row r="95" s="4" customFormat="true" ht="15" hidden="false" customHeight="false" outlineLevel="0" collapsed="false">
      <c r="A95" s="17" t="n">
        <v>41453</v>
      </c>
      <c r="B95" s="20" t="n">
        <v>15289.74</v>
      </c>
      <c r="C95" s="25" t="n">
        <f aca="false">(B95/B94-1)/(A95-A94)*30</f>
        <v>0.00417586429228964</v>
      </c>
      <c r="D95" s="19"/>
      <c r="E95" s="19"/>
      <c r="F95" s="19"/>
      <c r="I95" s="5"/>
      <c r="AC95" s="3"/>
      <c r="AF95" s="3"/>
      <c r="AG95" s="3"/>
      <c r="AH95" s="3"/>
      <c r="AI95" s="3"/>
      <c r="AJ95" s="3"/>
      <c r="AK95" s="3"/>
      <c r="AL95" s="3"/>
      <c r="AM95" s="3"/>
      <c r="AN95" s="3"/>
      <c r="AO95" s="3"/>
      <c r="AP95" s="3"/>
      <c r="AQ95" s="3"/>
    </row>
    <row r="96" s="4" customFormat="true" ht="15" hidden="false" customHeight="false" outlineLevel="0" collapsed="false">
      <c r="A96" s="17" t="n">
        <v>41486</v>
      </c>
      <c r="B96" s="20" t="n">
        <v>15360.27</v>
      </c>
      <c r="C96" s="25" t="n">
        <f aca="false">(B96/B95-1)/(A96-A95)*30</f>
        <v>0.0041935429783752</v>
      </c>
      <c r="D96" s="19"/>
      <c r="E96" s="19"/>
      <c r="F96" s="19"/>
      <c r="I96" s="5"/>
      <c r="AC96" s="3"/>
      <c r="AF96" s="3"/>
      <c r="AG96" s="3"/>
      <c r="AH96" s="3"/>
      <c r="AI96" s="3"/>
      <c r="AJ96" s="3"/>
      <c r="AK96" s="3"/>
      <c r="AL96" s="3"/>
      <c r="AM96" s="3"/>
      <c r="AN96" s="3"/>
      <c r="AO96" s="3"/>
      <c r="AP96" s="3"/>
      <c r="AQ96" s="3"/>
    </row>
    <row r="97" s="4" customFormat="true" ht="15" hidden="false" customHeight="false" outlineLevel="0" collapsed="false">
      <c r="A97" s="17" t="n">
        <v>41516</v>
      </c>
      <c r="B97" s="20" t="n">
        <v>15424.43</v>
      </c>
      <c r="C97" s="25" t="n">
        <f aca="false">(B97/B96-1)/(A97-A96)*30</f>
        <v>0.00417700990933101</v>
      </c>
      <c r="D97" s="19"/>
      <c r="E97" s="19"/>
      <c r="F97" s="19"/>
      <c r="I97" s="5"/>
      <c r="AC97" s="3"/>
      <c r="AD97" s="17" t="n">
        <v>43008</v>
      </c>
      <c r="AE97" s="62" t="n">
        <v>0.00311210000000006</v>
      </c>
      <c r="AF97" s="3"/>
      <c r="AG97" s="3"/>
      <c r="AH97" s="3"/>
      <c r="AI97" s="3"/>
      <c r="AJ97" s="3"/>
      <c r="AK97" s="3"/>
      <c r="AL97" s="3"/>
      <c r="AM97" s="3"/>
      <c r="AN97" s="3"/>
      <c r="AO97" s="3"/>
      <c r="AP97" s="3"/>
      <c r="AQ97" s="3"/>
    </row>
    <row r="98" s="4" customFormat="true" ht="15" hidden="false" customHeight="false" outlineLevel="0" collapsed="false">
      <c r="A98" s="17" t="n">
        <v>41547</v>
      </c>
      <c r="B98" s="20" t="n">
        <v>15490.99</v>
      </c>
      <c r="C98" s="25" t="n">
        <f aca="false">(B98/B97-1)/(A98-A97)*30</f>
        <v>0.00417603134934674</v>
      </c>
      <c r="D98" s="19"/>
      <c r="E98" s="19"/>
      <c r="F98" s="19"/>
      <c r="I98" s="5"/>
      <c r="AC98" s="3"/>
      <c r="AD98" s="17" t="n">
        <v>43039</v>
      </c>
      <c r="AE98" s="62" t="n">
        <v>0.00266354947734888</v>
      </c>
      <c r="AF98" s="3"/>
      <c r="AG98" s="3"/>
      <c r="AH98" s="3"/>
      <c r="AI98" s="3"/>
      <c r="AJ98" s="3"/>
      <c r="AK98" s="3"/>
      <c r="AL98" s="3"/>
      <c r="AM98" s="3"/>
      <c r="AN98" s="3"/>
      <c r="AO98" s="3"/>
      <c r="AP98" s="3"/>
      <c r="AQ98" s="3"/>
    </row>
    <row r="99" s="4" customFormat="true" ht="15" hidden="false" customHeight="false" outlineLevel="0" collapsed="false">
      <c r="A99" s="17" t="n">
        <v>41578</v>
      </c>
      <c r="B99" s="20" t="n">
        <v>15554.36</v>
      </c>
      <c r="C99" s="25" t="n">
        <f aca="false">(B99/B98-1)/(A99-A98)*30</f>
        <v>0.00395880485699199</v>
      </c>
      <c r="D99" s="19"/>
      <c r="E99" s="19"/>
      <c r="F99" s="19"/>
      <c r="I99" s="5"/>
      <c r="AD99" s="17" t="n">
        <v>43069</v>
      </c>
      <c r="AE99" s="62" t="n">
        <v>0.00270401929468234</v>
      </c>
      <c r="AF99" s="3"/>
      <c r="AG99" s="3"/>
      <c r="AH99" s="3"/>
      <c r="AI99" s="3"/>
      <c r="AJ99" s="3"/>
      <c r="AK99" s="3"/>
      <c r="AL99" s="3"/>
      <c r="AM99" s="3"/>
      <c r="AN99" s="3"/>
      <c r="AO99" s="3"/>
      <c r="AP99" s="3"/>
      <c r="AQ99" s="3"/>
    </row>
    <row r="100" s="4" customFormat="true" ht="15" hidden="false" customHeight="false" outlineLevel="0" collapsed="false">
      <c r="A100" s="17" t="n">
        <v>41607</v>
      </c>
      <c r="B100" s="20" t="n">
        <v>15615.06</v>
      </c>
      <c r="C100" s="25" t="n">
        <f aca="false">(B100/B99-1)/(A100-A99)*30</f>
        <v>0.00403700978042654</v>
      </c>
      <c r="D100" s="19"/>
      <c r="E100" s="19"/>
      <c r="F100" s="19"/>
      <c r="I100" s="5"/>
      <c r="AD100" s="17" t="n">
        <v>43100</v>
      </c>
      <c r="AE100" s="62" t="n">
        <v>0.00300965446914445</v>
      </c>
    </row>
    <row r="101" s="4" customFormat="true" ht="15" hidden="false" customHeight="false" outlineLevel="0" collapsed="false">
      <c r="A101" s="17" t="n">
        <v>41639</v>
      </c>
      <c r="B101" s="20" t="n">
        <v>15675.68</v>
      </c>
      <c r="C101" s="25" t="n">
        <f aca="false">(B101/B100-1)/(A101-A100)*30</f>
        <v>0.00363951531406219</v>
      </c>
      <c r="D101" s="19"/>
      <c r="E101" s="19"/>
      <c r="F101" s="19"/>
      <c r="I101" s="5"/>
      <c r="AD101" s="17" t="n">
        <v>43131</v>
      </c>
      <c r="AE101" s="62" t="n">
        <v>0.00473727239934226</v>
      </c>
    </row>
    <row r="102" s="4" customFormat="true" ht="15" hidden="false" customHeight="false" outlineLevel="0" collapsed="false">
      <c r="A102" s="17" t="n">
        <v>41670</v>
      </c>
      <c r="B102" s="20" t="n">
        <v>15738.45</v>
      </c>
      <c r="C102" s="25" t="n">
        <f aca="false">(B102/B101-1)/(A102-A101)*30</f>
        <v>0.0038751212891769</v>
      </c>
      <c r="D102" s="19"/>
      <c r="E102" s="19"/>
      <c r="F102" s="19"/>
      <c r="I102" s="5"/>
      <c r="AD102" s="17" t="n">
        <v>43159</v>
      </c>
      <c r="AE102" s="62" t="n">
        <v>0.00378152301954046</v>
      </c>
    </row>
    <row r="103" s="4" customFormat="true" ht="15" hidden="false" customHeight="false" outlineLevel="0" collapsed="false">
      <c r="A103" s="17" t="n">
        <v>41698</v>
      </c>
      <c r="B103" s="20" t="n">
        <v>15792.47</v>
      </c>
      <c r="C103" s="25" t="n">
        <f aca="false">(B103/B102-1)/(A103-A102)*30</f>
        <v>0.00367752678494823</v>
      </c>
      <c r="D103" s="19"/>
      <c r="E103" s="19"/>
      <c r="F103" s="19"/>
      <c r="I103" s="5"/>
      <c r="AD103" s="17" t="n">
        <v>43190</v>
      </c>
      <c r="AE103" s="62" t="n">
        <v>0.00300527511908573</v>
      </c>
    </row>
    <row r="104" s="4" customFormat="true" ht="15" hidden="false" customHeight="false" outlineLevel="0" collapsed="false">
      <c r="A104" s="17" t="n">
        <v>41729</v>
      </c>
      <c r="B104" s="20" t="n">
        <v>15848.53</v>
      </c>
      <c r="C104" s="25" t="n">
        <f aca="false">(B104/B103-1)/(A104-A103)*30</f>
        <v>0.00343528358155682</v>
      </c>
      <c r="D104" s="19"/>
      <c r="E104" s="19"/>
      <c r="F104" s="19"/>
      <c r="I104" s="5"/>
      <c r="AD104" s="17" t="n">
        <v>43220</v>
      </c>
      <c r="AE104" s="62" t="n">
        <v>0.00316130254575997</v>
      </c>
    </row>
    <row r="105" s="4" customFormat="true" ht="15" hidden="false" customHeight="false" outlineLevel="0" collapsed="false">
      <c r="A105" s="17" t="n">
        <v>41759</v>
      </c>
      <c r="B105" s="20" t="n">
        <v>15901.43</v>
      </c>
      <c r="C105" s="25" t="n">
        <f aca="false">(B105/B104-1)/(A105-A104)*30</f>
        <v>0.00333784899924461</v>
      </c>
      <c r="D105" s="19"/>
      <c r="E105" s="19"/>
      <c r="F105" s="19"/>
      <c r="I105" s="5"/>
      <c r="AD105" s="17" t="n">
        <v>43251</v>
      </c>
      <c r="AE105" s="62" t="n">
        <v>0.00310067866389014</v>
      </c>
    </row>
    <row r="106" s="4" customFormat="true" ht="15" hidden="false" customHeight="false" outlineLevel="0" collapsed="false">
      <c r="A106" s="17" t="n">
        <v>41789</v>
      </c>
      <c r="B106" s="20" t="n">
        <v>15954.5</v>
      </c>
      <c r="C106" s="25" t="n">
        <f aca="false">(B106/B105-1)/(A106-A105)*30</f>
        <v>0.0033374356897462</v>
      </c>
      <c r="D106" s="19"/>
      <c r="E106" s="19"/>
      <c r="F106" s="19"/>
      <c r="I106" s="5"/>
      <c r="AD106" s="17" t="n">
        <v>43281</v>
      </c>
      <c r="AE106" s="62" t="n">
        <v>0.00287709140845549</v>
      </c>
    </row>
    <row r="107" s="4" customFormat="true" ht="15" hidden="false" customHeight="false" outlineLevel="0" collapsed="false">
      <c r="A107" s="17" t="n">
        <v>41820</v>
      </c>
      <c r="B107" s="20" t="n">
        <v>16009.53</v>
      </c>
      <c r="C107" s="25" t="n">
        <f aca="false">(B107/B106-1)/(A107-A106)*30</f>
        <v>0.00333791962829792</v>
      </c>
      <c r="D107" s="19"/>
      <c r="E107" s="19"/>
      <c r="F107" s="19"/>
      <c r="I107" s="5"/>
      <c r="AD107" s="17" t="n">
        <v>43312</v>
      </c>
      <c r="AE107" s="62" t="n">
        <v>0.00279025405786912</v>
      </c>
    </row>
    <row r="108" s="4" customFormat="true" ht="15" hidden="false" customHeight="false" outlineLevel="0" collapsed="false">
      <c r="A108" s="17" t="n">
        <v>41851</v>
      </c>
      <c r="B108" s="20" t="n">
        <v>16063.18</v>
      </c>
      <c r="C108" s="25" t="n">
        <f aca="false">(B108/B107-1)/(A108-A107)*30</f>
        <v>0.00324302804883782</v>
      </c>
      <c r="D108" s="19"/>
      <c r="E108" s="19"/>
      <c r="F108" s="19"/>
      <c r="I108" s="5"/>
      <c r="AD108" s="17" t="n">
        <v>43343</v>
      </c>
      <c r="AE108" s="62" t="n">
        <v>0.00269722002207049</v>
      </c>
    </row>
    <row r="109" s="4" customFormat="true" ht="15" hidden="false" customHeight="false" outlineLevel="0" collapsed="false">
      <c r="A109" s="17" t="n">
        <v>41880</v>
      </c>
      <c r="B109" s="20" t="n">
        <v>16110.55</v>
      </c>
      <c r="C109" s="25" t="n">
        <f aca="false">(B109/B108-1)/(A109-A108)*30</f>
        <v>0.00305066918728811</v>
      </c>
      <c r="D109" s="19"/>
      <c r="E109" s="19"/>
      <c r="F109" s="19"/>
      <c r="I109" s="5"/>
      <c r="AD109" s="17" t="n">
        <v>43373</v>
      </c>
      <c r="AE109" s="62" t="n">
        <v>0.00294678677406712</v>
      </c>
    </row>
    <row r="110" s="4" customFormat="true" ht="15" hidden="false" customHeight="false" outlineLevel="0" collapsed="false">
      <c r="A110" s="17" t="n">
        <v>41912</v>
      </c>
      <c r="B110" s="20" t="n">
        <v>16158.37</v>
      </c>
      <c r="C110" s="25" t="n">
        <f aca="false">(B110/B109-1)/(A110-A109)*30</f>
        <v>0.0027827262259824</v>
      </c>
      <c r="D110" s="19"/>
      <c r="E110" s="19"/>
      <c r="F110" s="19"/>
      <c r="I110" s="5"/>
      <c r="AD110" s="17" t="n">
        <v>43404</v>
      </c>
      <c r="AE110" s="62" t="n">
        <v>0.00273411579812808</v>
      </c>
    </row>
    <row r="111" s="4" customFormat="true" ht="15" hidden="false" customHeight="false" outlineLevel="0" collapsed="false">
      <c r="A111" s="17" t="n">
        <v>41943</v>
      </c>
      <c r="B111" s="20" t="n">
        <v>16200.86</v>
      </c>
      <c r="C111" s="25" t="n">
        <f aca="false">(B111/B110-1)/(A111-A110)*30</f>
        <v>0.00254477121384836</v>
      </c>
      <c r="D111" s="19"/>
      <c r="E111" s="19"/>
      <c r="F111" s="19"/>
      <c r="I111" s="5"/>
      <c r="AD111" s="17" t="n">
        <v>43434</v>
      </c>
      <c r="AE111" s="62" t="n">
        <v>0.00284409288655185</v>
      </c>
    </row>
    <row r="112" s="4" customFormat="true" ht="15" hidden="false" customHeight="false" outlineLevel="0" collapsed="false">
      <c r="A112" s="17" t="n">
        <v>41971</v>
      </c>
      <c r="B112" s="20" t="n">
        <v>16240.11</v>
      </c>
      <c r="C112" s="25" t="n">
        <f aca="false">(B112/B111-1)/(A112-A111)*30</f>
        <v>0.00259576167120579</v>
      </c>
      <c r="D112" s="19"/>
      <c r="E112" s="19"/>
      <c r="F112" s="19"/>
      <c r="I112" s="5"/>
      <c r="AD112" s="17" t="n">
        <v>43465</v>
      </c>
      <c r="AE112" s="62" t="n">
        <v>0.00262659891580654</v>
      </c>
    </row>
    <row r="113" s="4" customFormat="true" ht="15" hidden="false" customHeight="false" outlineLevel="0" collapsed="false">
      <c r="A113" s="17" t="n">
        <v>42004</v>
      </c>
      <c r="B113" s="20" t="n">
        <v>16283.49</v>
      </c>
      <c r="C113" s="25" t="n">
        <f aca="false">(B113/B112-1)/(A113-A112)*30</f>
        <v>0.00242833106649904</v>
      </c>
      <c r="D113" s="19"/>
      <c r="E113" s="19"/>
      <c r="F113" s="19"/>
      <c r="I113" s="5"/>
      <c r="AD113" s="17" t="n">
        <v>43496</v>
      </c>
      <c r="AE113" s="62" t="n">
        <v>0.00281430328228941</v>
      </c>
    </row>
    <row r="114" s="4" customFormat="true" ht="15" hidden="false" customHeight="false" outlineLevel="0" collapsed="false">
      <c r="A114" s="17" t="n">
        <v>42034</v>
      </c>
      <c r="B114" s="20" t="n">
        <v>16325.65</v>
      </c>
      <c r="C114" s="25" t="n">
        <f aca="false">(B114/B113-1)/(A114-A113)*30</f>
        <v>0.00258912554986668</v>
      </c>
      <c r="D114" s="19"/>
      <c r="E114" s="19"/>
      <c r="F114" s="19"/>
      <c r="I114" s="5"/>
      <c r="AD114" s="17" t="n">
        <v>43524</v>
      </c>
      <c r="AE114" s="62" t="n">
        <v>0.00282360638687196</v>
      </c>
    </row>
    <row r="115" customFormat="false" ht="15" hidden="false" customHeight="false" outlineLevel="0" collapsed="false">
      <c r="A115" s="17" t="n">
        <v>42062</v>
      </c>
      <c r="B115" s="20" t="n">
        <v>16363.77</v>
      </c>
      <c r="C115" s="25" t="n">
        <f aca="false">(B115/B114-1)/(A115-A114)*30</f>
        <v>0.00250175993867666</v>
      </c>
      <c r="D115" s="19"/>
      <c r="E115" s="19"/>
      <c r="F115" s="19"/>
      <c r="N115" s="4"/>
      <c r="O115" s="4"/>
      <c r="P115" s="4"/>
      <c r="Q115" s="4"/>
      <c r="R115" s="4"/>
      <c r="S115" s="4"/>
      <c r="T115" s="4"/>
      <c r="U115" s="4"/>
      <c r="V115" s="4"/>
      <c r="W115" s="4"/>
      <c r="X115" s="4"/>
      <c r="Y115" s="4"/>
      <c r="Z115" s="4"/>
      <c r="AA115" s="4"/>
      <c r="AB115" s="4"/>
      <c r="AC115" s="4"/>
      <c r="AD115" s="17" t="n">
        <v>43555</v>
      </c>
      <c r="AE115" s="62" t="n">
        <v>0.00286536279403882</v>
      </c>
      <c r="AF115" s="4"/>
      <c r="AG115" s="4"/>
      <c r="AH115" s="4"/>
      <c r="AI115" s="4"/>
      <c r="AJ115" s="4"/>
      <c r="AK115" s="4"/>
      <c r="AL115" s="4"/>
      <c r="AM115" s="4"/>
      <c r="AN115" s="4"/>
      <c r="AO115" s="4"/>
      <c r="AP115" s="4"/>
      <c r="AQ115" s="4"/>
      <c r="AR115" s="4"/>
      <c r="AS115" s="4"/>
      <c r="AT115" s="4"/>
    </row>
    <row r="116" customFormat="false" ht="15" hidden="false" customHeight="false" outlineLevel="0" collapsed="false">
      <c r="A116" s="17" t="n">
        <v>42094</v>
      </c>
      <c r="B116" s="20" t="n">
        <v>16407.49</v>
      </c>
      <c r="C116" s="25" t="n">
        <f aca="false">(B116/B115-1)/(A116-A115)*30</f>
        <v>0.00250477121103515</v>
      </c>
      <c r="D116" s="19"/>
      <c r="E116" s="19"/>
      <c r="F116" s="19"/>
      <c r="O116" s="4"/>
      <c r="P116" s="4"/>
      <c r="Q116" s="4"/>
      <c r="R116" s="4"/>
      <c r="S116" s="4"/>
      <c r="T116" s="4"/>
      <c r="U116" s="4"/>
      <c r="V116" s="4"/>
      <c r="W116" s="4"/>
      <c r="X116" s="4"/>
      <c r="Y116" s="4"/>
      <c r="Z116" s="4"/>
      <c r="AA116" s="4"/>
      <c r="AB116" s="4"/>
      <c r="AC116" s="4"/>
      <c r="AD116" s="17" t="n">
        <v>43585</v>
      </c>
      <c r="AE116" s="62" t="n">
        <v>0.00293240905161363</v>
      </c>
      <c r="AF116" s="4"/>
      <c r="AG116" s="4"/>
      <c r="AH116" s="4"/>
      <c r="AI116" s="4"/>
      <c r="AJ116" s="4"/>
      <c r="AK116" s="4"/>
      <c r="AL116" s="4"/>
      <c r="AM116" s="4"/>
      <c r="AN116" s="4"/>
      <c r="AO116" s="4"/>
      <c r="AP116" s="4"/>
      <c r="AQ116" s="4"/>
      <c r="AR116" s="4"/>
      <c r="AS116" s="4"/>
    </row>
    <row r="117" customFormat="false" ht="15" hidden="false" customHeight="false" outlineLevel="0" collapsed="false">
      <c r="A117" s="17" t="n">
        <v>42124</v>
      </c>
      <c r="B117" s="20" t="n">
        <v>16448.59</v>
      </c>
      <c r="C117" s="25" t="n">
        <f aca="false">(B117/B116-1)/(A117-A116)*30</f>
        <v>0.00250495353036917</v>
      </c>
      <c r="D117" s="19"/>
      <c r="E117" s="19"/>
      <c r="F117" s="19"/>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row>
    <row r="118" customFormat="false" ht="15" hidden="false" customHeight="false" outlineLevel="0" collapsed="false">
      <c r="A118" s="17" t="n">
        <v>42153</v>
      </c>
      <c r="B118" s="20" t="n">
        <v>16488.37</v>
      </c>
      <c r="C118" s="25" t="n">
        <f aca="false">(B118/B117-1)/(A118-A117)*30</f>
        <v>0.00250183901099918</v>
      </c>
      <c r="D118" s="19"/>
      <c r="E118" s="19"/>
      <c r="F118" s="19"/>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row>
    <row r="119" customFormat="false" ht="15" hidden="false" customHeight="false" outlineLevel="0" collapsed="false">
      <c r="A119" s="17" t="n">
        <v>42185</v>
      </c>
      <c r="B119" s="20" t="n">
        <v>16532.38</v>
      </c>
      <c r="C119" s="25" t="n">
        <f aca="false">(B119/B118-1)/(A119-A118)*30</f>
        <v>0.00250233194669942</v>
      </c>
      <c r="D119" s="19"/>
      <c r="E119" s="19"/>
      <c r="F119" s="19"/>
      <c r="O119" s="4"/>
      <c r="P119" s="4"/>
      <c r="Q119" s="4"/>
      <c r="R119" s="4"/>
      <c r="S119" s="4"/>
      <c r="T119" s="4"/>
      <c r="U119" s="4"/>
      <c r="V119" s="4"/>
      <c r="W119" s="4"/>
      <c r="X119" s="4"/>
      <c r="Y119" s="4"/>
      <c r="Z119" s="4"/>
      <c r="AA119" s="4"/>
      <c r="AC119" s="4"/>
      <c r="AD119" s="4"/>
      <c r="AE119" s="4"/>
      <c r="AF119" s="4"/>
      <c r="AG119" s="4"/>
      <c r="AH119" s="4"/>
      <c r="AI119" s="4"/>
      <c r="AJ119" s="4"/>
      <c r="AK119" s="4"/>
      <c r="AL119" s="4"/>
      <c r="AM119" s="4"/>
      <c r="AN119" s="4"/>
      <c r="AO119" s="4"/>
      <c r="AP119" s="4"/>
      <c r="AQ119" s="4"/>
      <c r="AR119" s="4"/>
      <c r="AS119" s="4"/>
    </row>
    <row r="120" customFormat="false" ht="15" hidden="false" customHeight="false" outlineLevel="0" collapsed="false">
      <c r="A120" s="17" t="n">
        <v>42216</v>
      </c>
      <c r="B120" s="20" t="n">
        <v>16575.11</v>
      </c>
      <c r="C120" s="25" t="n">
        <f aca="false">(B120/B119-1)/(A120-A119)*30</f>
        <v>0.00250124984444025</v>
      </c>
      <c r="D120" s="19"/>
      <c r="E120" s="19"/>
      <c r="F120" s="19"/>
      <c r="O120" s="4"/>
      <c r="P120" s="4"/>
      <c r="Q120" s="4"/>
      <c r="R120" s="4"/>
      <c r="S120" s="4"/>
      <c r="T120" s="4"/>
      <c r="U120" s="4"/>
      <c r="V120" s="4"/>
      <c r="W120" s="4"/>
      <c r="X120" s="4"/>
      <c r="Y120" s="4"/>
      <c r="Z120" s="4"/>
      <c r="AA120" s="4"/>
      <c r="AC120" s="4"/>
      <c r="AD120" s="4"/>
      <c r="AE120" s="4"/>
      <c r="AF120" s="4"/>
      <c r="AG120" s="4"/>
      <c r="AH120" s="4"/>
      <c r="AI120" s="4"/>
      <c r="AJ120" s="4"/>
      <c r="AK120" s="4"/>
      <c r="AL120" s="4"/>
      <c r="AM120" s="4"/>
      <c r="AN120" s="4"/>
      <c r="AO120" s="4"/>
      <c r="AP120" s="4"/>
      <c r="AQ120" s="4"/>
      <c r="AR120" s="4"/>
      <c r="AS120" s="4"/>
    </row>
    <row r="121" customFormat="false" ht="15" hidden="false" customHeight="false" outlineLevel="0" collapsed="false">
      <c r="A121" s="17" t="n">
        <v>42247</v>
      </c>
      <c r="B121" s="20" t="n">
        <v>16617.94</v>
      </c>
      <c r="C121" s="25" t="n">
        <f aca="false">(B121/B120-1)/(A121-A120)*30</f>
        <v>0.00250064024291679</v>
      </c>
      <c r="D121" s="19"/>
      <c r="E121" s="19"/>
      <c r="F121" s="19"/>
      <c r="O121" s="4"/>
      <c r="P121" s="4"/>
      <c r="Q121" s="4"/>
      <c r="R121" s="4"/>
      <c r="S121" s="4"/>
      <c r="T121" s="4"/>
      <c r="U121" s="4"/>
      <c r="V121" s="4"/>
      <c r="W121" s="4"/>
      <c r="X121" s="4"/>
      <c r="Y121" s="4"/>
      <c r="Z121" s="4"/>
      <c r="AA121" s="4"/>
      <c r="AC121" s="4"/>
      <c r="AD121" s="4"/>
      <c r="AE121" s="4"/>
      <c r="AF121" s="4"/>
      <c r="AG121" s="4"/>
      <c r="AH121" s="4"/>
      <c r="AI121" s="4"/>
      <c r="AJ121" s="4"/>
      <c r="AK121" s="4"/>
      <c r="AL121" s="4"/>
      <c r="AM121" s="4"/>
      <c r="AN121" s="4"/>
      <c r="AO121" s="4"/>
      <c r="AP121" s="4"/>
      <c r="AQ121" s="4"/>
      <c r="AR121" s="4"/>
      <c r="AS121" s="4"/>
    </row>
    <row r="122" customFormat="false" ht="15" hidden="false" customHeight="false" outlineLevel="0" collapsed="false">
      <c r="A122" s="17" t="n">
        <v>42277</v>
      </c>
      <c r="B122" s="20" t="n">
        <v>16659.58</v>
      </c>
      <c r="C122" s="25" t="n">
        <f aca="false">(B122/B121-1)/(A122-A121)*30</f>
        <v>0.00250572573977292</v>
      </c>
      <c r="D122" s="19"/>
      <c r="E122" s="19"/>
      <c r="F122" s="19"/>
      <c r="O122" s="4"/>
      <c r="P122" s="4"/>
      <c r="Q122" s="4"/>
      <c r="R122" s="4"/>
      <c r="S122" s="4"/>
      <c r="T122" s="4"/>
      <c r="U122" s="4"/>
      <c r="V122" s="4"/>
      <c r="W122" s="4"/>
      <c r="X122" s="4"/>
      <c r="Y122" s="4"/>
      <c r="Z122" s="4"/>
      <c r="AA122" s="4"/>
      <c r="AC122" s="4"/>
      <c r="AD122" s="4"/>
      <c r="AE122" s="4"/>
      <c r="AF122" s="4"/>
      <c r="AG122" s="4"/>
      <c r="AH122" s="4"/>
      <c r="AI122" s="4"/>
      <c r="AJ122" s="4"/>
      <c r="AK122" s="4"/>
      <c r="AL122" s="4"/>
      <c r="AM122" s="4"/>
      <c r="AN122" s="4"/>
      <c r="AO122" s="4"/>
      <c r="AP122" s="4"/>
      <c r="AQ122" s="4"/>
      <c r="AR122" s="4"/>
      <c r="AS122" s="4"/>
    </row>
    <row r="123" customFormat="false" ht="15" hidden="false" customHeight="false" outlineLevel="0" collapsed="false">
      <c r="A123" s="17" t="n">
        <v>42307</v>
      </c>
      <c r="B123" s="20" t="n">
        <v>16702.94</v>
      </c>
      <c r="C123" s="25" t="n">
        <f aca="false">(B123/B122-1)/(A123-A122)*30</f>
        <v>0.00260270667087625</v>
      </c>
      <c r="D123" s="19"/>
      <c r="E123" s="19"/>
      <c r="F123" s="19"/>
      <c r="O123" s="4"/>
      <c r="P123" s="4"/>
      <c r="Q123" s="4"/>
      <c r="R123" s="4"/>
      <c r="S123" s="4"/>
      <c r="T123" s="4"/>
      <c r="U123" s="4"/>
      <c r="V123" s="4"/>
      <c r="W123" s="4"/>
      <c r="X123" s="4"/>
      <c r="Y123" s="4"/>
      <c r="Z123" s="4"/>
      <c r="AA123" s="4"/>
      <c r="AC123" s="4"/>
      <c r="AD123" s="4"/>
      <c r="AE123" s="4"/>
      <c r="AF123" s="4"/>
      <c r="AG123" s="4"/>
      <c r="AH123" s="4"/>
      <c r="AI123" s="4"/>
      <c r="AJ123" s="4"/>
      <c r="AK123" s="4"/>
      <c r="AL123" s="4"/>
      <c r="AM123" s="4"/>
      <c r="AN123" s="4"/>
      <c r="AO123" s="4"/>
      <c r="AP123" s="4"/>
      <c r="AQ123" s="4"/>
      <c r="AR123" s="4"/>
      <c r="AS123" s="4"/>
    </row>
    <row r="124" customFormat="false" ht="15" hidden="false" customHeight="false" outlineLevel="0" collapsed="false">
      <c r="A124" s="17" t="n">
        <v>42338</v>
      </c>
      <c r="B124" s="20" t="n">
        <v>16749.75</v>
      </c>
      <c r="C124" s="25" t="n">
        <f aca="false">(B124/B123-1)/(A124-A123)*30</f>
        <v>0.00271209739123785</v>
      </c>
      <c r="D124" s="19"/>
      <c r="E124" s="19"/>
      <c r="F124" s="17"/>
      <c r="O124" s="4"/>
      <c r="P124" s="4"/>
      <c r="Q124" s="4"/>
      <c r="R124" s="4"/>
      <c r="S124" s="4"/>
      <c r="T124" s="4"/>
      <c r="U124" s="4"/>
      <c r="V124" s="4"/>
      <c r="W124" s="4"/>
      <c r="X124" s="4"/>
      <c r="Y124" s="4"/>
      <c r="Z124" s="4"/>
      <c r="AA124" s="4"/>
      <c r="AC124" s="4"/>
      <c r="AD124" s="4"/>
      <c r="AE124" s="4"/>
      <c r="AF124" s="4"/>
      <c r="AG124" s="4"/>
      <c r="AH124" s="4"/>
      <c r="AI124" s="4"/>
      <c r="AJ124" s="4"/>
      <c r="AK124" s="4"/>
      <c r="AL124" s="4"/>
      <c r="AM124" s="4"/>
      <c r="AN124" s="4"/>
      <c r="AO124" s="4"/>
      <c r="AP124" s="4"/>
      <c r="AQ124" s="4"/>
      <c r="AR124" s="4"/>
      <c r="AS124" s="4"/>
    </row>
    <row r="125" customFormat="false" ht="15" hidden="false" customHeight="false" outlineLevel="0" collapsed="false">
      <c r="A125" s="17" t="n">
        <v>42369</v>
      </c>
      <c r="B125" s="20" t="n">
        <v>16796.52</v>
      </c>
      <c r="C125" s="25" t="n">
        <f aca="false">(B125/B124-1)/(A125-A124)*30</f>
        <v>0.00270220691786938</v>
      </c>
      <c r="D125" s="19"/>
      <c r="E125" s="19"/>
      <c r="F125" s="17" t="n">
        <v>42369</v>
      </c>
      <c r="K125" s="4" t="n">
        <v>997.096492585025</v>
      </c>
      <c r="O125" s="4"/>
      <c r="P125" s="4"/>
      <c r="Q125" s="4"/>
      <c r="R125" s="4"/>
      <c r="S125" s="4"/>
      <c r="T125" s="4"/>
      <c r="U125" s="4"/>
      <c r="V125" s="4"/>
      <c r="W125" s="4"/>
      <c r="X125" s="4"/>
      <c r="Y125" s="4"/>
      <c r="Z125" s="4"/>
      <c r="AA125" s="4"/>
      <c r="AC125" s="4"/>
      <c r="AD125" s="4"/>
      <c r="AE125" s="4"/>
      <c r="AF125" s="4"/>
      <c r="AG125" s="4"/>
      <c r="AH125" s="4"/>
      <c r="AI125" s="4"/>
      <c r="AJ125" s="4"/>
      <c r="AK125" s="4"/>
      <c r="AL125" s="4"/>
      <c r="AM125" s="4"/>
      <c r="AN125" s="4"/>
      <c r="AO125" s="4"/>
      <c r="AP125" s="4"/>
      <c r="AQ125" s="4"/>
    </row>
    <row r="126" customFormat="false" ht="15" hidden="false" customHeight="false" outlineLevel="0" collapsed="false">
      <c r="A126" s="17" t="n">
        <v>42398</v>
      </c>
      <c r="B126" s="20" t="n">
        <v>16845.59</v>
      </c>
      <c r="C126" s="25" t="n">
        <f aca="false">(B126/B125-1)/(A126-A125)*30</f>
        <v>0.00302217774667121</v>
      </c>
      <c r="D126" s="19"/>
      <c r="E126" s="19"/>
      <c r="F126" s="17" t="n">
        <v>42400</v>
      </c>
      <c r="K126" s="4" t="n">
        <v>999.91</v>
      </c>
      <c r="AC126" s="4"/>
      <c r="AD126" s="4"/>
      <c r="AE126" s="4"/>
      <c r="AF126" s="4"/>
      <c r="AG126" s="4"/>
      <c r="AH126" s="4"/>
      <c r="AI126" s="4"/>
      <c r="AJ126" s="4"/>
      <c r="AK126" s="4"/>
      <c r="AL126" s="4"/>
      <c r="AM126" s="4"/>
      <c r="AN126" s="4"/>
      <c r="AO126" s="4"/>
      <c r="AP126" s="4"/>
      <c r="AQ126" s="4"/>
    </row>
    <row r="127" customFormat="false" ht="15" hidden="false" customHeight="false" outlineLevel="0" collapsed="false">
      <c r="A127" s="17" t="n">
        <v>42429</v>
      </c>
      <c r="B127" s="20" t="n">
        <v>16896.43</v>
      </c>
      <c r="C127" s="25" t="n">
        <f aca="false">(B127/B126-1)/(A127-A126)*30</f>
        <v>0.00292064570015064</v>
      </c>
      <c r="D127" s="19"/>
      <c r="E127" s="19"/>
      <c r="F127" s="17" t="n">
        <v>42428</v>
      </c>
      <c r="K127" s="4" t="n">
        <v>1003.0557</v>
      </c>
      <c r="AC127" s="4"/>
      <c r="AD127" s="4"/>
      <c r="AE127" s="4"/>
      <c r="AF127" s="4"/>
      <c r="AG127" s="4"/>
      <c r="AH127" s="4"/>
      <c r="AI127" s="4"/>
      <c r="AJ127" s="4"/>
      <c r="AK127" s="4"/>
      <c r="AL127" s="4"/>
      <c r="AM127" s="4"/>
      <c r="AN127" s="4"/>
      <c r="AO127" s="4"/>
      <c r="AP127" s="4"/>
      <c r="AQ127" s="4"/>
    </row>
    <row r="128" customFormat="false" ht="15" hidden="false" customHeight="false" outlineLevel="0" collapsed="false">
      <c r="A128" s="17" t="n">
        <v>42460</v>
      </c>
      <c r="B128" s="20" t="n">
        <v>16947.43</v>
      </c>
      <c r="C128" s="25" t="n">
        <f aca="false">(B128/B127-1)/(A128-A127)*30</f>
        <v>0.00292102170160664</v>
      </c>
      <c r="D128" s="19"/>
      <c r="E128" s="19"/>
      <c r="F128" s="17" t="n">
        <v>42460</v>
      </c>
      <c r="K128" s="4" t="n">
        <v>1006.748</v>
      </c>
      <c r="AC128" s="4"/>
      <c r="AD128" s="4"/>
      <c r="AE128" s="4"/>
      <c r="AF128" s="4"/>
      <c r="AG128" s="4"/>
      <c r="AH128" s="4"/>
      <c r="AI128" s="4"/>
      <c r="AJ128" s="4"/>
      <c r="AK128" s="4"/>
      <c r="AL128" s="4"/>
      <c r="AM128" s="4"/>
      <c r="AN128" s="4"/>
      <c r="AO128" s="4"/>
      <c r="AP128" s="4"/>
      <c r="AQ128" s="4"/>
    </row>
    <row r="129" customFormat="false" ht="15" hidden="false" customHeight="false" outlineLevel="0" collapsed="false">
      <c r="A129" s="17" t="n">
        <v>42489</v>
      </c>
      <c r="B129" s="20" t="n">
        <v>16995.27</v>
      </c>
      <c r="C129" s="25" t="n">
        <f aca="false">(B129/B128-1)/(A129-A128)*30</f>
        <v>0.0029201864337197</v>
      </c>
      <c r="D129" s="19"/>
      <c r="F129" s="17" t="n">
        <v>42490</v>
      </c>
      <c r="K129" s="4" t="n">
        <v>1010.1901</v>
      </c>
      <c r="AC129" s="4"/>
      <c r="AD129" s="4"/>
      <c r="AE129" s="4"/>
      <c r="AF129" s="4"/>
      <c r="AG129" s="4"/>
      <c r="AH129" s="4"/>
      <c r="AI129" s="4"/>
      <c r="AJ129" s="4"/>
      <c r="AK129" s="4"/>
      <c r="AL129" s="4"/>
      <c r="AM129" s="4"/>
      <c r="AN129" s="4"/>
      <c r="AO129" s="4"/>
      <c r="AP129" s="4"/>
      <c r="AQ129" s="4"/>
    </row>
    <row r="130" customFormat="false" ht="15" hidden="false" customHeight="false" outlineLevel="0" collapsed="false">
      <c r="A130" s="17" t="n">
        <v>42521</v>
      </c>
      <c r="B130" s="20" t="n">
        <v>17048.23</v>
      </c>
      <c r="C130" s="25" t="n">
        <f aca="false">(B130/B129-1)/(A130-A129)*30</f>
        <v>0.00292140107218071</v>
      </c>
      <c r="D130" s="19"/>
      <c r="F130" s="17" t="n">
        <f aca="false">+A130</f>
        <v>42521</v>
      </c>
      <c r="G130" s="63"/>
      <c r="H130" s="63"/>
      <c r="J130" s="18"/>
      <c r="K130" s="4" t="n">
        <v>1013.6123</v>
      </c>
      <c r="L130" s="25" t="n">
        <f aca="false">+(K130/K129-1)/(F130-F129)*30</f>
        <v>0.00327839923556257</v>
      </c>
      <c r="AC130" s="4"/>
      <c r="AD130" s="4"/>
      <c r="AE130" s="4"/>
      <c r="AF130" s="4"/>
      <c r="AG130" s="4"/>
      <c r="AH130" s="4"/>
      <c r="AI130" s="4"/>
      <c r="AJ130" s="4"/>
      <c r="AK130" s="4"/>
      <c r="AL130" s="4"/>
      <c r="AM130" s="4"/>
      <c r="AN130" s="4"/>
      <c r="AO130" s="4"/>
      <c r="AP130" s="4"/>
      <c r="AQ130" s="4"/>
    </row>
    <row r="131" customFormat="false" ht="15" hidden="false" customHeight="false" outlineLevel="0" collapsed="false">
      <c r="A131" s="17" t="n">
        <v>42551</v>
      </c>
      <c r="B131" s="20" t="n">
        <v>17098.02</v>
      </c>
      <c r="C131" s="25" t="n">
        <f aca="false">(B131/B130-1)/(A131-A130)*30</f>
        <v>0.00292053779189994</v>
      </c>
      <c r="D131" s="19"/>
      <c r="F131" s="17" t="n">
        <f aca="false">+A131</f>
        <v>42551</v>
      </c>
      <c r="H131" s="63"/>
      <c r="I131" s="25"/>
      <c r="J131" s="18"/>
      <c r="K131" s="4" t="n">
        <v>1016.7787</v>
      </c>
      <c r="L131" s="25" t="n">
        <f aca="false">+(K131/K130-1)/(F131-F130)*30</f>
        <v>0.00312387685113924</v>
      </c>
      <c r="M131" s="19"/>
      <c r="AC131" s="4"/>
      <c r="AD131" s="4"/>
      <c r="AE131" s="4"/>
      <c r="AF131" s="4"/>
      <c r="AG131" s="4"/>
      <c r="AH131" s="4"/>
      <c r="AI131" s="4"/>
      <c r="AJ131" s="4"/>
      <c r="AK131" s="4"/>
      <c r="AL131" s="4"/>
      <c r="AM131" s="4"/>
      <c r="AN131" s="4"/>
      <c r="AO131" s="4"/>
      <c r="AP131" s="4"/>
      <c r="AQ131" s="4"/>
    </row>
    <row r="132" customFormat="false" ht="15" hidden="false" customHeight="false" outlineLevel="0" collapsed="false">
      <c r="A132" s="17" t="n">
        <v>42582</v>
      </c>
      <c r="B132" s="64" t="n">
        <v>17149.23</v>
      </c>
      <c r="C132" s="25" t="n">
        <f aca="false">(B132/B131-1)/(A132-A131)*30</f>
        <v>0.00289846803993268</v>
      </c>
      <c r="D132" s="19"/>
      <c r="F132" s="17" t="n">
        <f aca="false">+A132</f>
        <v>42582</v>
      </c>
      <c r="H132" s="63"/>
      <c r="I132" s="25"/>
      <c r="J132" s="18"/>
      <c r="K132" s="4" t="n">
        <v>1020.0427</v>
      </c>
      <c r="L132" s="25" t="n">
        <f aca="false">+(K132/K131-1)/(F132-F131)*30</f>
        <v>0.00310658521605472</v>
      </c>
      <c r="M132" s="19"/>
      <c r="AC132" s="4"/>
      <c r="AD132" s="4"/>
      <c r="AE132" s="4"/>
      <c r="AF132" s="4"/>
      <c r="AG132" s="4"/>
      <c r="AH132" s="4"/>
      <c r="AI132" s="4"/>
      <c r="AJ132" s="4"/>
      <c r="AK132" s="4"/>
      <c r="AL132" s="4"/>
      <c r="AM132" s="4"/>
      <c r="AN132" s="4"/>
      <c r="AO132" s="4"/>
      <c r="AP132" s="4"/>
      <c r="AQ132" s="4"/>
    </row>
    <row r="133" customFormat="false" ht="15" hidden="false" customHeight="false" outlineLevel="0" collapsed="false">
      <c r="A133" s="17" t="n">
        <v>42613</v>
      </c>
      <c r="B133" s="20" t="n">
        <v>17201.38</v>
      </c>
      <c r="C133" s="25" t="n">
        <f aca="false">(B133/B132-1)/(A133-A132)*30</f>
        <v>0.00294285760558838</v>
      </c>
      <c r="D133" s="19"/>
      <c r="F133" s="17" t="n">
        <f aca="false">+A133</f>
        <v>42613</v>
      </c>
      <c r="H133" s="63"/>
      <c r="I133" s="25"/>
      <c r="J133" s="18"/>
      <c r="K133" s="4" t="n">
        <v>1023.2554</v>
      </c>
      <c r="L133" s="25" t="n">
        <f aca="false">+(K133/K132-1)/(F133-F132)*30</f>
        <v>0.00304797487019808</v>
      </c>
      <c r="M133" s="19"/>
      <c r="AC133" s="4"/>
      <c r="AD133" s="4"/>
      <c r="AE133" s="4"/>
      <c r="AF133" s="4"/>
      <c r="AG133" s="4"/>
      <c r="AH133" s="4"/>
      <c r="AI133" s="4"/>
      <c r="AJ133" s="4"/>
      <c r="AK133" s="4"/>
      <c r="AL133" s="4"/>
      <c r="AM133" s="4"/>
      <c r="AN133" s="4"/>
      <c r="AO133" s="4"/>
      <c r="AP133" s="4"/>
      <c r="AQ133" s="4"/>
    </row>
    <row r="134" customFormat="false" ht="15" hidden="false" customHeight="false" outlineLevel="0" collapsed="false">
      <c r="A134" s="17" t="n">
        <f aca="false">+A133+30</f>
        <v>42643</v>
      </c>
      <c r="B134" s="20" t="n">
        <v>17251.61</v>
      </c>
      <c r="C134" s="25" t="n">
        <f aca="false">(B134/B133-1)/(A134-A133)*30</f>
        <v>0.00292011454894903</v>
      </c>
      <c r="D134" s="19"/>
      <c r="F134" s="17" t="n">
        <f aca="false">+A134</f>
        <v>42643</v>
      </c>
      <c r="H134" s="63"/>
      <c r="I134" s="25"/>
      <c r="J134" s="18"/>
      <c r="K134" s="4" t="n">
        <v>1026.3402</v>
      </c>
      <c r="L134" s="25" t="n">
        <f aca="false">+(K134/K133-1)/(F134-F133)*30</f>
        <v>0.00301469212867089</v>
      </c>
      <c r="M134" s="19"/>
      <c r="AC134" s="4"/>
      <c r="AD134" s="4"/>
      <c r="AE134" s="4"/>
      <c r="AF134" s="4"/>
      <c r="AG134" s="4"/>
      <c r="AH134" s="4"/>
      <c r="AI134" s="4"/>
      <c r="AJ134" s="4"/>
      <c r="AK134" s="4"/>
      <c r="AL134" s="4"/>
      <c r="AM134" s="4"/>
      <c r="AN134" s="4"/>
      <c r="AO134" s="4"/>
      <c r="AP134" s="4"/>
      <c r="AQ134" s="4"/>
    </row>
    <row r="135" customFormat="false" ht="15" hidden="false" customHeight="false" outlineLevel="0" collapsed="false">
      <c r="A135" s="17" t="n">
        <v>42674</v>
      </c>
      <c r="B135" s="20" t="n">
        <v>17303.68</v>
      </c>
      <c r="C135" s="25" t="n">
        <f aca="false">(B135/B134-1)/(A135-A134)*30</f>
        <v>0.00292090550277028</v>
      </c>
      <c r="D135" s="19"/>
      <c r="F135" s="17" t="n">
        <f aca="false">+A135</f>
        <v>42674</v>
      </c>
      <c r="H135" s="63"/>
      <c r="I135" s="25"/>
      <c r="J135" s="18"/>
      <c r="K135" s="4" t="n">
        <v>1029.5221</v>
      </c>
      <c r="L135" s="25" t="n">
        <f aca="false">+(K135/K134-1)/(F135-F134)*30</f>
        <v>0.00300023137017924</v>
      </c>
      <c r="M135" s="19"/>
      <c r="AC135" s="4"/>
      <c r="AD135" s="4"/>
      <c r="AE135" s="4"/>
      <c r="AF135" s="4"/>
      <c r="AG135" s="4"/>
      <c r="AH135" s="4"/>
      <c r="AI135" s="4"/>
      <c r="AJ135" s="4"/>
      <c r="AK135" s="4"/>
      <c r="AL135" s="4"/>
      <c r="AM135" s="4"/>
      <c r="AN135" s="4"/>
      <c r="AO135" s="4"/>
      <c r="AP135" s="4"/>
      <c r="AQ135" s="4"/>
    </row>
    <row r="136" customFormat="false" ht="15" hidden="false" customHeight="false" outlineLevel="0" collapsed="false">
      <c r="A136" s="17" t="n">
        <v>42704</v>
      </c>
      <c r="B136" s="20" t="n">
        <v>17354.21</v>
      </c>
      <c r="C136" s="25" t="n">
        <f aca="false">(B136/B135-1)/(A136-A135)*30</f>
        <v>0.00292018807560002</v>
      </c>
      <c r="D136" s="19"/>
      <c r="F136" s="17" t="n">
        <f aca="false">+A136</f>
        <v>42704</v>
      </c>
      <c r="H136" s="63"/>
      <c r="I136" s="25"/>
      <c r="J136" s="18"/>
      <c r="K136" s="4" t="n">
        <v>1032.6171</v>
      </c>
      <c r="L136" s="25" t="n">
        <f aca="false">+(K136/K135-1)/(F136-F135)*30</f>
        <v>0.00300624921019188</v>
      </c>
      <c r="M136" s="19"/>
      <c r="AC136" s="4"/>
      <c r="AD136" s="4"/>
      <c r="AE136" s="4"/>
      <c r="AF136" s="4"/>
      <c r="AG136" s="4"/>
      <c r="AH136" s="4"/>
      <c r="AI136" s="4"/>
      <c r="AJ136" s="4"/>
      <c r="AK136" s="4"/>
      <c r="AL136" s="4"/>
      <c r="AM136" s="4"/>
      <c r="AN136" s="4"/>
      <c r="AO136" s="4"/>
      <c r="AP136" s="4"/>
      <c r="AQ136" s="4"/>
    </row>
    <row r="137" customFormat="false" ht="15" hidden="false" customHeight="false" outlineLevel="0" collapsed="false">
      <c r="A137" s="17" t="n">
        <v>42735</v>
      </c>
      <c r="B137" s="20" t="n">
        <v>17406.97</v>
      </c>
      <c r="C137" s="25" t="n">
        <f aca="false">(B137/B136-1)/(A137-A136)*30</f>
        <v>0.00294211401821993</v>
      </c>
      <c r="D137" s="19"/>
      <c r="F137" s="17" t="n">
        <f aca="false">+A137</f>
        <v>42735</v>
      </c>
      <c r="H137" s="63"/>
      <c r="I137" s="25"/>
      <c r="J137" s="18"/>
      <c r="K137" s="4" t="n">
        <v>1035.8294</v>
      </c>
      <c r="L137" s="25" t="n">
        <f aca="false">+(K137/K136-1)/(F137-F136)*30</f>
        <v>0.0030104841565716</v>
      </c>
      <c r="M137" s="19"/>
      <c r="AC137" s="4"/>
      <c r="AD137" s="4"/>
      <c r="AE137" s="4"/>
      <c r="AF137" s="4"/>
      <c r="AG137" s="4"/>
      <c r="AH137" s="4"/>
      <c r="AI137" s="4"/>
      <c r="AJ137" s="4"/>
      <c r="AK137" s="4"/>
      <c r="AL137" s="4"/>
      <c r="AM137" s="4"/>
      <c r="AN137" s="4"/>
      <c r="AO137" s="4"/>
      <c r="AP137" s="4"/>
      <c r="AQ137" s="4"/>
    </row>
    <row r="138" customFormat="false" ht="15" hidden="false" customHeight="false" outlineLevel="0" collapsed="false">
      <c r="A138" s="17" t="n">
        <v>42766</v>
      </c>
      <c r="B138" s="20" t="n">
        <v>17457.39</v>
      </c>
      <c r="C138" s="25" t="n">
        <f aca="false">(B138/B137-1)/(A138-A137)*30</f>
        <v>0.00280310406619276</v>
      </c>
      <c r="D138" s="19"/>
      <c r="F138" s="17" t="n">
        <f aca="false">+A138</f>
        <v>42766</v>
      </c>
      <c r="I138" s="25"/>
      <c r="J138" s="18"/>
      <c r="K138" s="4" t="n">
        <v>1039.2621</v>
      </c>
      <c r="L138" s="25" t="n">
        <f aca="false">+(K138/K137-1)/(F138-F137)*30</f>
        <v>0.00320706068193795</v>
      </c>
      <c r="M138" s="19"/>
      <c r="AC138" s="4"/>
      <c r="AD138" s="4"/>
      <c r="AE138" s="4"/>
      <c r="AF138" s="4"/>
      <c r="AG138" s="4"/>
      <c r="AH138" s="4"/>
      <c r="AI138" s="4"/>
      <c r="AJ138" s="4"/>
      <c r="AK138" s="4"/>
      <c r="AL138" s="4"/>
      <c r="AM138" s="4"/>
      <c r="AN138" s="4"/>
      <c r="AO138" s="4"/>
      <c r="AP138" s="4"/>
      <c r="AQ138" s="4"/>
    </row>
    <row r="139" customFormat="false" ht="15" hidden="false" customHeight="false" outlineLevel="0" collapsed="false">
      <c r="A139" s="17" t="n">
        <v>42794</v>
      </c>
      <c r="B139" s="20" t="n">
        <v>17501.06</v>
      </c>
      <c r="C139" s="25" t="n">
        <f aca="false">(B139/B138-1)/(A139-A138)*30</f>
        <v>0.00268019937197288</v>
      </c>
      <c r="D139" s="19"/>
      <c r="F139" s="17" t="n">
        <f aca="false">+A139</f>
        <v>42794</v>
      </c>
      <c r="I139" s="25"/>
      <c r="J139" s="18"/>
      <c r="K139" s="4" t="n">
        <v>1042.1611</v>
      </c>
      <c r="L139" s="25" t="n">
        <f aca="false">+(K139/K138-1)/(F139-F138)*30</f>
        <v>0.00298872770263771</v>
      </c>
      <c r="M139" s="19"/>
      <c r="AC139" s="4"/>
      <c r="AD139" s="4"/>
      <c r="AE139" s="4"/>
      <c r="AF139" s="4"/>
      <c r="AG139" s="4"/>
      <c r="AH139" s="4"/>
      <c r="AI139" s="4"/>
      <c r="AJ139" s="4"/>
      <c r="AK139" s="4"/>
      <c r="AL139" s="4"/>
      <c r="AM139" s="4"/>
      <c r="AN139" s="4"/>
      <c r="AO139" s="4"/>
      <c r="AP139" s="4"/>
      <c r="AQ139" s="4"/>
    </row>
    <row r="140" customFormat="false" ht="15" hidden="false" customHeight="false" outlineLevel="0" collapsed="false">
      <c r="A140" s="17" t="n">
        <v>42825</v>
      </c>
      <c r="B140" s="20" t="n">
        <v>17548.35</v>
      </c>
      <c r="C140" s="25" t="n">
        <f aca="false">(B140/B139-1)/(A140-A139)*30</f>
        <v>0.00261495681570322</v>
      </c>
      <c r="D140" s="19"/>
      <c r="F140" s="17" t="n">
        <f aca="false">+A140</f>
        <v>42825</v>
      </c>
      <c r="I140" s="25"/>
      <c r="J140" s="18"/>
      <c r="K140" s="4" t="n">
        <v>1045.2075</v>
      </c>
      <c r="L140" s="25" t="n">
        <f aca="false">+(K140/K139-1)/(F140-F139)*30</f>
        <v>0.00282886113505676</v>
      </c>
      <c r="M140" s="19"/>
      <c r="AC140" s="4"/>
      <c r="AD140" s="4"/>
      <c r="AE140" s="4"/>
      <c r="AF140" s="4"/>
      <c r="AG140" s="4"/>
      <c r="AH140" s="4"/>
      <c r="AI140" s="4"/>
      <c r="AJ140" s="4"/>
      <c r="AK140" s="4"/>
      <c r="AL140" s="4"/>
      <c r="AM140" s="4"/>
      <c r="AN140" s="4"/>
      <c r="AO140" s="4"/>
      <c r="AP140" s="4"/>
      <c r="AQ140" s="4"/>
    </row>
    <row r="141" customFormat="false" ht="15" hidden="false" customHeight="false" outlineLevel="0" collapsed="false">
      <c r="A141" s="17" t="n">
        <v>42855</v>
      </c>
      <c r="B141" s="20" t="n">
        <v>17587.92</v>
      </c>
      <c r="C141" s="25" t="n">
        <f aca="false">(B141/B140-1)/(A141-A140)*30</f>
        <v>0.00225491285505464</v>
      </c>
      <c r="D141" s="19"/>
      <c r="F141" s="17" t="n">
        <f aca="false">+A141</f>
        <v>42855</v>
      </c>
      <c r="I141" s="25"/>
      <c r="J141" s="18"/>
      <c r="K141" s="4" t="n">
        <v>1047.9294</v>
      </c>
      <c r="L141" s="25" t="n">
        <f aca="false">+(K141/K140-1)/(F141-F140)*30</f>
        <v>0.0026041718988814</v>
      </c>
      <c r="M141" s="19"/>
      <c r="AC141" s="4"/>
      <c r="AD141" s="4"/>
      <c r="AE141" s="4"/>
      <c r="AF141" s="4"/>
      <c r="AG141" s="4"/>
      <c r="AH141" s="4"/>
      <c r="AI141" s="4"/>
      <c r="AJ141" s="4"/>
      <c r="AK141" s="4"/>
      <c r="AL141" s="4"/>
      <c r="AM141" s="4"/>
      <c r="AN141" s="4"/>
      <c r="AO141" s="4"/>
      <c r="AP141" s="4"/>
      <c r="AQ141" s="4"/>
    </row>
    <row r="142" customFormat="false" ht="15" hidden="false" customHeight="false" outlineLevel="0" collapsed="false">
      <c r="A142" s="17" t="n">
        <v>42886</v>
      </c>
      <c r="B142" s="20" t="n">
        <v>17630.79</v>
      </c>
      <c r="C142" s="25" t="n">
        <f aca="false">(B142/B141-1)/(A142-A141)*30</f>
        <v>0.00235884042991986</v>
      </c>
      <c r="D142" s="19"/>
      <c r="F142" s="17" t="n">
        <f aca="false">+A142</f>
        <v>42886</v>
      </c>
      <c r="I142" s="25"/>
      <c r="J142" s="18"/>
      <c r="K142" s="4" t="n">
        <v>1050.5427</v>
      </c>
      <c r="L142" s="25" t="n">
        <f aca="false">+(K142/K141-1)/(F142-F141)*30</f>
        <v>0.00241333051634974</v>
      </c>
      <c r="M142" s="19"/>
      <c r="AC142" s="4"/>
      <c r="AD142" s="4"/>
      <c r="AE142" s="4"/>
      <c r="AF142" s="4"/>
      <c r="AG142" s="4"/>
      <c r="AH142" s="4"/>
      <c r="AI142" s="4"/>
      <c r="AJ142" s="4"/>
      <c r="AK142" s="4"/>
      <c r="AL142" s="4"/>
      <c r="AM142" s="4"/>
      <c r="AN142" s="4"/>
      <c r="AO142" s="4"/>
      <c r="AP142" s="4"/>
      <c r="AQ142" s="4"/>
    </row>
    <row r="143" customFormat="false" ht="15" hidden="false" customHeight="false" outlineLevel="0" collapsed="false">
      <c r="A143" s="17" t="n">
        <v>42916</v>
      </c>
      <c r="B143" s="20" t="n">
        <v>17667.59</v>
      </c>
      <c r="C143" s="25" t="n">
        <f aca="false">(B143/B142-1)/(A143-A142)*30</f>
        <v>0.00208725757609263</v>
      </c>
      <c r="D143" s="19"/>
      <c r="F143" s="17" t="n">
        <f aca="false">+A143</f>
        <v>42916</v>
      </c>
      <c r="I143" s="25"/>
      <c r="J143" s="18"/>
      <c r="K143" s="4" t="n">
        <v>1052.9694</v>
      </c>
      <c r="L143" s="25" t="n">
        <f aca="false">+(K143/K142-1)/(F143-F142)*30</f>
        <v>0.00230994894353165</v>
      </c>
      <c r="M143" s="19"/>
      <c r="AC143" s="4"/>
      <c r="AD143" s="4"/>
      <c r="AE143" s="4"/>
      <c r="AF143" s="4"/>
      <c r="AG143" s="4"/>
      <c r="AH143" s="4"/>
      <c r="AI143" s="4"/>
      <c r="AJ143" s="4"/>
      <c r="AK143" s="4"/>
      <c r="AL143" s="4"/>
      <c r="AM143" s="4"/>
      <c r="AN143" s="4"/>
      <c r="AO143" s="4"/>
      <c r="AP143" s="4"/>
      <c r="AQ143" s="4"/>
    </row>
    <row r="144" customFormat="false" ht="15" hidden="false" customHeight="false" outlineLevel="0" collapsed="false">
      <c r="A144" s="17" t="n">
        <v>42947</v>
      </c>
      <c r="B144" s="20" t="n">
        <v>17705.69</v>
      </c>
      <c r="C144" s="25" t="n">
        <f aca="false">(B144/B143-1)/(A144-A143)*30</f>
        <v>0.00208692683846153</v>
      </c>
      <c r="D144" s="19"/>
      <c r="F144" s="17" t="n">
        <f aca="false">+A144</f>
        <v>42947</v>
      </c>
      <c r="I144" s="25"/>
      <c r="J144" s="18"/>
      <c r="K144" s="4" t="n">
        <v>1055.2846</v>
      </c>
      <c r="L144" s="25" t="n">
        <f aca="false">+(K144/K143-1)/(F144-F143)*30</f>
        <v>0.00212780744533713</v>
      </c>
      <c r="M144" s="19"/>
      <c r="AC144" s="4"/>
      <c r="AD144" s="4"/>
      <c r="AE144" s="4"/>
      <c r="AF144" s="4"/>
      <c r="AG144" s="4"/>
      <c r="AH144" s="4"/>
      <c r="AI144" s="4"/>
      <c r="AJ144" s="4"/>
      <c r="AK144" s="4"/>
      <c r="AL144" s="4"/>
      <c r="AM144" s="4"/>
      <c r="AN144" s="4"/>
      <c r="AO144" s="4"/>
      <c r="AP144" s="4"/>
      <c r="AQ144" s="4"/>
    </row>
    <row r="145" customFormat="false" ht="15" hidden="false" customHeight="false" outlineLevel="0" collapsed="false">
      <c r="A145" s="17" t="n">
        <v>42978</v>
      </c>
      <c r="B145" s="20" t="n">
        <v>17743.83</v>
      </c>
      <c r="C145" s="25" t="n">
        <f aca="false">(B145/B144-1)/(A145-A144)*30</f>
        <v>0.00208462236825332</v>
      </c>
      <c r="D145" s="19"/>
      <c r="F145" s="17" t="n">
        <f aca="false">+A145</f>
        <v>42978</v>
      </c>
      <c r="I145" s="25"/>
      <c r="J145" s="18"/>
      <c r="K145" s="4" t="n">
        <v>1057.4719</v>
      </c>
      <c r="L145" s="25" t="n">
        <f aca="false">+(K145/K144-1)/(F145-F144)*30</f>
        <v>0.00200584935616781</v>
      </c>
      <c r="M145" s="19"/>
      <c r="AC145" s="4"/>
      <c r="AD145" s="4"/>
      <c r="AE145" s="4"/>
      <c r="AF145" s="4"/>
      <c r="AG145" s="4"/>
      <c r="AH145" s="4"/>
      <c r="AI145" s="4"/>
      <c r="AJ145" s="4"/>
      <c r="AK145" s="4"/>
      <c r="AL145" s="4"/>
      <c r="AM145" s="4"/>
      <c r="AN145" s="4"/>
      <c r="AO145" s="4"/>
      <c r="AP145" s="4"/>
      <c r="AQ145" s="4"/>
    </row>
    <row r="146" customFormat="false" ht="15" hidden="false" customHeight="false" outlineLevel="0" collapsed="false">
      <c r="A146" s="17" t="n">
        <v>43008</v>
      </c>
      <c r="B146" s="20" t="n">
        <v>17780.7817</v>
      </c>
      <c r="C146" s="25" t="n">
        <f aca="false">(B146/B145-1)/(A146-A145)*30</f>
        <v>0.00208250980763447</v>
      </c>
      <c r="D146" s="19"/>
      <c r="F146" s="17" t="n">
        <v>43008</v>
      </c>
      <c r="I146" s="25"/>
      <c r="J146" s="18"/>
      <c r="K146" s="4" t="n">
        <v>1059.5996</v>
      </c>
      <c r="L146" s="25" t="n">
        <f aca="false">+(K146/K145-1)/(F146-F145)*30</f>
        <v>0.00201206292101008</v>
      </c>
      <c r="M146" s="19"/>
      <c r="AC146" s="4"/>
      <c r="AD146" s="4"/>
      <c r="AE146" s="4"/>
      <c r="AF146" s="4"/>
      <c r="AG146" s="4"/>
      <c r="AH146" s="4"/>
      <c r="AI146" s="4"/>
      <c r="AJ146" s="4"/>
      <c r="AK146" s="4"/>
      <c r="AL146" s="4"/>
      <c r="AM146" s="4"/>
      <c r="AN146" s="4"/>
      <c r="AO146" s="4"/>
      <c r="AP146" s="4"/>
      <c r="AQ146" s="4"/>
    </row>
    <row r="147" customFormat="false" ht="15" hidden="false" customHeight="false" outlineLevel="0" collapsed="false">
      <c r="A147" s="17" t="n">
        <v>43039</v>
      </c>
      <c r="B147" s="3" t="n">
        <v>17819.15</v>
      </c>
      <c r="C147" s="25" t="n">
        <f aca="false">(B147/B146-1)/(A147-A146)*30</f>
        <v>0.00208824412389173</v>
      </c>
      <c r="D147" s="19"/>
      <c r="F147" s="17" t="n">
        <v>43039</v>
      </c>
      <c r="I147" s="25"/>
      <c r="J147" s="18"/>
      <c r="K147" s="4" t="n">
        <v>1061.7911</v>
      </c>
      <c r="L147" s="25" t="n">
        <f aca="false">+(K147/K146-1)/(F147-F146)*30</f>
        <v>0.00200151684807424</v>
      </c>
      <c r="M147" s="19"/>
      <c r="S147" s="3" t="s">
        <v>41</v>
      </c>
      <c r="AD147" s="4"/>
      <c r="AE147" s="4"/>
      <c r="AF147" s="4"/>
      <c r="AG147" s="4"/>
      <c r="AH147" s="4"/>
      <c r="AI147" s="4"/>
      <c r="AJ147" s="4"/>
      <c r="AK147" s="4"/>
      <c r="AL147" s="4"/>
      <c r="AM147" s="4"/>
      <c r="AN147" s="4"/>
      <c r="AO147" s="4"/>
      <c r="AP147" s="4"/>
      <c r="AQ147" s="4"/>
    </row>
    <row r="148" customFormat="false" ht="15" hidden="false" customHeight="false" outlineLevel="0" collapsed="false">
      <c r="A148" s="17" t="n">
        <v>43069</v>
      </c>
      <c r="B148" s="3" t="n">
        <f aca="false">+VLOOKUP(A148,[2]Simple!$A$3790:$B$3818,2)</f>
        <v>17856.32</v>
      </c>
      <c r="C148" s="25" t="n">
        <f aca="false">(B148/B147-1)/(A148-A147)*30</f>
        <v>0.00208595808442036</v>
      </c>
      <c r="D148" s="19"/>
      <c r="F148" s="17" t="n">
        <v>43069</v>
      </c>
      <c r="I148" s="25"/>
      <c r="J148" s="18"/>
      <c r="K148" s="4" t="n">
        <v>1063.8688</v>
      </c>
      <c r="L148" s="25" t="n">
        <f aca="false">+(K148/K147-1)/(F148-F147)*30</f>
        <v>0.00195678792184273</v>
      </c>
      <c r="M148" s="19"/>
    </row>
    <row r="149" customFormat="false" ht="15" hidden="false" customHeight="false" outlineLevel="0" collapsed="false">
      <c r="A149" s="17" t="n">
        <v>43100</v>
      </c>
      <c r="B149" s="3" t="n">
        <f aca="false">+VLOOKUP(A149,[2]Simple!$A$3790:$B$3818,2)</f>
        <v>17872.44</v>
      </c>
      <c r="C149" s="25" t="n">
        <f aca="false">(B149/B148-1)/(A149-A148)*30</f>
        <v>0.000873640257343073</v>
      </c>
      <c r="D149" s="19"/>
      <c r="F149" s="17" t="n">
        <v>43100</v>
      </c>
      <c r="I149" s="25"/>
      <c r="J149" s="18"/>
      <c r="K149" s="4" t="n">
        <v>1066.0204</v>
      </c>
      <c r="L149" s="25" t="n">
        <f aca="false">+(K149/K148-1)/(F149-F148)*30</f>
        <v>0.00195719016140636</v>
      </c>
      <c r="M149" s="19"/>
      <c r="Q149" s="4" t="n">
        <f aca="false">+G137+S148</f>
        <v>0</v>
      </c>
      <c r="S149" s="3" t="s">
        <v>42</v>
      </c>
    </row>
    <row r="150" customFormat="false" ht="15" hidden="false" customHeight="false" outlineLevel="0" collapsed="false">
      <c r="A150" s="17" t="n">
        <v>43131</v>
      </c>
      <c r="B150" s="3" t="n">
        <v>17933.28</v>
      </c>
      <c r="C150" s="25" t="n">
        <f aca="false">(B150/B149-1)/(A150-A149)*30</f>
        <v>0.00329431344320307</v>
      </c>
      <c r="D150" s="19"/>
      <c r="F150" s="17" t="n">
        <v>43131</v>
      </c>
      <c r="I150" s="25"/>
      <c r="J150" s="18"/>
      <c r="K150" s="4" t="n">
        <v>1068.2126</v>
      </c>
      <c r="L150" s="25" t="n">
        <f aca="false">+(K150/K149-1)/(F150-F149)*30</f>
        <v>0.0019900968789787</v>
      </c>
      <c r="M150" s="19"/>
    </row>
    <row r="151" customFormat="false" ht="15" hidden="false" customHeight="false" outlineLevel="0" collapsed="false">
      <c r="A151" s="17" t="n">
        <v>43159</v>
      </c>
      <c r="B151" s="3" t="n">
        <v>17968.11</v>
      </c>
      <c r="C151" s="25" t="n">
        <f aca="false">(B151/B150-1)/(A151-A150)*30</f>
        <v>0.0020809275906505</v>
      </c>
      <c r="D151" s="19"/>
      <c r="F151" s="17" t="n">
        <v>43159</v>
      </c>
      <c r="I151" s="25"/>
      <c r="J151" s="18"/>
      <c r="K151" s="4" t="n">
        <v>1070.2119</v>
      </c>
      <c r="L151" s="25" t="n">
        <f aca="false">+(K151/K150-1)/(F151-F150)*30</f>
        <v>0.00200531911237248</v>
      </c>
      <c r="M151" s="19"/>
      <c r="S151" s="3" t="s">
        <v>43</v>
      </c>
    </row>
    <row r="152" customFormat="false" ht="15" hidden="false" customHeight="false" outlineLevel="0" collapsed="false">
      <c r="A152" s="17" t="n">
        <v>43190</v>
      </c>
      <c r="B152" s="3" t="n">
        <v>18006.83</v>
      </c>
      <c r="C152" s="25" t="n">
        <f aca="false">(B152/B151-1)/(A152-A151)*30</f>
        <v>0.00208541509050955</v>
      </c>
      <c r="D152" s="19"/>
      <c r="F152" s="17" t="n">
        <v>43190</v>
      </c>
      <c r="I152" s="25"/>
      <c r="J152" s="18"/>
      <c r="K152" s="4" t="n">
        <v>1072.548</v>
      </c>
      <c r="L152" s="25" t="n">
        <f aca="false">+(K152/K151-1)/(F152-F151)*30</f>
        <v>0.00211242459132052</v>
      </c>
      <c r="M152" s="19"/>
    </row>
    <row r="153" customFormat="false" ht="15" hidden="false" customHeight="false" outlineLevel="0" collapsed="false">
      <c r="A153" s="17" t="n">
        <v>43220</v>
      </c>
      <c r="B153" s="3" t="n">
        <v>18044.25</v>
      </c>
      <c r="C153" s="25" t="n">
        <f aca="false">(B153/B152-1)/(A153-A152)*30</f>
        <v>0.00207810036525014</v>
      </c>
      <c r="D153" s="19"/>
      <c r="F153" s="17" t="n">
        <v>43220</v>
      </c>
      <c r="I153" s="25"/>
      <c r="J153" s="18"/>
      <c r="K153" s="4" t="n">
        <v>1074.6551</v>
      </c>
      <c r="L153" s="25" t="n">
        <f aca="false">+(K153/K152-1)/(F153-F152)*30</f>
        <v>0.0019645740796681</v>
      </c>
      <c r="M153" s="19"/>
      <c r="S153" s="3" t="s">
        <v>43</v>
      </c>
    </row>
    <row r="154" customFormat="false" ht="15" hidden="false" customHeight="false" outlineLevel="0" collapsed="false">
      <c r="A154" s="17" t="n">
        <v>43251</v>
      </c>
      <c r="B154" s="18" t="n">
        <v>18082.87</v>
      </c>
      <c r="C154" s="25" t="n">
        <f aca="false">(B154/B153-1)/(A154-A153)*30</f>
        <v>0.00207125225755497</v>
      </c>
      <c r="D154" s="19"/>
      <c r="F154" s="17" t="n">
        <v>43251</v>
      </c>
      <c r="I154" s="25"/>
      <c r="J154" s="18"/>
      <c r="K154" s="4" t="n">
        <v>1076.9917</v>
      </c>
      <c r="L154" s="25" t="n">
        <f aca="false">+(K154/K153-1)/(F154-F153)*30</f>
        <v>0.002104140953178</v>
      </c>
      <c r="M154" s="19"/>
    </row>
    <row r="155" customFormat="false" ht="15" hidden="false" customHeight="false" outlineLevel="0" collapsed="false">
      <c r="A155" s="17" t="n">
        <v>43281</v>
      </c>
      <c r="B155" s="19" t="n">
        <v>18120.6225</v>
      </c>
      <c r="C155" s="25" t="n">
        <f aca="false">(B155/B154-1)/(A155-A154)*30</f>
        <v>0.00208774934509859</v>
      </c>
      <c r="D155" s="19"/>
      <c r="F155" s="17" t="n">
        <v>43281</v>
      </c>
      <c r="I155" s="25"/>
      <c r="J155" s="18"/>
      <c r="K155" s="3" t="n">
        <v>1079.3907</v>
      </c>
      <c r="L155" s="25" t="n">
        <f aca="false">+(K155/K154-1)/(F155-F154)*30</f>
        <v>0.00222750091760204</v>
      </c>
      <c r="M155" s="19"/>
      <c r="S155" s="3" t="s">
        <v>44</v>
      </c>
    </row>
    <row r="156" customFormat="false" ht="15" hidden="false" customHeight="false" outlineLevel="0" collapsed="false">
      <c r="A156" s="17" t="n">
        <v>43312</v>
      </c>
      <c r="B156" s="18" t="n">
        <v>18159.66</v>
      </c>
      <c r="C156" s="25" t="n">
        <f aca="false">(B156/B155-1)/(A156-A155)*30</f>
        <v>0.00208481942639947</v>
      </c>
      <c r="D156" s="19"/>
      <c r="F156" s="17" t="n">
        <v>43312</v>
      </c>
      <c r="I156" s="25"/>
      <c r="J156" s="18"/>
      <c r="K156" s="3" t="n">
        <v>1081.8116</v>
      </c>
      <c r="L156" s="25" t="n">
        <f aca="false">+(K156/K155-1)/(F156-F155)*30</f>
        <v>0.00217048975094272</v>
      </c>
      <c r="M156" s="19"/>
      <c r="S156" s="3" t="n">
        <v>0</v>
      </c>
    </row>
    <row r="157" customFormat="false" ht="15" hidden="false" customHeight="false" outlineLevel="0" collapsed="false">
      <c r="A157" s="17" t="n">
        <v>43343</v>
      </c>
      <c r="B157" s="18" t="n">
        <v>18198.62</v>
      </c>
      <c r="C157" s="25" t="n">
        <f aca="false">(B157/B156-1)/(A157-A156)*30</f>
        <v>0.00207620769367104</v>
      </c>
      <c r="D157" s="19"/>
      <c r="F157" s="17" t="n">
        <v>43343</v>
      </c>
      <c r="I157" s="25"/>
      <c r="J157" s="18"/>
      <c r="K157" s="3" t="n">
        <v>1084.2472</v>
      </c>
      <c r="L157" s="25" t="n">
        <f aca="false">+(K157/K156-1)/(F157-F156)*30</f>
        <v>0.00217878256996366</v>
      </c>
      <c r="M157" s="19"/>
      <c r="S157" s="3" t="s">
        <v>45</v>
      </c>
      <c r="AR157" s="65"/>
    </row>
    <row r="158" customFormat="false" ht="15" hidden="false" customHeight="false" outlineLevel="0" collapsed="false">
      <c r="A158" s="17" t="n">
        <v>43373</v>
      </c>
      <c r="B158" s="35" t="n">
        <v>18235.9</v>
      </c>
      <c r="C158" s="25" t="n">
        <f aca="false">(B158/B157-1)/(A158-A157)*30</f>
        <v>0.00204850697470471</v>
      </c>
      <c r="D158" s="19"/>
      <c r="F158" s="17" t="n">
        <v>43373</v>
      </c>
      <c r="I158" s="25"/>
      <c r="J158" s="18"/>
      <c r="K158" s="3" t="n">
        <v>1086.6424</v>
      </c>
      <c r="L158" s="25" t="n">
        <f aca="false">+(K158/K157-1)/(F158-F157)*30</f>
        <v>0.00220909032552719</v>
      </c>
      <c r="M158" s="19"/>
      <c r="S158" s="3" t="n">
        <v>0</v>
      </c>
    </row>
    <row r="159" customFormat="false" ht="15" hidden="false" customHeight="false" outlineLevel="0" collapsed="false">
      <c r="A159" s="17" t="n">
        <v>43404</v>
      </c>
      <c r="B159" s="3" t="n">
        <v>18277.4</v>
      </c>
      <c r="C159" s="25" t="n">
        <f aca="false">(B159/B158-1)/(A159-A158)*30</f>
        <v>0.00220232016640697</v>
      </c>
      <c r="D159" s="19"/>
      <c r="F159" s="17" t="n">
        <v>43404</v>
      </c>
      <c r="I159" s="25"/>
      <c r="J159" s="18"/>
      <c r="K159" s="3" t="n">
        <v>4807.6121</v>
      </c>
      <c r="L159" s="25" t="n">
        <f aca="false">+(K159/K158-1)/(F159-F158)*30</f>
        <v>3.31382101356881</v>
      </c>
      <c r="M159" s="19"/>
    </row>
    <row r="160" customFormat="false" ht="15" hidden="false" customHeight="false" outlineLevel="0" collapsed="false">
      <c r="A160" s="17" t="n">
        <v>43434</v>
      </c>
      <c r="B160" s="19" t="n">
        <v>18319.31</v>
      </c>
      <c r="C160" s="25" t="n">
        <f aca="false">(B160/B159-1)/(A160-A159)*30</f>
        <v>0.00229299572149211</v>
      </c>
      <c r="D160" s="19"/>
      <c r="F160" s="17" t="n">
        <v>43434</v>
      </c>
      <c r="I160" s="25"/>
      <c r="J160" s="18"/>
      <c r="K160" s="18" t="n">
        <v>4812.5415</v>
      </c>
      <c r="L160" s="25" t="n">
        <f aca="false">+(K160/K159-1)/(F160-F159)*30</f>
        <v>0.00102533230582402</v>
      </c>
      <c r="M160" s="19"/>
    </row>
    <row r="161" customFormat="false" ht="15" hidden="false" customHeight="false" outlineLevel="0" collapsed="false">
      <c r="A161" s="17" t="n">
        <v>43465</v>
      </c>
      <c r="B161" s="3" t="n">
        <v>18362.684</v>
      </c>
      <c r="C161" s="25" t="n">
        <f aca="false">(B161/B160-1)/(A161-A160)*30</f>
        <v>0.00229128928489532</v>
      </c>
      <c r="D161" s="19"/>
      <c r="F161" s="17" t="n">
        <v>43465</v>
      </c>
      <c r="I161" s="25"/>
      <c r="J161" s="18"/>
      <c r="K161" s="18" t="n">
        <v>4819.2415</v>
      </c>
      <c r="L161" s="25" t="n">
        <f aca="false">+(K161/K160-1)/(F161-F160)*30</f>
        <v>0.00134728624527007</v>
      </c>
      <c r="M161" s="19"/>
    </row>
    <row r="162" customFormat="false" ht="15" hidden="false" customHeight="false" outlineLevel="0" collapsed="false">
      <c r="A162" s="17" t="n">
        <v>43496</v>
      </c>
      <c r="B162" s="3" t="n">
        <v>18407.69</v>
      </c>
      <c r="C162" s="25" t="n">
        <f aca="false">(B162/B161-1)/(A162-A161)*30</f>
        <v>0.00237188602430805</v>
      </c>
      <c r="D162" s="19"/>
      <c r="F162" s="17" t="n">
        <v>43496</v>
      </c>
      <c r="I162" s="25"/>
      <c r="J162" s="18"/>
      <c r="K162" s="3" t="n">
        <v>4825.82</v>
      </c>
      <c r="L162" s="25" t="n">
        <f aca="false">+(K162/K161-1)/(F162-F161)*30</f>
        <v>0.00132101500258492</v>
      </c>
      <c r="M162" s="19"/>
    </row>
    <row r="163" customFormat="false" ht="15" hidden="false" customHeight="false" outlineLevel="0" collapsed="false">
      <c r="A163" s="17" t="n">
        <v>43524</v>
      </c>
      <c r="B163" s="3" t="n">
        <v>18449.16</v>
      </c>
      <c r="C163" s="25" t="n">
        <f aca="false">(B163/B162-1)/(A163-A162)*30</f>
        <v>0.00241378156939547</v>
      </c>
      <c r="D163" s="19"/>
      <c r="F163" s="17" t="n">
        <v>43524</v>
      </c>
      <c r="I163" s="25"/>
      <c r="J163" s="18"/>
      <c r="K163" s="3" t="n">
        <v>4832.1058</v>
      </c>
      <c r="L163" s="25" t="n">
        <f aca="false">+(K163/K162-1)/(F163-F162)*30</f>
        <v>0.00139557333557535</v>
      </c>
      <c r="M163" s="19"/>
    </row>
    <row r="164" customFormat="false" ht="15" hidden="false" customHeight="false" outlineLevel="0" collapsed="false">
      <c r="A164" s="17" t="n">
        <v>43555</v>
      </c>
      <c r="B164" s="3" t="n">
        <v>18496.82</v>
      </c>
      <c r="C164" s="25" t="n">
        <f aca="false">(B164/B163-1)/(A164-A163)*30</f>
        <v>0.00249998269000661</v>
      </c>
      <c r="D164" s="19"/>
      <c r="F164" s="17" t="n">
        <v>43555</v>
      </c>
      <c r="I164" s="25"/>
      <c r="J164" s="18"/>
      <c r="K164" s="18" t="n">
        <v>4839.1073</v>
      </c>
      <c r="L164" s="25" t="n">
        <f aca="false">+(K164/K163-1)/(F164-F163)*30</f>
        <v>0.00140221374318611</v>
      </c>
      <c r="M164" s="19"/>
    </row>
    <row r="165" customFormat="false" ht="15" hidden="false" customHeight="false" outlineLevel="0" collapsed="false">
      <c r="A165" s="17" t="n">
        <v>43585</v>
      </c>
      <c r="B165" s="3" t="n">
        <v>18543.07</v>
      </c>
      <c r="C165" s="25" t="n">
        <f aca="false">(B165/B164-1)/(A165-A164)*30</f>
        <v>0.00250042980360954</v>
      </c>
      <c r="D165" s="19"/>
      <c r="F165" s="17" t="n">
        <v>43585</v>
      </c>
      <c r="I165" s="25"/>
      <c r="J165" s="18"/>
      <c r="K165" s="18" t="n">
        <v>4845.9628</v>
      </c>
      <c r="L165" s="25" t="n">
        <f aca="false">+(K165/K164-1)/(F165-F164)*30</f>
        <v>0.0014166869166139</v>
      </c>
      <c r="M165" s="19"/>
    </row>
    <row r="166" customFormat="false" ht="15" hidden="false" customHeight="false" outlineLevel="0" collapsed="false">
      <c r="A166" s="17" t="n">
        <v>43616</v>
      </c>
      <c r="B166" s="3" t="n">
        <v>18591.02</v>
      </c>
      <c r="C166" s="25" t="n">
        <f aca="false">(B166/B165-1)/(A166-A165)*30</f>
        <v>0.00250245648678736</v>
      </c>
      <c r="D166" s="19"/>
      <c r="F166" s="17" t="n">
        <v>43616</v>
      </c>
      <c r="I166" s="25"/>
      <c r="J166" s="18"/>
      <c r="K166" s="18" t="n">
        <v>4852.5891</v>
      </c>
      <c r="L166" s="25" t="n">
        <f aca="false">+(K166/K165-1)/(F166-F165)*30</f>
        <v>0.001323276436851</v>
      </c>
      <c r="M166" s="19"/>
    </row>
    <row r="167" customFormat="false" ht="15" hidden="false" customHeight="false" outlineLevel="0" collapsed="false">
      <c r="A167" s="17" t="n">
        <v>43646</v>
      </c>
      <c r="B167" s="19" t="n">
        <v>18632.31</v>
      </c>
      <c r="C167" s="25" t="n">
        <f aca="false">(B167/B166-1)/(A167-A166)*30</f>
        <v>0.00222096474534483</v>
      </c>
      <c r="D167" s="19"/>
      <c r="F167" s="17" t="n">
        <v>43646</v>
      </c>
      <c r="I167" s="25"/>
      <c r="J167" s="18"/>
      <c r="K167" s="3" t="n">
        <v>4858.4077</v>
      </c>
      <c r="L167" s="25" t="n">
        <f aca="false">+(K167/K166-1)/(F167-F166)*30</f>
        <v>0.00119907123395202</v>
      </c>
      <c r="M167" s="19"/>
    </row>
    <row r="168" customFormat="false" ht="15" hidden="false" customHeight="false" outlineLevel="0" collapsed="false">
      <c r="A168" s="17" t="n">
        <v>43677</v>
      </c>
      <c r="B168" s="3" t="n">
        <v>18672.31</v>
      </c>
      <c r="C168" s="25" t="n">
        <f aca="false">(B168/B167-1)/(A168-A167)*30</f>
        <v>0.00207755653589669</v>
      </c>
      <c r="D168" s="19"/>
      <c r="F168" s="17" t="n">
        <v>43677</v>
      </c>
      <c r="I168" s="25"/>
      <c r="J168" s="18"/>
      <c r="K168" s="3" t="n">
        <v>4863.4466</v>
      </c>
      <c r="L168" s="25" t="n">
        <f aca="false">+(K168/K167-1)/(F168-F167)*30</f>
        <v>0.00100369403718635</v>
      </c>
      <c r="M168" s="19"/>
    </row>
    <row r="169" customFormat="false" ht="15" hidden="false" customHeight="false" outlineLevel="0" collapsed="false">
      <c r="A169" s="17" t="n">
        <v>43708</v>
      </c>
      <c r="B169" s="19" t="n">
        <v>18712.55</v>
      </c>
      <c r="C169" s="25" t="n">
        <f aca="false">(B169/B168-1)/(A169-A168)*30</f>
        <v>0.00208554461038137</v>
      </c>
      <c r="D169" s="19"/>
      <c r="F169" s="17" t="n">
        <v>43708</v>
      </c>
      <c r="I169" s="25"/>
      <c r="J169" s="18"/>
      <c r="K169" s="3" t="n">
        <v>4868.1253</v>
      </c>
      <c r="L169" s="25" t="n">
        <f aca="false">+(K169/K168-1)/(F169-F168)*30</f>
        <v>0.000930980550613598</v>
      </c>
      <c r="M169" s="19"/>
    </row>
    <row r="170" customFormat="false" ht="15" hidden="false" customHeight="false" outlineLevel="0" collapsed="false">
      <c r="A170" s="17" t="n">
        <v>43738</v>
      </c>
      <c r="B170" s="3" t="n">
        <v>18744.77</v>
      </c>
      <c r="C170" s="25" t="n">
        <f aca="false">(B170/B169-1)/(A170-A169)*30</f>
        <v>0.00172183908660228</v>
      </c>
      <c r="D170" s="19"/>
      <c r="F170" s="17" t="n">
        <v>43738</v>
      </c>
      <c r="I170" s="25"/>
      <c r="J170" s="18"/>
      <c r="K170" s="3" t="n">
        <v>4873.326</v>
      </c>
      <c r="L170" s="25" t="n">
        <f aca="false">+(K170/K169-1)/(F170-F169)*30</f>
        <v>0.00106831679127084</v>
      </c>
      <c r="M170" s="19"/>
    </row>
    <row r="171" customFormat="false" ht="15" hidden="false" customHeight="false" outlineLevel="0" collapsed="false">
      <c r="A171" s="17" t="n">
        <v>43769</v>
      </c>
      <c r="B171" s="19" t="n">
        <v>18776.102</v>
      </c>
      <c r="C171" s="25" t="n">
        <f aca="false">(B171/B170-1)/(A171-A170)*30</f>
        <v>0.00161758668271631</v>
      </c>
      <c r="D171" s="19"/>
      <c r="F171" s="17" t="n">
        <v>43769</v>
      </c>
      <c r="I171" s="25"/>
      <c r="J171" s="18"/>
      <c r="K171" s="3" t="n">
        <v>4876.4951</v>
      </c>
      <c r="L171" s="25" t="n">
        <f aca="false">+(K171/K170-1)/(F171-F170)*30</f>
        <v>0.000629317835035443</v>
      </c>
      <c r="M171" s="19"/>
    </row>
    <row r="172" customFormat="false" ht="15" hidden="false" customHeight="false" outlineLevel="0" collapsed="false">
      <c r="A172" s="17" t="n">
        <v>43799</v>
      </c>
      <c r="B172" s="3" t="n">
        <v>18802.79</v>
      </c>
      <c r="C172" s="25" t="n">
        <f aca="false">(B172/B171-1)/(A172-A171)*30</f>
        <v>0.00142138128563651</v>
      </c>
      <c r="D172" s="19"/>
      <c r="F172" s="17" t="n">
        <v>43799</v>
      </c>
      <c r="I172" s="25"/>
      <c r="J172" s="18"/>
      <c r="K172" s="3" t="n">
        <v>4879.8683</v>
      </c>
      <c r="L172" s="25" t="n">
        <f aca="false">+(K172/K171-1)/(F172-F171)*30</f>
        <v>0.000691726317945118</v>
      </c>
      <c r="M172" s="19"/>
    </row>
    <row r="173" customFormat="false" ht="15" hidden="false" customHeight="false" outlineLevel="0" collapsed="false">
      <c r="A173" s="17" t="n">
        <v>43830</v>
      </c>
      <c r="B173" s="19" t="n">
        <v>18830.68</v>
      </c>
      <c r="C173" s="25" t="n">
        <f aca="false">(B173/B172-1)/(A173-A172)*30</f>
        <v>0.00143544243065221</v>
      </c>
      <c r="D173" s="19"/>
      <c r="F173" s="17" t="n">
        <v>43830</v>
      </c>
      <c r="I173" s="25"/>
      <c r="J173" s="18"/>
      <c r="K173" s="3" t="n">
        <v>4882.8959</v>
      </c>
      <c r="L173" s="25" t="n">
        <f aca="false">+(K173/K172-1)/(F173-F172)*30</f>
        <v>0.000600412819311486</v>
      </c>
      <c r="M173" s="19"/>
    </row>
    <row r="174" customFormat="false" ht="15" hidden="false" customHeight="false" outlineLevel="0" collapsed="false">
      <c r="A174" s="17" t="n">
        <v>43861</v>
      </c>
      <c r="B174" s="3" t="n">
        <v>18861.86</v>
      </c>
      <c r="C174" s="25" t="n">
        <f aca="false">(B174/B173-1)/(A174-A173)*30</f>
        <v>0.00160239532233506</v>
      </c>
      <c r="D174" s="19"/>
      <c r="F174" s="17" t="n">
        <v>43861</v>
      </c>
      <c r="I174" s="25"/>
      <c r="J174" s="18"/>
      <c r="K174" s="3" t="n">
        <v>4885.3887</v>
      </c>
      <c r="L174" s="25" t="n">
        <f aca="false">+(K174/K173-1)/(F174-F173)*30</f>
        <v>0.000494048438913942</v>
      </c>
      <c r="M174" s="19"/>
    </row>
    <row r="175" customFormat="false" ht="15" hidden="false" customHeight="false" outlineLevel="0" collapsed="false">
      <c r="A175" s="17" t="n">
        <v>43890</v>
      </c>
      <c r="B175" s="19" t="n">
        <v>18887.8867</v>
      </c>
      <c r="C175" s="25" t="n">
        <f aca="false">(B175/B174-1)/(A175-A174)*30</f>
        <v>0.00142743994567841</v>
      </c>
      <c r="D175" s="19"/>
      <c r="F175" s="17" t="n">
        <v>43890</v>
      </c>
      <c r="I175" s="25"/>
      <c r="J175" s="18"/>
      <c r="K175" s="3" t="n">
        <v>4887.7164</v>
      </c>
      <c r="L175" s="25" t="n">
        <f aca="false">+(K175/K174-1)/(F175-F174)*30</f>
        <v>0.000492891285649559</v>
      </c>
      <c r="M175" s="19"/>
    </row>
    <row r="176" customFormat="false" ht="15" hidden="false" customHeight="false" outlineLevel="0" collapsed="false">
      <c r="A176" s="17" t="n">
        <v>43921</v>
      </c>
      <c r="B176" s="3" t="n">
        <v>18908.77</v>
      </c>
      <c r="C176" s="25" t="n">
        <f aca="false">(B176/B175-1)/(A176-A175)*30</f>
        <v>0.00106997916083929</v>
      </c>
      <c r="D176" s="19"/>
      <c r="F176" s="17" t="n">
        <v>43921</v>
      </c>
      <c r="I176" s="25"/>
      <c r="J176" s="18"/>
      <c r="K176" s="3" t="n">
        <v>4892.3528</v>
      </c>
      <c r="L176" s="25" t="n">
        <f aca="false">+(K176/K175-1)/(F176-F175)*30</f>
        <v>0.000917982620611394</v>
      </c>
      <c r="M176" s="19"/>
    </row>
    <row r="177" customFormat="false" ht="15" hidden="false" customHeight="false" outlineLevel="0" collapsed="false">
      <c r="A177" s="17" t="n">
        <v>43951</v>
      </c>
      <c r="B177" s="19" t="n">
        <v>18917.93</v>
      </c>
      <c r="C177" s="25" t="n">
        <f aca="false">(B177/B176-1)/(A177-A176)*30</f>
        <v>0.00048443129828124</v>
      </c>
      <c r="D177" s="19"/>
      <c r="F177" s="17" t="n">
        <v>43951</v>
      </c>
      <c r="I177" s="25"/>
      <c r="J177" s="18"/>
      <c r="K177" s="3" t="n">
        <v>4903.1164</v>
      </c>
      <c r="L177" s="25" t="n">
        <f aca="false">+(K177/K176-1)/(F177-F176)*30</f>
        <v>0.00220008663316351</v>
      </c>
      <c r="M177" s="19"/>
    </row>
    <row r="178" customFormat="false" ht="15" hidden="false" customHeight="false" outlineLevel="0" collapsed="false">
      <c r="A178" s="17" t="n">
        <v>43982</v>
      </c>
      <c r="B178" s="19" t="n">
        <v>18925.24</v>
      </c>
      <c r="C178" s="25" t="n">
        <f aca="false">(B178/B177-1)/(A178-A177)*30</f>
        <v>0.000373941205427323</v>
      </c>
      <c r="D178" s="19"/>
      <c r="F178" s="17" t="n">
        <v>43982</v>
      </c>
      <c r="I178" s="25"/>
      <c r="J178" s="18"/>
      <c r="K178" s="3" t="n">
        <v>4903.90225</v>
      </c>
      <c r="L178" s="25" t="n">
        <f aca="false">+(K178/K177-1)/(F178-F177)*30</f>
        <v>0.000155105434576301</v>
      </c>
      <c r="M178" s="19"/>
    </row>
    <row r="179" customFormat="false" ht="15" hidden="false" customHeight="false" outlineLevel="0" collapsed="false">
      <c r="A179" s="17" t="n">
        <v>44012</v>
      </c>
      <c r="B179" s="19" t="n">
        <v>18932.63</v>
      </c>
      <c r="C179" s="25" t="n">
        <f aca="false">(B179/B178-1)/(A179-A178)*30</f>
        <v>0.000390483819491916</v>
      </c>
      <c r="D179" s="19"/>
      <c r="F179" s="17" t="n">
        <v>44012</v>
      </c>
      <c r="I179" s="25"/>
      <c r="J179" s="18"/>
      <c r="K179" s="3" t="n">
        <v>4904.6881</v>
      </c>
      <c r="L179" s="25" t="n">
        <f aca="false">+(K179/K178-1)/(F179-F178)*30</f>
        <v>0.000160249931572487</v>
      </c>
      <c r="M179" s="19"/>
    </row>
    <row r="180" customFormat="false" ht="15" hidden="false" customHeight="false" outlineLevel="0" collapsed="false">
      <c r="A180" s="17" t="n">
        <v>44043</v>
      </c>
      <c r="B180" s="3" t="n">
        <v>18940.74</v>
      </c>
      <c r="C180" s="25" t="n">
        <f aca="false">(B180/B179-1)/(A180-A179)*30</f>
        <v>0.000414542886898211</v>
      </c>
      <c r="D180" s="19"/>
      <c r="F180" s="17" t="n">
        <v>44043</v>
      </c>
      <c r="I180" s="25"/>
      <c r="J180" s="18"/>
      <c r="K180" s="3" t="n">
        <v>4905.1791</v>
      </c>
      <c r="L180" s="25" t="n">
        <f aca="false">+(K180/K179-1)/(F180-F179)*30</f>
        <v>9.68790024226441E-005</v>
      </c>
      <c r="M180" s="19"/>
      <c r="AD180" s="65"/>
      <c r="AE180" s="65"/>
      <c r="AF180" s="65"/>
      <c r="AG180" s="65"/>
      <c r="AH180" s="65"/>
      <c r="AI180" s="65"/>
      <c r="AJ180" s="65"/>
      <c r="AK180" s="65"/>
      <c r="AL180" s="65"/>
      <c r="AM180" s="65"/>
      <c r="AN180" s="65"/>
      <c r="AO180" s="65"/>
      <c r="AP180" s="65"/>
      <c r="AQ180" s="65"/>
    </row>
    <row r="181" customFormat="false" ht="15" hidden="false" customHeight="false" outlineLevel="0" collapsed="false">
      <c r="A181" s="17" t="n">
        <v>44074</v>
      </c>
      <c r="B181" s="3" t="n">
        <v>18948.69</v>
      </c>
      <c r="C181" s="25" t="n">
        <f aca="false">(B181/B180-1)/(A181-A180)*30</f>
        <v>0.000406190486068316</v>
      </c>
      <c r="D181" s="19"/>
      <c r="F181" s="17" t="n">
        <v>44074</v>
      </c>
      <c r="I181" s="25"/>
      <c r="J181" s="18"/>
      <c r="K181" s="3" t="n">
        <v>4906.1183</v>
      </c>
      <c r="L181" s="25" t="n">
        <f aca="false">+(K181/K180-1)/(F181-F180)*30</f>
        <v>0.000185294605411322</v>
      </c>
      <c r="M181" s="19"/>
    </row>
    <row r="182" customFormat="false" ht="15" hidden="false" customHeight="false" outlineLevel="0" collapsed="false">
      <c r="A182" s="17" t="n">
        <v>44104</v>
      </c>
      <c r="B182" s="3" t="n">
        <v>18956.17</v>
      </c>
      <c r="C182" s="25" t="n">
        <f aca="false">(B182/B181-1)/(A182-A181)*30</f>
        <v>0.000394750243948305</v>
      </c>
      <c r="D182" s="19"/>
      <c r="F182" s="17" t="n">
        <v>44104</v>
      </c>
      <c r="I182" s="25"/>
      <c r="J182" s="18"/>
      <c r="K182" s="3" t="n">
        <v>4906.466</v>
      </c>
      <c r="L182" s="25" t="n">
        <f aca="false">+(K182/K181-1)/(F182-F181)*30</f>
        <v>7.08706922130098E-005</v>
      </c>
      <c r="M182" s="19"/>
    </row>
    <row r="183" customFormat="false" ht="15" hidden="false" customHeight="false" outlineLevel="0" collapsed="false">
      <c r="A183" s="17" t="n">
        <v>44135</v>
      </c>
      <c r="B183" s="3" t="n">
        <v>18963.23</v>
      </c>
      <c r="C183" s="25" t="n">
        <f aca="false">(B183/B182-1)/(A183-A182)*30</f>
        <v>0.000360423970903369</v>
      </c>
      <c r="D183" s="19"/>
      <c r="F183" s="17" t="n">
        <v>44135</v>
      </c>
      <c r="I183" s="25"/>
      <c r="J183" s="18"/>
      <c r="K183" s="3" t="n">
        <v>4906.7963</v>
      </c>
      <c r="L183" s="25" t="n">
        <f aca="false">+(K183/K182-1)/(F183-F182)*30</f>
        <v>6.51477379625694E-005</v>
      </c>
      <c r="M183" s="19"/>
    </row>
    <row r="184" customFormat="false" ht="15" hidden="false" customHeight="false" outlineLevel="0" collapsed="false">
      <c r="A184" s="17" t="n">
        <v>44165</v>
      </c>
      <c r="B184" s="3" t="n">
        <v>18969.48</v>
      </c>
      <c r="C184" s="25" t="n">
        <f aca="false">(B184/B183-1)/(A184-A183)*30</f>
        <v>0.00032958520252091</v>
      </c>
      <c r="D184" s="19"/>
      <c r="F184" s="17" t="n">
        <v>44165</v>
      </c>
      <c r="I184" s="25"/>
      <c r="J184" s="18"/>
      <c r="K184" s="3" t="n">
        <v>4907.0953</v>
      </c>
      <c r="L184" s="25" t="n">
        <f aca="false">+(K184/K183-1)/(F184-F183)*30</f>
        <v>6.09358900838242E-005</v>
      </c>
      <c r="M184" s="19"/>
    </row>
    <row r="185" customFormat="false" ht="15" hidden="false" customHeight="false" outlineLevel="0" collapsed="false">
      <c r="A185" s="17" t="n">
        <v>44196</v>
      </c>
      <c r="B185" s="3" t="n">
        <v>18976.88</v>
      </c>
      <c r="C185" s="25" t="n">
        <f aca="false">(B185/B184-1)/(A185-A184)*30</f>
        <v>0.000377516427576409</v>
      </c>
      <c r="D185" s="19"/>
      <c r="F185" s="17" t="n">
        <v>44196</v>
      </c>
      <c r="I185" s="25"/>
      <c r="J185" s="18"/>
      <c r="K185" s="3" t="n">
        <v>4907.3928</v>
      </c>
      <c r="L185" s="25" t="n">
        <f aca="false">+(K185/K184-1)/(F185-F184)*30</f>
        <v>5.86708038472924E-005</v>
      </c>
      <c r="M185" s="19"/>
    </row>
    <row r="186" customFormat="false" ht="15" hidden="false" customHeight="false" outlineLevel="0" collapsed="false">
      <c r="A186" s="17" t="n">
        <v>44246</v>
      </c>
      <c r="B186" s="3" t="n">
        <v>18982.04</v>
      </c>
      <c r="C186" s="25" t="n">
        <f aca="false">(B186/B185-1)/(A186-A185)*30</f>
        <v>0.000163145891210714</v>
      </c>
      <c r="D186" s="19" t="n">
        <v>100</v>
      </c>
      <c r="F186" s="17" t="n">
        <v>44246</v>
      </c>
      <c r="I186" s="25"/>
      <c r="J186" s="18"/>
      <c r="K186" s="3" t="n">
        <v>4907.6377</v>
      </c>
      <c r="L186" s="25" t="n">
        <f aca="false">+(K186/K185-1)/(F186-F185)*30</f>
        <v>2.99425796932873E-005</v>
      </c>
      <c r="M186" s="19"/>
    </row>
    <row r="187" customFormat="false" ht="15" hidden="false" customHeight="false" outlineLevel="0" collapsed="false">
      <c r="A187" s="17" t="n">
        <v>44255</v>
      </c>
      <c r="B187" s="3" t="n">
        <v>18986.58</v>
      </c>
      <c r="C187" s="25" t="n">
        <f aca="false">(B187/B186-1)/(A187-A186)*11</f>
        <v>0.000292323105888029</v>
      </c>
      <c r="D187" s="19" t="n">
        <f aca="false">+D186*(1+C187)</f>
        <v>100.029232310589</v>
      </c>
      <c r="F187" s="17" t="n">
        <v>44255</v>
      </c>
      <c r="I187" s="25"/>
      <c r="J187" s="18"/>
      <c r="K187" s="3" t="n">
        <v>4907.9052</v>
      </c>
      <c r="L187" s="25" t="n">
        <f aca="false">+(K187/K186-1)/(F187-F186)*11</f>
        <v>6.66195152189254E-005</v>
      </c>
      <c r="M187" s="19" t="n">
        <v>100</v>
      </c>
      <c r="Q187" s="17"/>
    </row>
    <row r="188" customFormat="false" ht="15" hidden="false" customHeight="false" outlineLevel="0" collapsed="false">
      <c r="A188" s="17" t="n">
        <v>44286</v>
      </c>
      <c r="B188" s="19" t="n">
        <v>18991.5</v>
      </c>
      <c r="C188" s="25" t="n">
        <f aca="false">(B188/B187-1)/(A188-A187)*30</f>
        <v>0.000250771351269013</v>
      </c>
      <c r="D188" s="19" t="n">
        <f aca="false">+D187*(1+C188)</f>
        <v>100.054316776342</v>
      </c>
      <c r="F188" s="17" t="n">
        <v>44286</v>
      </c>
      <c r="I188" s="25"/>
      <c r="J188" s="18"/>
      <c r="K188" s="3" t="n">
        <v>4908.1704</v>
      </c>
      <c r="L188" s="25" t="n">
        <f aca="false">+(K188/K187-1)/(F188-F187)*30</f>
        <v>5.22922002018035E-005</v>
      </c>
      <c r="M188" s="19" t="n">
        <f aca="false">+M187*(1+L188)</f>
        <v>100.00522922002</v>
      </c>
      <c r="Q188" s="17"/>
      <c r="R188" s="66"/>
    </row>
    <row r="189" customFormat="false" ht="15" hidden="false" customHeight="false" outlineLevel="0" collapsed="false">
      <c r="A189" s="17" t="n">
        <v>44316</v>
      </c>
      <c r="B189" s="3" t="n">
        <v>18997.09</v>
      </c>
      <c r="C189" s="25" t="n">
        <f aca="false">(B189/B188-1)/(A189-A188)*30</f>
        <v>0.000294342205723552</v>
      </c>
      <c r="D189" s="19" t="n">
        <f aca="false">+D188*(1+C189)</f>
        <v>100.083766984634</v>
      </c>
      <c r="F189" s="17" t="n">
        <v>44316</v>
      </c>
      <c r="I189" s="25"/>
      <c r="J189" s="18"/>
      <c r="K189" s="3" t="n">
        <v>4908.4956</v>
      </c>
      <c r="L189" s="25" t="n">
        <f aca="false">+(K189/K188-1)/(F189-F188)*30</f>
        <v>6.6256868343384E-005</v>
      </c>
      <c r="M189" s="19" t="n">
        <f aca="false">+M188*(1+L189)</f>
        <v>100.011855253326</v>
      </c>
      <c r="Q189" s="67"/>
    </row>
    <row r="190" customFormat="false" ht="15" hidden="false" customHeight="false" outlineLevel="0" collapsed="false">
      <c r="A190" s="17" t="n">
        <v>44347</v>
      </c>
      <c r="B190" s="3" t="n">
        <v>19001.7</v>
      </c>
      <c r="C190" s="25" t="n">
        <f aca="false">(B190/B189-1)/(A190-A189)*30</f>
        <v>0.000234840721530632</v>
      </c>
      <c r="D190" s="19" t="n">
        <f aca="false">+D189*(1+C190)</f>
        <v>100.107270728686</v>
      </c>
      <c r="F190" s="17" t="n">
        <v>44347</v>
      </c>
      <c r="I190" s="25"/>
      <c r="J190" s="18"/>
      <c r="K190" s="3" t="n">
        <v>4908.7905</v>
      </c>
      <c r="L190" s="25" t="n">
        <f aca="false">+(K190/K189-1)/(F190-F189)*30</f>
        <v>5.81414592230296E-005</v>
      </c>
      <c r="M190" s="19" t="n">
        <v>100</v>
      </c>
      <c r="Q190" s="67"/>
    </row>
    <row r="191" customFormat="false" ht="15" hidden="false" customHeight="false" outlineLevel="0" collapsed="false">
      <c r="A191" s="17" t="n">
        <v>44377</v>
      </c>
      <c r="B191" s="3" t="n">
        <v>19006.88</v>
      </c>
      <c r="C191" s="25" t="n">
        <f aca="false">(B191/B190-1)/(A191-A190)*30</f>
        <v>0.000272607187777885</v>
      </c>
      <c r="D191" s="19" t="n">
        <f aca="false">+D190*(1+C191)</f>
        <v>100.134560690235</v>
      </c>
      <c r="F191" s="17" t="n">
        <v>44377</v>
      </c>
      <c r="I191" s="25"/>
      <c r="J191" s="18"/>
      <c r="K191" s="3" t="n">
        <v>4909.0847</v>
      </c>
      <c r="L191" s="25" t="n">
        <f aca="false">+(K191/K190-1)/(F191-F190)*30</f>
        <v>5.99332972144318E-005</v>
      </c>
      <c r="M191" s="19" t="n">
        <f aca="false">+M190*(1+L191)</f>
        <v>100.005993329721</v>
      </c>
    </row>
    <row r="192" customFormat="false" ht="15" hidden="false" customHeight="false" outlineLevel="0" collapsed="false">
      <c r="A192" s="17" t="n">
        <v>44408</v>
      </c>
      <c r="B192" s="3" t="n">
        <v>19016.42</v>
      </c>
      <c r="C192" s="25" t="n">
        <f aca="false">(B192/B191-1)/(A192-A191)*30</f>
        <v>0.000485732432914423</v>
      </c>
      <c r="D192" s="19" t="n">
        <f aca="false">+D191*(1+C192)</f>
        <v>100.183199294018</v>
      </c>
      <c r="F192" s="17" t="n">
        <v>44408</v>
      </c>
      <c r="I192" s="25"/>
      <c r="J192" s="18"/>
      <c r="K192" s="3" t="n">
        <v>4909.3885</v>
      </c>
      <c r="L192" s="25" t="n">
        <f aca="false">+(K192/K191-1)/(F192-F191)*30</f>
        <v>5.98889646373815E-005</v>
      </c>
      <c r="M192" s="19" t="n">
        <f aca="false">+M191*(1+L192)</f>
        <v>100.01198258512</v>
      </c>
    </row>
    <row r="193" customFormat="false" ht="15" hidden="false" customHeight="false" outlineLevel="0" collapsed="false">
      <c r="A193" s="17" t="n">
        <v>44439</v>
      </c>
      <c r="B193" s="3" t="n">
        <v>19028.38</v>
      </c>
      <c r="C193" s="25" t="n">
        <f aca="false">(B193/B192-1)/(A193-A192)*30</f>
        <v>0.0006086420865963</v>
      </c>
      <c r="D193" s="19" t="n">
        <f aca="false">+D192*(1+C193)</f>
        <v>100.244175005479</v>
      </c>
      <c r="F193" s="17" t="n">
        <v>44439</v>
      </c>
      <c r="I193" s="25"/>
      <c r="J193" s="18"/>
      <c r="K193" s="3" t="n">
        <v>4909.6931</v>
      </c>
      <c r="L193" s="25" t="n">
        <f aca="false">+(K193/K192-1)/(F193-F192)*30</f>
        <v>6.00429551559976E-005</v>
      </c>
      <c r="M193" s="19" t="n">
        <f aca="false">+M192*(1+L193)</f>
        <v>100.017987600105</v>
      </c>
    </row>
    <row r="194" customFormat="false" ht="15" hidden="false" customHeight="false" outlineLevel="0" collapsed="false">
      <c r="A194" s="17" t="n">
        <v>44469</v>
      </c>
      <c r="B194" s="3" t="n">
        <v>19052.12</v>
      </c>
      <c r="C194" s="25" t="n">
        <f aca="false">(B194/B193-1)/(A194-A193)*30</f>
        <v>0.00124761014863051</v>
      </c>
      <c r="D194" s="19" t="n">
        <f aca="false">+D193*(1+C194)</f>
        <v>100.369240655557</v>
      </c>
      <c r="F194" s="17" t="n">
        <v>44469</v>
      </c>
      <c r="I194" s="25"/>
      <c r="J194" s="18"/>
      <c r="K194" s="18" t="n">
        <v>4909.1149</v>
      </c>
      <c r="L194" s="25" t="n">
        <f aca="false">+(K194/K193-1)/(F194-F193)*30</f>
        <v>-0.000117767035173966</v>
      </c>
      <c r="M194" s="19" t="n">
        <f aca="false">+M193*(1+L194)</f>
        <v>100.006208778241</v>
      </c>
    </row>
    <row r="195" customFormat="false" ht="15" hidden="false" customHeight="false" outlineLevel="0" collapsed="false">
      <c r="A195" s="17" t="n">
        <v>44500</v>
      </c>
      <c r="B195" s="3" t="n">
        <v>19091.59</v>
      </c>
      <c r="C195" s="25" t="n">
        <f aca="false">(B195/B194-1)/(A195-A194)*30</f>
        <v>0.00200485689747645</v>
      </c>
      <c r="D195" s="19" t="n">
        <f aca="false">+D194*(1+C195)</f>
        <v>100.570466619979</v>
      </c>
      <c r="F195" s="17" t="n">
        <v>44500</v>
      </c>
      <c r="I195" s="25"/>
      <c r="J195" s="18"/>
      <c r="K195" s="3" t="n">
        <v>4914.1336</v>
      </c>
      <c r="L195" s="25" t="n">
        <f aca="false">+(K195/K194-1)/(F195-F194)*30</f>
        <v>0.00098934462740187</v>
      </c>
      <c r="M195" s="19" t="n">
        <f aca="false">+M194*(1+L195)</f>
        <v>100.105149383603</v>
      </c>
    </row>
    <row r="196" customFormat="false" ht="15" hidden="false" customHeight="false" outlineLevel="0" collapsed="false">
      <c r="A196" s="17" t="n">
        <v>44530</v>
      </c>
      <c r="B196" s="3" t="n">
        <v>19132.47</v>
      </c>
      <c r="C196" s="25" t="n">
        <f aca="false">(B196/B195-1)/(A196-A195)*30</f>
        <v>0.00214125696183509</v>
      </c>
      <c r="D196" s="19" t="n">
        <f aca="false">+D195*(1+C196)</f>
        <v>100.785813831784</v>
      </c>
      <c r="F196" s="17" t="n">
        <v>44530</v>
      </c>
      <c r="I196" s="25"/>
      <c r="J196" s="18"/>
      <c r="K196" s="18" t="n">
        <v>4920.3216</v>
      </c>
      <c r="L196" s="25" t="n">
        <f aca="false">+(K196/K195-1)/(F196-F195)*30</f>
        <v>0.00125922502391873</v>
      </c>
      <c r="M196" s="19" t="n">
        <f aca="false">+M195*(1+L196)</f>
        <v>100.23120429273</v>
      </c>
    </row>
    <row r="197" customFormat="false" ht="15" hidden="false" customHeight="false" outlineLevel="0" collapsed="false">
      <c r="A197" s="17" t="n">
        <v>44561</v>
      </c>
      <c r="B197" s="3" t="n">
        <v>19193.41</v>
      </c>
      <c r="C197" s="25" t="n">
        <f aca="false">(B197/B196-1)/(A197-A196)*30</f>
        <v>0.00308241400866619</v>
      </c>
      <c r="D197" s="19" t="n">
        <f aca="false">+D196*(1+C197)</f>
        <v>101.096477436214</v>
      </c>
      <c r="F197" s="17" t="n">
        <v>44561</v>
      </c>
      <c r="I197" s="25"/>
      <c r="J197" s="18"/>
      <c r="K197" s="3" t="n">
        <v>4929.2918</v>
      </c>
      <c r="L197" s="25" t="n">
        <f aca="false">+(K197/K196-1)/(F197-F196)*30</f>
        <v>0.00176428278787249</v>
      </c>
      <c r="M197" s="19" t="n">
        <f aca="false">+M196*(1+L197)</f>
        <v>100.408040481271</v>
      </c>
    </row>
    <row r="198" customFormat="false" ht="15" hidden="false" customHeight="false" outlineLevel="0" collapsed="false">
      <c r="A198" s="17" t="n">
        <v>44592</v>
      </c>
      <c r="B198" s="3" t="n">
        <v>19259.35</v>
      </c>
      <c r="C198" s="25" t="n">
        <f aca="false">(B198/B197-1)/(A198-A197)*30</f>
        <v>0.00332472985393446</v>
      </c>
      <c r="D198" s="19" t="n">
        <f aca="false">+D197*(1+C198)</f>
        <v>101.432595912874</v>
      </c>
      <c r="F198" s="17" t="n">
        <v>44592</v>
      </c>
      <c r="I198" s="25"/>
      <c r="J198" s="18"/>
      <c r="K198" s="3" t="n">
        <v>4941.9683</v>
      </c>
      <c r="L198" s="25" t="n">
        <f aca="false">+(K198/K197-1)/(F198-F197)*30</f>
        <v>0.00248871057809198</v>
      </c>
      <c r="M198" s="19" t="n">
        <f aca="false">+M197*(1+L198)</f>
        <v>100.657927033742</v>
      </c>
    </row>
    <row r="199" customFormat="false" ht="15" hidden="false" customHeight="false" outlineLevel="0" collapsed="false">
      <c r="A199" s="17" t="n">
        <v>44620</v>
      </c>
      <c r="B199" s="19" t="n">
        <v>19341.9</v>
      </c>
      <c r="C199" s="25" t="n">
        <f aca="false">(B199/B198-1)/(A199-A198)*30</f>
        <v>0.00459238907706803</v>
      </c>
      <c r="D199" s="19" t="n">
        <f aca="false">+D198*(1+C199)</f>
        <v>101.898413858403</v>
      </c>
      <c r="F199" s="17" t="n">
        <v>44620</v>
      </c>
      <c r="I199" s="25"/>
      <c r="J199" s="18"/>
      <c r="K199" s="3" t="n">
        <v>4958.2785</v>
      </c>
      <c r="L199" s="25" t="n">
        <f aca="false">+(K199/K198-1)/(F199-F198)*30</f>
        <v>0.00353608384855779</v>
      </c>
      <c r="M199" s="19" t="n">
        <f aca="false">+M198*(1+L199)</f>
        <v>101.013861903756</v>
      </c>
    </row>
    <row r="200" customFormat="false" ht="15" hidden="false" customHeight="false" outlineLevel="0" collapsed="false">
      <c r="A200" s="17" t="n">
        <v>44651</v>
      </c>
      <c r="B200" s="3" t="n">
        <v>19435.35</v>
      </c>
      <c r="C200" s="25" t="n">
        <f aca="false">(B200/B199-1)/(A200-A199)*30</f>
        <v>0.00467562565575065</v>
      </c>
      <c r="D200" s="19" t="n">
        <f aca="false">+D199*(1+C200)</f>
        <v>102.37485269652</v>
      </c>
      <c r="F200" s="17" t="n">
        <v>44651</v>
      </c>
      <c r="I200" s="25"/>
      <c r="J200" s="18"/>
      <c r="K200" s="3" t="n">
        <v>4977.0833</v>
      </c>
      <c r="L200" s="25" t="n">
        <f aca="false">+(K200/K199-1)/(F200-F199)*30</f>
        <v>0.00367026449772572</v>
      </c>
      <c r="M200" s="19" t="n">
        <f aca="false">+M199*(1+L200)</f>
        <v>101.384609494879</v>
      </c>
    </row>
    <row r="201" customFormat="false" ht="15" hidden="false" customHeight="false" outlineLevel="0" collapsed="false">
      <c r="A201" s="17" t="n">
        <v>44681</v>
      </c>
      <c r="B201" s="3" t="n">
        <v>19541.32</v>
      </c>
      <c r="C201" s="25" t="n">
        <f aca="false">(B201/B200-1)/(A201-A200)*30</f>
        <v>0.00545243589644651</v>
      </c>
      <c r="D201" s="19" t="n">
        <f aca="false">+D200*(1+C201)</f>
        <v>102.933045018256</v>
      </c>
      <c r="F201" s="17" t="n">
        <v>44681</v>
      </c>
      <c r="I201" s="25"/>
      <c r="J201" s="18"/>
      <c r="K201" s="3" t="n">
        <v>4999.8366</v>
      </c>
      <c r="L201" s="25" t="n">
        <f aca="false">+(K201/K200-1)/(F201-F200)*30</f>
        <v>0.00457161325790945</v>
      </c>
      <c r="M201" s="19" t="n">
        <f aca="false">+M200*(1+L201)</f>
        <v>101.848100719794</v>
      </c>
    </row>
    <row r="202" customFormat="false" ht="15" hidden="false" customHeight="false" outlineLevel="0" collapsed="false">
      <c r="A202" s="17" t="n">
        <v>44712</v>
      </c>
      <c r="B202" s="3" t="n">
        <v>19680.32</v>
      </c>
      <c r="C202" s="25" t="n">
        <f aca="false">(B202/B201-1)/(A202-A201)*30</f>
        <v>0.00688367669288764</v>
      </c>
      <c r="D202" s="19" t="n">
        <f aca="false">+D201*(1+C202)</f>
        <v>103.641602821176</v>
      </c>
      <c r="F202" s="17" t="n">
        <v>44735</v>
      </c>
      <c r="I202" s="25"/>
      <c r="J202" s="18"/>
      <c r="K202" s="3" t="n">
        <v>5027.3885</v>
      </c>
      <c r="L202" s="25" t="n">
        <f aca="false">+(K202/K201-1)/(F202-F201)*30</f>
        <v>0.00306142226950209</v>
      </c>
      <c r="M202" s="19" t="n">
        <f aca="false">+M201*(1+L202)</f>
        <v>102.159900763444</v>
      </c>
    </row>
    <row r="203" customFormat="false" ht="15" hidden="false" customHeight="false" outlineLevel="0" collapsed="false">
      <c r="A203" s="17" t="n">
        <v>44742</v>
      </c>
      <c r="B203" s="3" t="n">
        <v>19825.16</v>
      </c>
      <c r="C203" s="25" t="n">
        <f aca="false">(B203/B202-1)/(A203-A202)*30</f>
        <v>0.00735963642867587</v>
      </c>
      <c r="D203" s="19" t="n">
        <f aca="false">+D202*(1+C203)</f>
        <v>104.404367336825</v>
      </c>
      <c r="F203" s="17" t="n">
        <v>44742</v>
      </c>
      <c r="I203" s="25"/>
      <c r="J203" s="18"/>
      <c r="K203" s="18" t="n">
        <v>5056.9676</v>
      </c>
      <c r="L203" s="68" t="n">
        <f aca="false">+(K203/K202-1)/(F203-A202)*30</f>
        <v>0.00588359145110817</v>
      </c>
      <c r="M203" s="19" t="n">
        <f aca="false">+M202*(1+L203)</f>
        <v>102.760967882222</v>
      </c>
    </row>
    <row r="204" customFormat="false" ht="15" hidden="false" customHeight="false" outlineLevel="0" collapsed="false">
      <c r="A204" s="17" t="n">
        <v>44773</v>
      </c>
      <c r="B204" s="3" t="n">
        <v>19975.62</v>
      </c>
      <c r="C204" s="25" t="n">
        <f aca="false">(B204/B203-1)/(A204-A203)*30</f>
        <v>0.00734452844834052</v>
      </c>
      <c r="D204" s="19" t="n">
        <f aca="false">+D203*(1+C204)</f>
        <v>105.171168182861</v>
      </c>
      <c r="F204" s="17" t="n">
        <v>44773</v>
      </c>
      <c r="I204" s="25"/>
      <c r="J204" s="18"/>
      <c r="K204" s="3" t="n">
        <v>5089.8979</v>
      </c>
      <c r="L204" s="68" t="n">
        <f aca="false">+(K204/K203-1)/(F204-A203)*30</f>
        <v>0.00630180669104238</v>
      </c>
      <c r="M204" s="19" t="n">
        <f aca="false">+M203*(1+L204)</f>
        <v>103.4085476372</v>
      </c>
    </row>
    <row r="205" customFormat="false" ht="15" hidden="false" customHeight="false" outlineLevel="0" collapsed="false">
      <c r="A205" s="17" t="n">
        <v>44804</v>
      </c>
      <c r="B205" s="3" t="n">
        <v>20154.92</v>
      </c>
      <c r="C205" s="25" t="n">
        <f aca="false">(B205/B204-1)/(A205-A204)*30</f>
        <v>0.00868639516732178</v>
      </c>
      <c r="D205" s="19" t="n">
        <f aca="false">+D204*(1+C205)</f>
        <v>106.084726509906</v>
      </c>
      <c r="F205" s="17" t="n">
        <v>44804</v>
      </c>
      <c r="I205" s="25"/>
      <c r="J205" s="18"/>
      <c r="K205" s="18" t="n">
        <v>5125.6822</v>
      </c>
      <c r="L205" s="68" t="n">
        <f aca="false">+(K205/K204-1)/(F205-A204)*30</f>
        <v>0.00680366648257052</v>
      </c>
      <c r="M205" s="19" t="n">
        <f aca="false">+M204*(1+L205)</f>
        <v>104.112104906771</v>
      </c>
    </row>
    <row r="206" customFormat="false" ht="15" hidden="false" customHeight="false" outlineLevel="0" collapsed="false">
      <c r="A206" s="17" t="n">
        <v>44834</v>
      </c>
      <c r="B206" s="3" t="n">
        <v>20332.28</v>
      </c>
      <c r="C206" s="25" t="n">
        <f aca="false">(B206/B205-1)/(A206-A205)*30</f>
        <v>0.00879983646672877</v>
      </c>
      <c r="D206" s="19" t="n">
        <f aca="false">+D205*(1+C206)</f>
        <v>107.018254754811</v>
      </c>
      <c r="F206" s="17" t="n">
        <v>44834</v>
      </c>
      <c r="I206" s="25"/>
      <c r="J206" s="18"/>
      <c r="K206" s="18" t="n">
        <v>5163.2829</v>
      </c>
      <c r="L206" s="68" t="n">
        <f aca="false">+(K206/K205-1)/(F206-A205)*30</f>
        <v>0.00733574547403659</v>
      </c>
      <c r="M206" s="19" t="n">
        <f aca="false">+M205*(1+L206)</f>
        <v>104.875844809133</v>
      </c>
    </row>
    <row r="207" customFormat="false" ht="15" hidden="false" customHeight="false" outlineLevel="0" collapsed="false">
      <c r="A207" s="17" t="n">
        <v>44862</v>
      </c>
      <c r="B207" s="3" t="n">
        <v>20507.2</v>
      </c>
      <c r="C207" s="25" t="n">
        <f aca="false">(B207/B206-1)/(A207-A206)*30</f>
        <v>0.00921757351926535</v>
      </c>
      <c r="D207" s="19" t="n">
        <f aca="false">+D206*(1+C207)</f>
        <v>108.004703385917</v>
      </c>
      <c r="F207" s="17" t="n">
        <v>44862</v>
      </c>
      <c r="I207" s="25"/>
      <c r="J207" s="18"/>
      <c r="K207" s="18" t="n">
        <v>5200.6767</v>
      </c>
      <c r="L207" s="68" t="n">
        <f aca="false">+(K207/K206-1)/(F207-A206)*30</f>
        <v>0.00775955656318685</v>
      </c>
      <c r="M207" s="19" t="n">
        <f aca="false">+M206*(1+L207)</f>
        <v>105.689634859041</v>
      </c>
    </row>
    <row r="208" customFormat="false" ht="15" hidden="false" customHeight="false" outlineLevel="0" collapsed="false">
      <c r="A208" s="17" t="n">
        <v>44895</v>
      </c>
      <c r="B208" s="3" t="n">
        <v>20719.68</v>
      </c>
      <c r="C208" s="25" t="n">
        <f aca="false">(B208/B207-1)/(A208-A207)*30</f>
        <v>0.00941930816316388</v>
      </c>
      <c r="D208" s="19" t="n">
        <f aca="false">+D207*(1+C208)</f>
        <v>109.02203297018</v>
      </c>
      <c r="F208" s="17" t="n">
        <v>44895</v>
      </c>
      <c r="I208" s="25"/>
      <c r="J208" s="18"/>
      <c r="K208" s="3" t="n">
        <v>5246.14</v>
      </c>
      <c r="L208" s="68" t="n">
        <f aca="false">+(K208/K207-1)/(F208-A207)*30</f>
        <v>0.00794709517845488</v>
      </c>
      <c r="M208" s="19" t="n">
        <f aca="false">+M207*(1+L208)</f>
        <v>106.529560446642</v>
      </c>
    </row>
    <row r="209" customFormat="false" ht="15" hidden="false" customHeight="false" outlineLevel="0" collapsed="false">
      <c r="A209" s="17" t="n">
        <v>44925</v>
      </c>
      <c r="B209" s="3" t="n">
        <v>20914.79</v>
      </c>
      <c r="C209" s="25" t="n">
        <f aca="false">(B209/B208-1)/(A209-A208)*30</f>
        <v>0.00941665122241275</v>
      </c>
      <c r="D209" s="19" t="n">
        <f aca="false">+D208*(1+C209)</f>
        <v>110.048655430219</v>
      </c>
      <c r="F209" s="17" t="n">
        <v>44925</v>
      </c>
      <c r="I209" s="25"/>
      <c r="J209" s="18"/>
      <c r="K209" s="3" t="n">
        <v>5287.7323</v>
      </c>
      <c r="L209" s="68" t="n">
        <f aca="false">+(K209/K208-1)/(F209-A208)*30</f>
        <v>0.00792817195118678</v>
      </c>
      <c r="M209" s="19" t="n">
        <f aca="false">+M208*(1+L209)</f>
        <v>107.374145119748</v>
      </c>
    </row>
    <row r="210" customFormat="false" ht="15" hidden="false" customHeight="false" outlineLevel="0" collapsed="false">
      <c r="A210" s="17" t="n">
        <v>44957</v>
      </c>
      <c r="B210" s="3" t="n">
        <v>21124.92</v>
      </c>
      <c r="C210" s="25" t="n">
        <f aca="false">(B210/B209-1)/(A210-A209)*30</f>
        <v>0.0094190223760314</v>
      </c>
      <c r="D210" s="19" t="n">
        <f aca="false">+D209*(1+C210)</f>
        <v>111.085206178168</v>
      </c>
      <c r="F210" s="17" t="n">
        <v>44957</v>
      </c>
      <c r="I210" s="25"/>
      <c r="J210" s="18"/>
      <c r="K210" s="3" t="n">
        <v>5332.3677</v>
      </c>
      <c r="L210" s="68" t="n">
        <f aca="false">+(K210/K209-1)/(F210-A209)*30</f>
        <v>0.00791373033388998</v>
      </c>
      <c r="M210" s="19" t="n">
        <f aca="false">+M209*(1+L210)</f>
        <v>108.223875149057</v>
      </c>
    </row>
    <row r="211" customFormat="false" ht="15" hidden="false" customHeight="false" outlineLevel="0" collapsed="false">
      <c r="A211" s="17" t="n">
        <v>44985</v>
      </c>
      <c r="B211" s="3" t="n">
        <v>21310.51</v>
      </c>
      <c r="C211" s="25" t="n">
        <f aca="false">(B211/B210-1)/(A211-A210)*30</f>
        <v>0.00941288433619768</v>
      </c>
      <c r="D211" s="19" t="n">
        <f aca="false">+D210*(1+C211)</f>
        <v>112.130838375386</v>
      </c>
      <c r="F211" s="17" t="n">
        <v>45014</v>
      </c>
      <c r="I211" s="25"/>
      <c r="J211" s="18"/>
      <c r="K211" s="3" t="n">
        <v>5371.762</v>
      </c>
      <c r="L211" s="68" t="n">
        <f aca="false">+(K211/K210-1)/(F211-A210)*30</f>
        <v>0.00388829939564426</v>
      </c>
      <c r="M211" s="19" t="n">
        <f aca="false">+M210*(1+L211)</f>
        <v>108.644681977394</v>
      </c>
    </row>
    <row r="212" customFormat="false" ht="15" hidden="false" customHeight="false" outlineLevel="0" collapsed="false">
      <c r="A212" s="17" t="n">
        <v>45016</v>
      </c>
      <c r="B212" s="3" t="n">
        <v>21517.9</v>
      </c>
      <c r="C212" s="25" t="n">
        <f aca="false">(B212/B211-1)/(A212-A211)*30</f>
        <v>0.00941788816879581</v>
      </c>
      <c r="D212" s="19" t="n">
        <f aca="false">+D211*(1+C212)</f>
        <v>113.186874071478</v>
      </c>
      <c r="F212" s="17" t="n">
        <v>45016</v>
      </c>
      <c r="I212" s="25"/>
      <c r="J212" s="18"/>
      <c r="K212" s="3" t="n">
        <v>5415.8662</v>
      </c>
      <c r="L212" s="68" t="n">
        <f aca="false">+(K212/K211-1)/(F212-A211)*30</f>
        <v>0.00794552771901819</v>
      </c>
      <c r="M212" s="19" t="n">
        <f aca="false">+M211*(1+L212)</f>
        <v>109.507921309569</v>
      </c>
    </row>
    <row r="213" customFormat="false" ht="15" hidden="false" customHeight="false" outlineLevel="0" collapsed="false">
      <c r="A213" s="17" t="n">
        <v>45044</v>
      </c>
      <c r="B213" s="3" t="n">
        <v>21706.94</v>
      </c>
      <c r="C213" s="25" t="n">
        <f aca="false">(B213/B212-1)/(A213-A212)*30</f>
        <v>0.00941276133557894</v>
      </c>
      <c r="D213" s="19" t="n">
        <f aca="false">+D212*(1+C213)</f>
        <v>114.252275103434</v>
      </c>
      <c r="F213" s="17" t="n">
        <v>45044</v>
      </c>
      <c r="I213" s="25"/>
      <c r="J213" s="18"/>
      <c r="K213" s="3" t="n">
        <v>5456.2587</v>
      </c>
      <c r="L213" s="68" t="n">
        <f aca="false">+(K213/K212-1)/(F213-A212)*30</f>
        <v>0.00799090615854378</v>
      </c>
      <c r="M213" s="19" t="n">
        <f aca="false">+M212*(1+L213)</f>
        <v>110.382988832371</v>
      </c>
    </row>
    <row r="214" customFormat="false" ht="15" hidden="false" customHeight="false" outlineLevel="0" collapsed="false">
      <c r="A214" s="17" t="n">
        <v>45077</v>
      </c>
      <c r="B214" s="3" t="n">
        <v>21931.86</v>
      </c>
      <c r="C214" s="25" t="n">
        <f aca="false">(B214/B213-1)/(A214-A213)*30</f>
        <v>0.00941969376027792</v>
      </c>
      <c r="D214" s="19" t="n">
        <f aca="false">+D213*(1+C214)</f>
        <v>115.328496546323</v>
      </c>
      <c r="F214" s="17" t="n">
        <v>45077</v>
      </c>
      <c r="I214" s="25"/>
      <c r="J214" s="18"/>
      <c r="K214" s="18" t="n">
        <v>5504.4106</v>
      </c>
      <c r="L214" s="68" t="n">
        <f aca="false">+(K214/K213-1)/(F214-A213)*30</f>
        <v>0.00802279674632251</v>
      </c>
      <c r="M214" s="19" t="n">
        <f aca="false">+M213*(1+L214)</f>
        <v>111.268569116025</v>
      </c>
    </row>
    <row r="215" customFormat="false" ht="15" hidden="false" customHeight="false" outlineLevel="0" collapsed="false">
      <c r="A215" s="17" t="n">
        <v>45107</v>
      </c>
      <c r="B215" s="3" t="n">
        <v>22138.35</v>
      </c>
      <c r="C215" s="25" t="n">
        <f aca="false">(B215/B214-1)/(A215-A214)*30</f>
        <v>0.00941507013085063</v>
      </c>
      <c r="D215" s="19" t="n">
        <f aca="false">+D214*(1+C215)</f>
        <v>116.414322429392</v>
      </c>
      <c r="F215" s="17" t="n">
        <v>45107</v>
      </c>
      <c r="I215" s="25"/>
      <c r="J215" s="18"/>
      <c r="K215" s="3" t="n">
        <v>5548.4618</v>
      </c>
      <c r="L215" s="68" t="n">
        <f aca="false">+(K215/K214-1)/(F215-A214)*30</f>
        <v>0.00800289135407151</v>
      </c>
      <c r="M215" s="19" t="n">
        <f aca="false">+M214*(1+L215)</f>
        <v>112.159039385783</v>
      </c>
    </row>
    <row r="216" customFormat="false" ht="15" hidden="false" customHeight="false" outlineLevel="0" collapsed="false">
      <c r="A216" s="17" t="n">
        <v>45138</v>
      </c>
      <c r="B216" s="3" t="n">
        <v>22353.79</v>
      </c>
      <c r="C216" s="25" t="n">
        <f aca="false">(B216/B215-1)/(A216-A215)*30</f>
        <v>0.00941760892662041</v>
      </c>
      <c r="D216" s="19" t="n">
        <f aca="false">+D215*(1+C216)</f>
        <v>117.51066699149</v>
      </c>
      <c r="F216" s="17" t="n">
        <v>45138</v>
      </c>
      <c r="I216" s="25"/>
      <c r="J216" s="18"/>
      <c r="K216" s="3" t="n">
        <v>5593.984</v>
      </c>
      <c r="L216" s="68" t="n">
        <f aca="false">+(K216/K215-1)/(F216-A215)*30</f>
        <v>0.00793981170339564</v>
      </c>
      <c r="M216" s="19" t="n">
        <f aca="false">+M215*(1+L216)</f>
        <v>113.04956103934</v>
      </c>
    </row>
    <row r="217" customFormat="false" ht="15" hidden="false" customHeight="false" outlineLevel="0" collapsed="false">
      <c r="A217" s="17" t="n">
        <v>45169</v>
      </c>
      <c r="B217" s="3" t="n">
        <v>22551.92</v>
      </c>
      <c r="C217" s="25" t="n">
        <f aca="false">(B217/B216-1)/(A217-A216)*30</f>
        <v>0.00857745866259888</v>
      </c>
      <c r="D217" s="19" t="n">
        <f aca="false">+D216*(1+C217)</f>
        <v>118.518609880024</v>
      </c>
      <c r="F217" s="17" t="n">
        <v>45175</v>
      </c>
      <c r="I217" s="25"/>
      <c r="J217" s="18"/>
      <c r="K217" s="18" t="n">
        <v>5636.4775</v>
      </c>
      <c r="L217" s="68" t="n">
        <f aca="false">+(K217/K216-1)/(F217-A216)*30</f>
        <v>0.00615915047114707</v>
      </c>
      <c r="M217" s="19" t="n">
        <v>100</v>
      </c>
    </row>
    <row r="218" customFormat="false" ht="15" hidden="false" customHeight="false" outlineLevel="0" collapsed="false">
      <c r="A218" s="17" t="n">
        <v>45199</v>
      </c>
      <c r="B218" s="3" t="n">
        <v>22727.72</v>
      </c>
      <c r="C218" s="25" t="n">
        <f aca="false">(B218/B217-1)/(A218-A217)*30</f>
        <v>0.00779534514134506</v>
      </c>
      <c r="D218" s="19" t="n">
        <v>100</v>
      </c>
      <c r="F218" s="17" t="n">
        <v>45199</v>
      </c>
      <c r="I218" s="25"/>
      <c r="J218" s="18"/>
      <c r="K218" s="18" t="n">
        <v>5674.7198</v>
      </c>
      <c r="L218" s="68" t="n">
        <f aca="false">+(K218/K217-1)/(F218-A217)*30</f>
        <v>0.00678478712990516</v>
      </c>
      <c r="M218" s="19" t="n">
        <v>100</v>
      </c>
    </row>
    <row r="219" customFormat="false" ht="15" hidden="false" customHeight="false" outlineLevel="0" collapsed="false">
      <c r="A219" s="17" t="n">
        <v>45230</v>
      </c>
      <c r="B219" s="19" t="n">
        <v>22920</v>
      </c>
      <c r="C219" s="25" t="n">
        <f aca="false">(B219/B218-1)/(A219-A218)*30</f>
        <v>0.0081872453266249</v>
      </c>
      <c r="D219" s="19" t="n">
        <f aca="false">+D218*(1+C219)</f>
        <v>100.818724532663</v>
      </c>
      <c r="F219" s="17" t="n">
        <v>45237</v>
      </c>
      <c r="I219" s="25"/>
      <c r="J219" s="18"/>
      <c r="K219" s="3" t="n">
        <v>5712.6049</v>
      </c>
      <c r="L219" s="68" t="n">
        <f aca="false">+(K219/K218-1)/(F219-A218)*30</f>
        <v>0.00527061961256391</v>
      </c>
      <c r="M219" s="19" t="n">
        <f aca="false">+M218*(1+L219)</f>
        <v>100.527061961256</v>
      </c>
    </row>
    <row r="220" customFormat="false" ht="15" hidden="false" customHeight="false" outlineLevel="0" collapsed="false">
      <c r="A220" s="17" t="n">
        <v>45260</v>
      </c>
      <c r="B220" s="3" t="n">
        <v>23092.51</v>
      </c>
      <c r="C220" s="25" t="n">
        <f aca="false">(B220/B219-1)/(A220-A219)*30</f>
        <v>0.00752661431064561</v>
      </c>
      <c r="D220" s="19" t="n">
        <f aca="false">+D219*(1+C220)</f>
        <v>101.577548187511</v>
      </c>
      <c r="F220" s="17" t="n">
        <v>45260</v>
      </c>
      <c r="I220" s="25"/>
      <c r="J220" s="18"/>
      <c r="K220" s="18" t="n">
        <v>5747.8492</v>
      </c>
      <c r="L220" s="68" t="n">
        <f aca="false">+(K220/K219-1)/(F220-A219)*30</f>
        <v>0.00616956723192952</v>
      </c>
      <c r="M220" s="19" t="n">
        <f aca="false">+M219*(1+L220)</f>
        <v>101.147270428655</v>
      </c>
    </row>
    <row r="221" customFormat="false" ht="15" hidden="false" customHeight="false" outlineLevel="0" collapsed="false">
      <c r="A221" s="17" t="n">
        <v>45291</v>
      </c>
      <c r="B221" s="3" t="n">
        <v>23256.05</v>
      </c>
      <c r="C221" s="25" t="n">
        <f aca="false">(B221/B220-1)/(A221-A220)*30</f>
        <v>0.00685349994994187</v>
      </c>
      <c r="D221" s="19" t="n">
        <f aca="false">+D220*(1+C221)</f>
        <v>102.273709908929</v>
      </c>
      <c r="F221" s="17" t="n">
        <v>45291</v>
      </c>
      <c r="I221" s="25"/>
      <c r="J221" s="18"/>
      <c r="K221" s="3" t="n">
        <v>5782.92</v>
      </c>
      <c r="L221" s="25" t="n">
        <f aca="false">+(K221/K220-1)/(F221-F220)*30</f>
        <v>0.00590472761028043</v>
      </c>
      <c r="M221" s="19" t="n">
        <f aca="false">+M220*(1+L221)</f>
        <v>101.744517509059</v>
      </c>
    </row>
    <row r="222" customFormat="false" ht="15" hidden="false" customHeight="false" outlineLevel="0" collapsed="false">
      <c r="A222" s="17" t="n">
        <v>45322</v>
      </c>
      <c r="B222" s="3" t="n">
        <v>23427.15</v>
      </c>
      <c r="C222" s="25" t="n">
        <f aca="false">(B222/B221-1)/(A222-A221)*30</f>
        <v>0.00711989547499661</v>
      </c>
      <c r="D222" s="19" t="n">
        <f aca="false">+D221*(1+C222)</f>
        <v>103.001888033321</v>
      </c>
      <c r="F222" s="17" t="n">
        <v>45322</v>
      </c>
      <c r="I222" s="25"/>
      <c r="J222" s="18"/>
      <c r="K222" s="18" t="n">
        <v>5816.8769</v>
      </c>
      <c r="L222" s="25" t="n">
        <f aca="false">+(K222/K221-1)/(F222-F221)*30</f>
        <v>0.00568251266298558</v>
      </c>
      <c r="M222" s="19" t="n">
        <f aca="false">+M221*(1+L222)</f>
        <v>102.322682018194</v>
      </c>
    </row>
    <row r="223" customFormat="false" ht="15" hidden="false" customHeight="false" outlineLevel="0" collapsed="false">
      <c r="A223" s="17" t="n">
        <v>45351</v>
      </c>
      <c r="B223" s="3" t="n">
        <v>23570.34</v>
      </c>
      <c r="C223" s="25" t="n">
        <f aca="false">(B223/B222-1)/(A223-A222)*30</f>
        <v>0.00632290253858852</v>
      </c>
      <c r="D223" s="19" t="n">
        <f aca="false">+D222*(1+C223)</f>
        <v>103.653158932646</v>
      </c>
      <c r="F223" s="17" t="n">
        <v>45351</v>
      </c>
      <c r="I223" s="25"/>
      <c r="J223" s="18"/>
      <c r="K223" s="3" t="n">
        <v>5846.4552</v>
      </c>
      <c r="L223" s="25" t="n">
        <f aca="false">+(K223/K222-1)/(F223-F222)*30</f>
        <v>0.005260252521299</v>
      </c>
      <c r="M223" s="19" t="n">
        <f aca="false">+M222*(1+L223)</f>
        <v>102.860925164266</v>
      </c>
    </row>
    <row r="224" customFormat="false" ht="15" hidden="false" customHeight="false" outlineLevel="0" collapsed="false">
      <c r="A224" s="17" t="n">
        <v>45379</v>
      </c>
      <c r="B224" s="3" t="n">
        <v>23703.45</v>
      </c>
      <c r="C224" s="25" t="n">
        <f aca="false">(B224/B223-1)/(A224-A223)*30</f>
        <v>0.00605073397935101</v>
      </c>
      <c r="D224" s="19" t="n">
        <f aca="false">+D223*(1+C224)</f>
        <v>104.280336623467</v>
      </c>
      <c r="F224" s="17" t="n">
        <v>45400</v>
      </c>
      <c r="G224" s="4" t="n">
        <v>1000</v>
      </c>
      <c r="H224" s="4" t="n">
        <f aca="false">+G224+$S$148+$S$150+$S$152+$S$154+$S$156+$S$158</f>
        <v>1000</v>
      </c>
      <c r="I224" s="25" t="n">
        <v>0</v>
      </c>
      <c r="J224" s="18" t="n">
        <v>100</v>
      </c>
      <c r="K224" s="18" t="n">
        <v>5872.4728</v>
      </c>
      <c r="L224" s="25" t="n">
        <f aca="false">+(K224/K223-1)/(F224-F223)*30</f>
        <v>0.00272458135951212</v>
      </c>
      <c r="M224" s="19" t="n">
        <v>100</v>
      </c>
    </row>
    <row r="225" customFormat="false" ht="15" hidden="false" customHeight="false" outlineLevel="0" collapsed="false">
      <c r="A225" s="17" t="n">
        <v>45412</v>
      </c>
      <c r="B225" s="3" t="n">
        <v>23847.87</v>
      </c>
      <c r="C225" s="25" t="n">
        <f aca="false">(B225/B224-1)/(A225-A224)*30</f>
        <v>0.00553889451075303</v>
      </c>
      <c r="D225" s="19" t="n">
        <f aca="false">+D224*(1+C225)</f>
        <v>104.85793440757</v>
      </c>
      <c r="F225" s="17" t="n">
        <v>45412</v>
      </c>
      <c r="G225" s="4" t="n">
        <v>1005.8464</v>
      </c>
      <c r="H225" s="4" t="n">
        <f aca="false">+G225+$S$148+$S$150+$S$152+$S$154+$S$156+$S$158</f>
        <v>1005.8464</v>
      </c>
      <c r="I225" s="25" t="n">
        <f aca="false">+(H225/H224-1)/(F225-F224)*12</f>
        <v>0.00584640000000003</v>
      </c>
      <c r="J225" s="18" t="n">
        <f aca="false">+J224*(1+I225)</f>
        <v>100.58464</v>
      </c>
      <c r="K225" s="3" t="n">
        <v>5900.1916</v>
      </c>
      <c r="L225" s="25" t="n">
        <f aca="false">+(K225/K224-1)/(F225-F224)*12</f>
        <v>0.00472012403360989</v>
      </c>
      <c r="M225" s="19" t="n">
        <f aca="false">+M224*(1+L225)</f>
        <v>100.472012403361</v>
      </c>
    </row>
    <row r="226" customFormat="false" ht="15" hidden="false" customHeight="false" outlineLevel="0" collapsed="false">
      <c r="A226" s="17" t="n">
        <v>45443</v>
      </c>
      <c r="B226" s="3" t="n">
        <v>23979.37</v>
      </c>
      <c r="C226" s="25" t="n">
        <f aca="false">(B226/B225-1)/(A226-A225)*30</f>
        <v>0.00533624447450137</v>
      </c>
      <c r="D226" s="19" t="n">
        <f aca="false">+D225*(1+C226)</f>
        <v>105.41748198066</v>
      </c>
      <c r="F226" s="17" t="n">
        <v>45443</v>
      </c>
      <c r="G226" s="4" t="n">
        <v>1012.8819</v>
      </c>
      <c r="H226" s="4" t="n">
        <f aca="false">+G226+$S$148+$S$150+$S$152+$S$154+$S$156+$S$158</f>
        <v>1012.8819</v>
      </c>
      <c r="I226" s="25" t="n">
        <f aca="false">+(H226/H225-1)/(F226-F225)*30</f>
        <v>0.00676897425600634</v>
      </c>
      <c r="J226" s="18" t="n">
        <f aca="false">+J225*(1+I226)</f>
        <v>101.26549483871</v>
      </c>
      <c r="K226" s="3" t="n">
        <v>5924.7824</v>
      </c>
      <c r="L226" s="25" t="n">
        <f aca="false">+(K226/K225-1)/(F226-F225)*30</f>
        <v>0.00403335179608358</v>
      </c>
      <c r="M226" s="19" t="n">
        <f aca="false">+M225*(1+L226)</f>
        <v>100.877251375044</v>
      </c>
    </row>
    <row r="227" customFormat="false" ht="15" hidden="false" customHeight="false" outlineLevel="0" collapsed="false">
      <c r="A227" s="17" t="n">
        <v>45473</v>
      </c>
      <c r="B227" s="19" t="n">
        <v>24090</v>
      </c>
      <c r="C227" s="25" t="n">
        <f aca="false">(B227/B226-1)/(A227-A226)*30</f>
        <v>0.00461354906321554</v>
      </c>
      <c r="D227" s="19" t="n">
        <f aca="false">+D226*(1+C227)</f>
        <v>105.903830705899</v>
      </c>
      <c r="F227" s="17" t="n">
        <v>45473</v>
      </c>
      <c r="G227" s="4" t="n">
        <v>1018.8107</v>
      </c>
      <c r="H227" s="4" t="n">
        <f aca="false">+G227+$S$148+$S$150+$S$152+$S$154+$S$156+$S$158</f>
        <v>1018.8107</v>
      </c>
      <c r="I227" s="25" t="n">
        <f aca="false">+(H227/H226-1)/(F227-F226)*30</f>
        <v>0.00585339712359367</v>
      </c>
      <c r="J227" s="18" t="n">
        <f aca="false">+J226*(1+I227)</f>
        <v>101.858241994918</v>
      </c>
      <c r="K227" s="3" t="n">
        <v>5946.409</v>
      </c>
      <c r="L227" s="25" t="n">
        <f aca="false">+(K227/K226-1)/(F227-F226)*30</f>
        <v>0.00365019312776771</v>
      </c>
      <c r="M227" s="19" t="n">
        <f aca="false">+M226*(1+L227)</f>
        <v>101.245472824761</v>
      </c>
    </row>
    <row r="228" customFormat="false" ht="15" hidden="false" customHeight="false" outlineLevel="0" collapsed="false">
      <c r="A228" s="17" t="n">
        <v>45504</v>
      </c>
      <c r="B228" s="3" t="n">
        <v>24217.3</v>
      </c>
      <c r="C228" s="25" t="n">
        <f aca="false">(B228/B227-1)/(A228-A227)*30</f>
        <v>0.00511388743823562</v>
      </c>
      <c r="D228" s="19" t="n">
        <f aca="false">+D227*(1+C228)</f>
        <v>106.445410975407</v>
      </c>
      <c r="F228" s="17" t="n">
        <v>45504</v>
      </c>
      <c r="G228" s="4" t="n">
        <v>1024.7784</v>
      </c>
      <c r="H228" s="4" t="n">
        <f aca="false">+G228+$S$148+$S$150+$S$152+$S$154+$S$156+$S$158</f>
        <v>1024.7784</v>
      </c>
      <c r="I228" s="25" t="n">
        <f aca="false">+(H228/H227-1)/(F228-F227)*30</f>
        <v>0.00566856389355447</v>
      </c>
      <c r="J228" s="18" t="n">
        <f aca="false">+J227*(1+I228)</f>
        <v>102.435631947751</v>
      </c>
      <c r="K228" s="3" t="n">
        <v>5968.019</v>
      </c>
      <c r="L228" s="25" t="n">
        <f aca="false">+(K228/K227-1)/(F228-F227)*30</f>
        <v>0.00351689620169189</v>
      </c>
      <c r="M228" s="19" t="n">
        <f aca="false">+M227*(1+L228)</f>
        <v>101.601542643577</v>
      </c>
    </row>
    <row r="229" customFormat="false" ht="15" hidden="false" customHeight="false" outlineLevel="0" collapsed="false">
      <c r="A229" s="17" t="n">
        <v>45535</v>
      </c>
      <c r="B229" s="3" t="n">
        <v>24333.6</v>
      </c>
      <c r="C229" s="25" t="n">
        <f aca="false">(B229/B228-1)/(A229-A228)*30</f>
        <v>0.004647437455735</v>
      </c>
      <c r="D229" s="19" t="n">
        <f aca="false">+D228*(1+C229)</f>
        <v>106.940109365365</v>
      </c>
      <c r="F229" s="17" t="n">
        <v>45535</v>
      </c>
      <c r="G229" s="4" t="n">
        <v>1030.0486</v>
      </c>
      <c r="H229" s="4" t="n">
        <f aca="false">+G229+$S$148+$S$150+$S$152+$S$154+$S$156+$S$158</f>
        <v>1030.0486</v>
      </c>
      <c r="I229" s="25" t="n">
        <f aca="false">+(H229/H228-1)/(F229-F228)*30</f>
        <v>0.00497687455979474</v>
      </c>
      <c r="J229" s="18" t="n">
        <f aca="false">+J228*(1+I229)</f>
        <v>102.945441238408</v>
      </c>
      <c r="K229" s="3" t="n">
        <v>5989.669</v>
      </c>
      <c r="L229" s="25" t="n">
        <f aca="false">+(K229/K228-1)/(F229-F228)*30</f>
        <v>0.00351064782186953</v>
      </c>
      <c r="M229" s="19" t="n">
        <f aca="false">+M228*(1+L229)</f>
        <v>101.958229877958</v>
      </c>
    </row>
    <row r="230" customFormat="false" ht="15" hidden="false" customHeight="false" outlineLevel="0" collapsed="false">
      <c r="A230" s="17" t="n">
        <v>45565</v>
      </c>
      <c r="B230" s="3" t="n">
        <v>24449.94</v>
      </c>
      <c r="C230" s="25" t="n">
        <f aca="false">(B230/B229-1)/(A230-A229)*30</f>
        <v>0.00478104349541386</v>
      </c>
      <c r="D230" s="19" t="n">
        <f aca="false">+D229*(1+C230)</f>
        <v>107.451394679645</v>
      </c>
      <c r="F230" s="17" t="n">
        <v>45565</v>
      </c>
      <c r="G230" s="4" t="n">
        <v>1035.8135</v>
      </c>
      <c r="H230" s="4" t="n">
        <f aca="false">+G230+$S$148+$S$150+$S$152+$S$154+$S$156+$S$158</f>
        <v>1035.8135</v>
      </c>
      <c r="I230" s="25" t="n">
        <f aca="false">+(H230/H229-1)/(F230-F229)*30</f>
        <v>0.00559672621272433</v>
      </c>
      <c r="J230" s="18" t="n">
        <f aca="false">+J229*(1+I230)</f>
        <v>103.521598687868</v>
      </c>
      <c r="K230" s="3" t="n">
        <v>6009.8868</v>
      </c>
      <c r="L230" s="25" t="n">
        <f aca="false">+(K230/K229-1)/(F230-F229)*30</f>
        <v>0.0033754452875443</v>
      </c>
      <c r="M230" s="19" t="n">
        <f aca="false">+M229*(1+L230)</f>
        <v>102.302384304526</v>
      </c>
    </row>
    <row r="231" customFormat="false" ht="15" hidden="false" customHeight="false" outlineLevel="0" collapsed="false">
      <c r="A231" s="17" t="n">
        <v>45596</v>
      </c>
      <c r="B231" s="3" t="n">
        <v>24560.22</v>
      </c>
      <c r="C231" s="25" t="n">
        <f aca="false">(B231/B230-1)/(A231-A230)*30</f>
        <v>0.00436494243524368</v>
      </c>
      <c r="D231" s="19" t="n">
        <f aca="false">+D230*(1+C231)</f>
        <v>107.920413832008</v>
      </c>
      <c r="F231" s="17" t="n">
        <v>45596</v>
      </c>
      <c r="G231" s="4" t="n">
        <v>1040.5856</v>
      </c>
      <c r="H231" s="4" t="n">
        <f aca="false">+G231+$S$148+$S$150+$S$152+$S$154+$S$156+$S$158</f>
        <v>1040.5856</v>
      </c>
      <c r="I231" s="25" t="n">
        <f aca="false">+(H231/H230-1)/(F231-F230)*30</f>
        <v>0.00445848725694599</v>
      </c>
      <c r="J231" s="18" t="n">
        <f aca="false">+J230*(1+I231)</f>
        <v>103.983148416436</v>
      </c>
      <c r="K231" s="3" t="n">
        <v>6030.3854</v>
      </c>
      <c r="L231" s="25" t="n">
        <f aca="false">+(K231/K230-1)/(F231-F230)*30</f>
        <v>0.00330078677001207</v>
      </c>
      <c r="M231" s="19" t="n">
        <f aca="false">+M230*(1+L231)</f>
        <v>102.640062661179</v>
      </c>
    </row>
    <row r="232" customFormat="false" ht="15" hidden="false" customHeight="false" outlineLevel="0" collapsed="false">
      <c r="A232" s="17" t="n">
        <v>45626</v>
      </c>
      <c r="B232" s="3" t="n">
        <v>24667.9</v>
      </c>
      <c r="C232" s="25" t="n">
        <f aca="false">(B232/B231-1)/(A232-A231)*30</f>
        <v>0.0043843255475724</v>
      </c>
      <c r="D232" s="19" t="n">
        <f aca="false">+D231*(1+C232)</f>
        <v>108.393572059477</v>
      </c>
      <c r="F232" s="17" t="n">
        <v>45626</v>
      </c>
      <c r="G232" s="4" t="n">
        <v>1045.0807</v>
      </c>
      <c r="H232" s="4" t="n">
        <f aca="false">+G232+$S$148+$S$150+$S$152+$S$154+$S$156+$S$158</f>
        <v>1045.0807</v>
      </c>
      <c r="I232" s="25" t="n">
        <f aca="false">+(H232/H231-1)/(F232-F231)*30</f>
        <v>0.00431977917049764</v>
      </c>
      <c r="J232" s="18" t="n">
        <f aca="false">+J231*(1+I232)</f>
        <v>104.432332655049</v>
      </c>
      <c r="K232" s="3" t="n">
        <v>6049.8055</v>
      </c>
      <c r="L232" s="25" t="n">
        <f aca="false">+(K232/K231-1)/(F232-F231)*30</f>
        <v>0.00322037460491331</v>
      </c>
      <c r="M232" s="19" t="n">
        <f aca="false">+M231*(1+L232)</f>
        <v>102.970602112419</v>
      </c>
    </row>
    <row r="233" customFormat="false" ht="15" hidden="false" customHeight="false" outlineLevel="0" collapsed="false">
      <c r="A233" s="17" t="n">
        <v>45657</v>
      </c>
      <c r="B233" s="3" t="n">
        <v>24777.58</v>
      </c>
      <c r="C233" s="25" t="n">
        <f aca="false">(B233/B232-1)/(A233-A232)*30</f>
        <v>0.00430283629672052</v>
      </c>
      <c r="D233" s="19" t="n">
        <f aca="false">+D232*(1+C233)</f>
        <v>108.859971855665</v>
      </c>
      <c r="F233" s="17" t="n">
        <v>45657</v>
      </c>
      <c r="G233" s="4" t="n">
        <v>1049.9006</v>
      </c>
      <c r="H233" s="4" t="n">
        <f aca="false">+G233+$S$148+$S$150+$S$152+$S$154+$S$156+$S$158</f>
        <v>1049.9006</v>
      </c>
      <c r="I233" s="25" t="n">
        <f aca="false">+(H233/H232-1)/(F233-F232)*30</f>
        <v>0.00446321452002568</v>
      </c>
      <c r="J233" s="18" t="n">
        <f aca="false">+J232*(1+I233)</f>
        <v>104.898436558515</v>
      </c>
      <c r="K233" s="3" t="n">
        <v>6069.3455</v>
      </c>
      <c r="L233" s="25" t="n">
        <f aca="false">+(K233/K232-1)/(F233-F232)*30</f>
        <v>0.00312566700191516</v>
      </c>
      <c r="M233" s="19" t="n">
        <f aca="false">+M232*(1+L233)</f>
        <v>103.29245392561</v>
      </c>
    </row>
    <row r="234" customFormat="false" ht="15" hidden="false" customHeight="false" outlineLevel="0" collapsed="false">
      <c r="A234" s="17" t="n">
        <v>45688</v>
      </c>
      <c r="B234" s="3" t="n">
        <v>24887.95</v>
      </c>
      <c r="C234" s="25" t="n">
        <f aca="false">(B234/B233-1)/(A234-A233)*30</f>
        <v>0.00431073887842782</v>
      </c>
      <c r="D234" s="19" t="n">
        <f aca="false">+D233*(1+C234)</f>
        <v>109.329238768648</v>
      </c>
      <c r="F234" s="17" t="n">
        <v>45688</v>
      </c>
      <c r="G234" s="4" t="n">
        <v>1053.7877</v>
      </c>
      <c r="H234" s="4" t="n">
        <f aca="false">+G234+$S$148+$S$150+$S$152+$S$154+$S$156+$S$158</f>
        <v>1053.7877</v>
      </c>
      <c r="I234" s="25" t="n">
        <f aca="false">+(H234/H233-1)/(F234-F233)*30</f>
        <v>0.00358291982823849</v>
      </c>
      <c r="J234" s="18" t="n">
        <f aca="false">+J233*(1+I234)</f>
        <v>105.274279246811</v>
      </c>
      <c r="K234" s="3" t="n">
        <v>6087.6762</v>
      </c>
      <c r="L234" s="25" t="n">
        <f aca="false">+(K234/K233-1)/(F234-F233)*30</f>
        <v>0.00292278419423869</v>
      </c>
      <c r="M234" s="19" t="n">
        <f aca="false">+M233*(1+L234)</f>
        <v>103.594355477327</v>
      </c>
    </row>
    <row r="235" customFormat="false" ht="15" hidden="false" customHeight="false" outlineLevel="0" collapsed="false">
      <c r="A235" s="17" t="n">
        <v>45716</v>
      </c>
      <c r="B235" s="3" t="n">
        <v>24984.92</v>
      </c>
      <c r="C235" s="25" t="n">
        <f aca="false">(B235/B234-1)/(A235-A234)*30</f>
        <v>0.0041745675546369</v>
      </c>
      <c r="D235" s="19" t="n">
        <f aca="false">+D234*(1+C235)</f>
        <v>109.785641061585</v>
      </c>
      <c r="F235" s="17" t="n">
        <v>45716</v>
      </c>
      <c r="G235" s="4" t="n">
        <v>1058.303</v>
      </c>
      <c r="H235" s="4" t="n">
        <f aca="false">+G235+$S$148+$S$150+$S$152+$S$154+$S$156+$S$158</f>
        <v>1058.303</v>
      </c>
      <c r="I235" s="25" t="n">
        <f aca="false">+(H235/H234-1)/(F235-F234)*30</f>
        <v>0.00459088811586199</v>
      </c>
      <c r="J235" s="18" t="n">
        <f aca="false">+J234*(1+I235)</f>
        <v>105.757581684312</v>
      </c>
      <c r="K235" s="3" t="n">
        <v>6104.4912</v>
      </c>
      <c r="L235" s="25" t="n">
        <f aca="false">+(K235/K234-1)/(F235-F234)*30</f>
        <v>0.00295943326101547</v>
      </c>
      <c r="M235" s="19" t="n">
        <f aca="false">+M234*(1+L235)</f>
        <v>103.90093605858</v>
      </c>
    </row>
    <row r="236" customFormat="false" ht="15" hidden="false" customHeight="false" outlineLevel="0" collapsed="false">
      <c r="A236" s="17" t="n">
        <v>45747</v>
      </c>
      <c r="B236" s="3" t="n">
        <v>25092.7</v>
      </c>
      <c r="C236" s="25" t="n">
        <f aca="false">(B236/B235-1)/(A236-A235)*30</f>
        <v>0.00417464717943687</v>
      </c>
      <c r="D236" s="19" t="n">
        <f aca="false">+D235*(1+C236)</f>
        <v>110.243957378385</v>
      </c>
      <c r="F236" s="17" t="n">
        <v>45747</v>
      </c>
      <c r="G236" s="4" t="n">
        <v>1063.6086</v>
      </c>
      <c r="H236" s="4" t="n">
        <f aca="false">+G236+$S$148+$S$150+$S$152+$S$154+$S$156+$S$158</f>
        <v>1063.6086</v>
      </c>
      <c r="I236" s="25" t="n">
        <f aca="false">+(H236/H235-1)/(F236-F235)*30</f>
        <v>0.00485158939632893</v>
      </c>
      <c r="J236" s="18" t="n">
        <f aca="false">+J235*(1+I236)</f>
        <v>106.270674046193</v>
      </c>
      <c r="K236" s="3" t="n">
        <v>6123.1882</v>
      </c>
      <c r="L236" s="25" t="n">
        <f aca="false">+(K236/K235-1)/(F236-F235)*30</f>
        <v>0.00296402605474173</v>
      </c>
      <c r="M236" s="19" t="n">
        <f aca="false">+M235*(1+L236)</f>
        <v>104.20890114017</v>
      </c>
    </row>
    <row r="237" customFormat="false" ht="15" hidden="false" customHeight="false" outlineLevel="0" collapsed="false">
      <c r="A237" s="17" t="n">
        <v>45777</v>
      </c>
      <c r="B237" s="3" t="n">
        <v>25197.48</v>
      </c>
      <c r="C237" s="25" t="n">
        <f aca="false">(B237/B236-1)/(A237-A236)*30</f>
        <v>0.00417571644342774</v>
      </c>
      <c r="D237" s="19" t="n">
        <f aca="false">+D236*(1+C237)</f>
        <v>110.704304883999</v>
      </c>
      <c r="F237" s="17" t="n">
        <v>45777</v>
      </c>
      <c r="G237" s="4" t="n">
        <v>1070.9973</v>
      </c>
      <c r="H237" s="4" t="n">
        <f aca="false">+G237+$S$148+$S$150+$S$152+$S$154+$S$156+$S$158</f>
        <v>1070.9973</v>
      </c>
      <c r="I237" s="25" t="n">
        <f aca="false">+(H237/H236-1)/(F237-F236)*30</f>
        <v>0.00694682235551691</v>
      </c>
      <c r="J237" s="18" t="n">
        <f aca="false">+J236*(1+I237)</f>
        <v>107.008917540393</v>
      </c>
      <c r="K237" s="3" t="n">
        <v>6141.4105</v>
      </c>
      <c r="L237" s="25" t="n">
        <f aca="false">+(K237/K236-1)/(F237-F236)*30</f>
        <v>0.00297594968581905</v>
      </c>
      <c r="M237" s="19" t="n">
        <f aca="false">+M236*(1+L237)</f>
        <v>104.519021586778</v>
      </c>
    </row>
    <row r="238" customFormat="false" ht="15" hidden="false" customHeight="false" outlineLevel="0" collapsed="false">
      <c r="A238" s="17" t="n">
        <v>45808</v>
      </c>
      <c r="B238" s="3" t="n">
        <v>25302.66</v>
      </c>
      <c r="C238" s="25" t="n">
        <f aca="false">(B238/B237-1)/(A238-A237)*30</f>
        <v>0.00403957446435886</v>
      </c>
      <c r="D238" s="19" t="n">
        <f aca="false">+D237*(1+C238)</f>
        <v>111.151503167103</v>
      </c>
      <c r="F238" s="17" t="n">
        <v>45808</v>
      </c>
      <c r="G238" s="4" t="n">
        <v>1077.4596</v>
      </c>
      <c r="H238" s="4" t="n">
        <f aca="false">+G238+$S$148+$S$150+$S$152+$S$154+$S$156+$S$158</f>
        <v>1077.4596</v>
      </c>
      <c r="I238" s="25" t="n">
        <f aca="false">+(H238/H237-1)/(F238-F237)*30</f>
        <v>0.00583926655060413</v>
      </c>
      <c r="J238" s="18" t="n">
        <f aca="false">+J237*(1+I238)</f>
        <v>107.633771133202</v>
      </c>
      <c r="K238" s="3" t="n">
        <v>6160.386</v>
      </c>
      <c r="L238" s="25" t="n">
        <f aca="false">+(K238/K237-1)/(F238-F237)*30</f>
        <v>0.00299009276399519</v>
      </c>
      <c r="M238" s="19" t="n">
        <f aca="false">+M237*(1+L238)</f>
        <v>104.831543156924</v>
      </c>
    </row>
    <row r="239" customFormat="false" ht="15" hidden="false" customHeight="false" outlineLevel="0" collapsed="false">
      <c r="A239" s="17" t="n">
        <v>45838</v>
      </c>
      <c r="B239" s="3" t="n">
        <v>25411.83</v>
      </c>
      <c r="C239" s="25" t="n">
        <f aca="false">(B239/B238-1)/(A239-A238)*30</f>
        <v>0.00431456613652492</v>
      </c>
      <c r="D239" s="19" t="n">
        <f aca="false">+D238*(1+C239)</f>
        <v>111.631073678691</v>
      </c>
      <c r="F239" s="17" t="n">
        <v>45838</v>
      </c>
      <c r="G239" s="4" t="n">
        <v>1083.4836</v>
      </c>
      <c r="H239" s="4" t="n">
        <f aca="false">+G239+$S$148+$S$150+$S$152+$S$154+$S$156+$S$158</f>
        <v>1083.4836</v>
      </c>
      <c r="I239" s="25" t="n">
        <f aca="false">+(H239/H238-1)/(F239-F238)*30</f>
        <v>0.00559092888494384</v>
      </c>
      <c r="J239" s="18" t="n">
        <f aca="false">+J238*(1+I239)</f>
        <v>108.235543893227</v>
      </c>
      <c r="K239" s="3" t="n">
        <v>6178.849</v>
      </c>
      <c r="L239" s="25" t="n">
        <f aca="false">+(K239/K238-1)/(F239-F238)*30</f>
        <v>0.00299705245742721</v>
      </c>
      <c r="M239" s="19" t="n">
        <f aca="false">+M238*(1+L239)</f>
        <v>105.145728790959</v>
      </c>
    </row>
    <row r="240" customFormat="false" ht="15" hidden="false" customHeight="false" outlineLevel="0" collapsed="false">
      <c r="A240" s="17" t="n">
        <v>45869</v>
      </c>
      <c r="B240" s="3" t="n">
        <v>25521.26</v>
      </c>
      <c r="C240" s="25" t="n">
        <f aca="false">(B240/B239-1)/(A240-A239)*30</f>
        <v>0.00416735040333568</v>
      </c>
      <c r="D240" s="19" t="n">
        <f aca="false">+D239*(1+C240)</f>
        <v>112.096279478611</v>
      </c>
      <c r="F240" s="17" t="n">
        <v>45869</v>
      </c>
      <c r="G240" s="4" t="n">
        <v>1089.8893</v>
      </c>
      <c r="H240" s="4" t="n">
        <f aca="false">+G240+$S$148+$S$150+$S$152+$S$154+$S$156+$S$158</f>
        <v>1089.8893</v>
      </c>
      <c r="I240" s="25" t="n">
        <f aca="false">+(H240/H239-1)/(F240-F239)*30</f>
        <v>0.00572141979456725</v>
      </c>
      <c r="J240" s="18" t="n">
        <f aca="false">+J239*(1+I240)</f>
        <v>108.854804876533</v>
      </c>
      <c r="K240" s="3" t="n">
        <v>6197.08</v>
      </c>
      <c r="L240" s="25" t="n">
        <f aca="false">+(K240/K239-1)/(F240-F239)*30</f>
        <v>0.00285537051088415</v>
      </c>
      <c r="M240" s="19" t="n">
        <f aca="false">+M239*(1+L240)</f>
        <v>105.445958804294</v>
      </c>
    </row>
    <row r="241" customFormat="false" ht="15" hidden="false" customHeight="false" outlineLevel="0" collapsed="false">
      <c r="A241" s="17" t="n">
        <v>45900</v>
      </c>
      <c r="B241" s="3" t="n">
        <v>25619.09</v>
      </c>
      <c r="C241" s="25" t="n">
        <f aca="false">(B241/B240-1)/(A241-A240)*30</f>
        <v>0.00370962066717663</v>
      </c>
      <c r="D241" s="19" t="n">
        <f aca="false">+D240*(1+C241)</f>
        <v>112.512114153679</v>
      </c>
      <c r="F241" s="17" t="n">
        <v>45900</v>
      </c>
      <c r="G241" s="4" t="n">
        <v>1096.1978</v>
      </c>
      <c r="H241" s="4" t="n">
        <f aca="false">+G241+$S$148+$S$150+$S$152+$S$154+$S$156+$S$158</f>
        <v>1096.1978</v>
      </c>
      <c r="I241" s="25" t="n">
        <f aca="false">+(H241/H240-1)/(F241-F240)*30</f>
        <v>0.00560148631608714</v>
      </c>
      <c r="J241" s="18" t="n">
        <f aca="false">+J240*(1+I241)</f>
        <v>109.464553576489</v>
      </c>
      <c r="K241" s="3" t="n">
        <v>6215.6746</v>
      </c>
      <c r="L241" s="25" t="n">
        <f aca="false">+(K241/K240-1)/(F241-F240)*30</f>
        <v>0.00290375050726291</v>
      </c>
      <c r="M241" s="19" t="n">
        <f aca="false">+M240*(1+L241)</f>
        <v>105.752147560661</v>
      </c>
    </row>
    <row r="242" customFormat="false" ht="15" hidden="false" customHeight="false" outlineLevel="0" collapsed="false">
      <c r="A242" s="17" t="n">
        <v>45930</v>
      </c>
      <c r="B242" s="3" t="n">
        <v>25727.46</v>
      </c>
      <c r="C242" s="25" t="n">
        <f aca="false">(B242/B241-1)/(A242-A241)*30</f>
        <v>0.00423004876441735</v>
      </c>
      <c r="D242" s="19" t="n">
        <f aca="false">+D241*(1+C242)</f>
        <v>112.988045883136</v>
      </c>
      <c r="F242" s="17" t="n">
        <v>45930</v>
      </c>
      <c r="G242" s="4" t="n">
        <v>1101.8984</v>
      </c>
      <c r="H242" s="4" t="n">
        <f aca="false">+G242+$S$148+$S$150+$S$152+$S$154+$S$156+$S$158</f>
        <v>1101.8984</v>
      </c>
      <c r="I242" s="25" t="n">
        <f aca="false">+(H242/H241-1)/(F242-F241)*30</f>
        <v>0.00520033884395699</v>
      </c>
      <c r="J242" s="18" t="n">
        <f aca="false">+J241*(1+I242)</f>
        <v>110.033806346489</v>
      </c>
      <c r="K242" s="3" t="n">
        <v>6232.8399</v>
      </c>
      <c r="L242" s="25" t="n">
        <f aca="false">+(K242/K241-1)/(F242-F241)*30</f>
        <v>0.00276161496613736</v>
      </c>
      <c r="M242" s="19" t="n">
        <f aca="false">+M241*(1+L242)</f>
        <v>106.044194274065</v>
      </c>
    </row>
    <row r="243" customFormat="false" ht="15" hidden="false" customHeight="false" outlineLevel="0" collapsed="false">
      <c r="A243" s="17" t="n">
        <v>45961</v>
      </c>
      <c r="B243" s="3" t="n">
        <v>25829.5</v>
      </c>
      <c r="C243" s="25" t="n">
        <f aca="false">(B243/B242-1)/(A243-A242)*30</f>
        <v>0.00383824859106876</v>
      </c>
      <c r="D243" s="19" t="n">
        <f aca="false">+D242*(1+C243)</f>
        <v>113.421722091055</v>
      </c>
      <c r="F243" s="17" t="n">
        <v>45961</v>
      </c>
      <c r="G243" s="4" t="n">
        <v>1108.1141</v>
      </c>
      <c r="H243" s="4" t="n">
        <f aca="false">+G243+$S$148+$S$150+$S$152+$S$154+$S$156+$S$158</f>
        <v>1108.1141</v>
      </c>
      <c r="I243" s="25" t="n">
        <f aca="false">+(H243/H242-1)/(F243-F242)*30</f>
        <v>0.00545893663915582</v>
      </c>
      <c r="J243" s="18" t="n">
        <f aca="false">+J242*(1+I243)</f>
        <v>110.6344739235</v>
      </c>
      <c r="K243" s="3" t="n">
        <v>6250.6982</v>
      </c>
      <c r="L243" s="25" t="n">
        <f aca="false">+(K243/K242-1)/(F243-F242)*30</f>
        <v>0.00277276908820515</v>
      </c>
      <c r="M243" s="19" t="n">
        <f aca="false">+M242*(1+L243)</f>
        <v>106.338230337932</v>
      </c>
    </row>
    <row r="244" customFormat="false" ht="15" hidden="false" customHeight="false" outlineLevel="0" collapsed="false">
      <c r="A244" s="17" t="n">
        <v>45991</v>
      </c>
      <c r="B244" s="3" t="n">
        <v>25928.49</v>
      </c>
      <c r="C244" s="25" t="n">
        <f aca="false">(B244/B243-1)/(A244-A243)*30</f>
        <v>0.00383243965233548</v>
      </c>
      <c r="D244" s="19" t="n">
        <f aca="false">+D243*(1+C244)</f>
        <v>113.856403996233</v>
      </c>
      <c r="F244" s="17" t="n">
        <v>45991</v>
      </c>
      <c r="G244" s="4" t="n">
        <v>1113.9827</v>
      </c>
      <c r="H244" s="4" t="n">
        <f aca="false">+G244+$S$148+$S$150+$S$152+$S$154+$S$156+$S$158</f>
        <v>1113.9827</v>
      </c>
      <c r="I244" s="25" t="n">
        <f aca="false">+(H244/H243-1)/(F244-F243)*30</f>
        <v>0.00529602502125015</v>
      </c>
      <c r="J244" s="18" t="n">
        <f aca="false">+J243*(1+I244)</f>
        <v>111.220396865612</v>
      </c>
      <c r="K244" s="3" t="n">
        <v>6268.169</v>
      </c>
      <c r="L244" s="25" t="n">
        <f aca="false">+(K244/K243-1)/(F244-F243)*30</f>
        <v>0.00279501576319907</v>
      </c>
      <c r="M244" s="19" t="n">
        <f aca="false">+M243*(1+L244)</f>
        <v>106.635447367957</v>
      </c>
    </row>
    <row r="245" customFormat="false" ht="15" hidden="false" customHeight="false" outlineLevel="0" collapsed="false">
      <c r="A245" s="17" t="n">
        <v>46022</v>
      </c>
      <c r="B245" s="3" t="n">
        <v>26035.82</v>
      </c>
      <c r="C245" s="25" t="n">
        <f aca="false">(B245/B244-1)/(A245-A244)*30</f>
        <v>0.00400593100236385</v>
      </c>
      <c r="D245" s="19" t="n">
        <f aca="false">+D244*(1+C245)</f>
        <v>114.312504894819</v>
      </c>
      <c r="F245" s="17" t="n">
        <v>46022</v>
      </c>
      <c r="G245" s="69" t="n">
        <v>1120.4391</v>
      </c>
      <c r="H245" s="4" t="n">
        <f aca="false">+G245+$S$148+$S$150+$S$152+$S$154+$S$156+$S$158</f>
        <v>1120.4391</v>
      </c>
      <c r="I245" s="25" t="n">
        <f aca="false">+(H245/H244-1)/(F245-F244)*30</f>
        <v>0.00560882052500281</v>
      </c>
      <c r="J245" s="18" t="n">
        <f aca="false">+J244*(1+I245)</f>
        <v>111.844212110351</v>
      </c>
      <c r="K245" s="3" t="n">
        <v>6285.9566</v>
      </c>
      <c r="L245" s="25" t="n">
        <f aca="false">+(K245/K244-1)/(F245-F244)*30</f>
        <v>0.00274622564446067</v>
      </c>
      <c r="M245" s="19" t="n">
        <f aca="false">+M244*(1+L245)</f>
        <v>106.928292368128</v>
      </c>
    </row>
    <row r="246" customFormat="false" ht="15.75" hidden="false" customHeight="true" outlineLevel="0" collapsed="false">
      <c r="A246" s="17" t="n">
        <v>46053</v>
      </c>
      <c r="B246" s="3" t="n">
        <v>26136.9</v>
      </c>
      <c r="C246" s="25" t="n">
        <f aca="false">(B246/B245-1)/(A246-A245)*30</f>
        <v>0.00375710674135526</v>
      </c>
      <c r="D246" s="19" t="n">
        <f aca="false">+D245*(1+C246)</f>
        <v>114.741989177581</v>
      </c>
      <c r="F246" s="17" t="n">
        <v>46053</v>
      </c>
      <c r="G246" s="69" t="n">
        <v>1126.4094</v>
      </c>
      <c r="H246" s="4" t="n">
        <f aca="false">+G246+$S$148+$S$150+$S$152+$S$154+$S$156+$S$158</f>
        <v>1126.4094</v>
      </c>
      <c r="I246" s="25" t="n">
        <f aca="false">+(H246/H245-1)/(F246-F245)*30</f>
        <v>0.00515664767270199</v>
      </c>
      <c r="J246" s="18" t="n">
        <f aca="false">+J245*(1+I246)</f>
        <v>112.420953306435</v>
      </c>
      <c r="K246" s="3" t="n">
        <v>6303.0823</v>
      </c>
      <c r="L246" s="25" t="n">
        <f aca="false">+(K246/K245-1)/(F246-F245)*30</f>
        <v>0.00263655305296194</v>
      </c>
      <c r="M246" s="19" t="n">
        <f aca="false">+M245*(1+L246)</f>
        <v>107.210214483819</v>
      </c>
    </row>
    <row r="247" customFormat="false" ht="16.5" hidden="false" customHeight="true" outlineLevel="0" collapsed="false">
      <c r="A247" s="70" t="n">
        <v>46081</v>
      </c>
      <c r="B247" s="71" t="n">
        <v>26231.81</v>
      </c>
      <c r="C247" s="25" t="n">
        <f aca="false">(B247/B246-1)/(A247-A246)*30</f>
        <v>0.00389064065418173</v>
      </c>
      <c r="D247" s="19" t="n">
        <f aca="false">+D246*(1+C247)</f>
        <v>115.188409025417</v>
      </c>
      <c r="F247" s="70" t="n">
        <v>46081</v>
      </c>
      <c r="G247" s="69" t="n">
        <v>1132.382</v>
      </c>
      <c r="H247" s="4" t="n">
        <f aca="false">+G247+$S$148+$S$150+$S$152+$S$154+$S$156+$S$158</f>
        <v>1132.382</v>
      </c>
      <c r="I247" s="25" t="n">
        <f aca="false">+(H247/H246-1)/(F247-F246)*30</f>
        <v>0.00568107322765085</v>
      </c>
      <c r="J247" s="18" t="n">
        <f aca="false">+J246*(1+I247)</f>
        <v>113.059624974491</v>
      </c>
      <c r="K247" s="72" t="n">
        <v>6318.4947</v>
      </c>
      <c r="L247" s="25" t="n">
        <f aca="false">+(K247/K246-1)/(F247-F246)*30</f>
        <v>0.00261987467850238</v>
      </c>
      <c r="M247" s="19" t="n">
        <f aca="false">+M246*(1+L247)</f>
        <v>107.491091810022</v>
      </c>
    </row>
    <row r="248" customFormat="false" ht="16.5" hidden="false" customHeight="true" outlineLevel="0" collapsed="false">
      <c r="A248" s="70" t="n">
        <v>46112</v>
      </c>
      <c r="B248" s="71" t="n">
        <v>26333.64</v>
      </c>
      <c r="C248" s="25" t="n">
        <f aca="false">(B248/B247-1)/(A248-A247)*30</f>
        <v>0.00375670459988545</v>
      </c>
      <c r="D248" s="19" t="n">
        <f aca="false">+D247*(1+C248)</f>
        <v>115.621137851456</v>
      </c>
      <c r="F248" s="70" t="n">
        <v>46112</v>
      </c>
      <c r="G248" s="73" t="n">
        <v>1138.6966</v>
      </c>
      <c r="H248" s="4" t="n">
        <f aca="false">+G248+$S$148+$S$150+$S$152+$S$154+$S$156+$S$158</f>
        <v>1138.6966</v>
      </c>
      <c r="I248" s="25" t="n">
        <f aca="false">+(H248/H247-1)/(F248-F247)*30</f>
        <v>0.00539650332291247</v>
      </c>
      <c r="J248" s="18" t="n">
        <f aca="false">+J247*(1+I248)</f>
        <v>113.669751616353</v>
      </c>
      <c r="K248" s="74" t="n">
        <v>6335.4774</v>
      </c>
      <c r="L248" s="25" t="n">
        <f aca="false">+(K248/K247-1)/(F248-F247)*30</f>
        <v>0.00260107379179124</v>
      </c>
      <c r="M248" s="19" t="n">
        <f aca="false">+M247*(1+L248)</f>
        <v>107.77068407178</v>
      </c>
    </row>
    <row r="249" customFormat="false" ht="15" hidden="false" customHeight="false" outlineLevel="0" collapsed="false">
      <c r="A249" s="17" t="n">
        <v>46142</v>
      </c>
      <c r="B249" s="3" t="n">
        <v>19635.3400812264</v>
      </c>
      <c r="C249" s="25" t="n">
        <f aca="false">(B249/B248-1)/(A249-A248)*30</f>
        <v>-0.254362857499898</v>
      </c>
      <c r="D249" s="19" t="n">
        <f aca="false">+D248*(1+C249)</f>
        <v>86.2114148401699</v>
      </c>
      <c r="F249" s="17" t="n">
        <v>46142</v>
      </c>
      <c r="G249" s="75" t="n">
        <v>1145.1374</v>
      </c>
      <c r="H249" s="4" t="n">
        <f aca="false">+G249+$S$148+$S$150+$S$152+$S$154+$S$156+$S$158</f>
        <v>1145.1374</v>
      </c>
      <c r="I249" s="25" t="n">
        <f aca="false">+(H249/H248-1)/(F249-F248)*30</f>
        <v>0.00565629158811931</v>
      </c>
      <c r="J249" s="18" t="n">
        <f aca="false">+J248*(1+I249)</f>
        <v>114.312700876244</v>
      </c>
      <c r="L249" s="25" t="n">
        <f aca="false">+(K249/K248-1)/(F249-F248)*30</f>
        <v>-1</v>
      </c>
      <c r="M249" s="19" t="n">
        <f aca="false">+M248*(1+L249)</f>
        <v>0</v>
      </c>
    </row>
  </sheetData>
  <mergeCells count="6">
    <mergeCell ref="AV29:AV30"/>
    <mergeCell ref="AC74:AC76"/>
    <mergeCell ref="AC77:AC79"/>
    <mergeCell ref="AC80:AC82"/>
    <mergeCell ref="AC83:AC85"/>
    <mergeCell ref="AC86:AC8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X41"/>
  <sheetViews>
    <sheetView showFormulas="false" showGridLines="false" showRowColHeaders="true" showZeros="true" rightToLeft="false" tabSelected="true" showOutlineSymbols="true" defaultGridColor="true" view="normal" topLeftCell="B7" colorId="64" zoomScale="130" zoomScaleNormal="130" zoomScalePageLayoutView="100" workbookViewId="0">
      <selection pane="topLeft" activeCell="E39" activeCellId="0" sqref="E39"/>
    </sheetView>
  </sheetViews>
  <sheetFormatPr defaultColWidth="11.42578125" defaultRowHeight="15" zeroHeight="false" outlineLevelRow="0" outlineLevelCol="0"/>
  <cols>
    <col collapsed="false" customWidth="true" hidden="false" outlineLevel="0" max="2" min="2" style="0" width="17.42"/>
    <col collapsed="false" customWidth="true" hidden="false" outlineLevel="0" max="3" min="3" style="76" width="6.57"/>
    <col collapsed="false" customWidth="true" hidden="false" outlineLevel="0" max="4" min="4" style="0" width="32.86"/>
    <col collapsed="false" customWidth="true" hidden="false" outlineLevel="0" max="5" min="5" style="0" width="6.29"/>
    <col collapsed="false" customWidth="true" hidden="false" outlineLevel="0" max="6" min="6" style="0" width="5.14"/>
    <col collapsed="false" customWidth="true" hidden="false" outlineLevel="0" max="7" min="7" style="0" width="5.57"/>
    <col collapsed="false" customWidth="true" hidden="false" outlineLevel="0" max="16" min="8" style="0" width="6.29"/>
    <col collapsed="false" customWidth="true" hidden="false" outlineLevel="0" max="17" min="17" style="0" width="8.57"/>
    <col collapsed="false" customWidth="true" hidden="false" outlineLevel="0" max="19" min="19" style="0" width="21"/>
    <col collapsed="false" customWidth="true" hidden="false" outlineLevel="0" max="20" min="20" style="0" width="7.86"/>
    <col collapsed="false" customWidth="true" hidden="false" outlineLevel="0" max="21" min="21" style="0" width="9.71"/>
    <col collapsed="false" customWidth="true" hidden="false" outlineLevel="0" max="22" min="22" style="0" width="9.57"/>
    <col collapsed="false" customWidth="true" hidden="false" outlineLevel="0" max="23" min="23" style="0" width="6"/>
    <col collapsed="false" customWidth="true" hidden="false" outlineLevel="0" max="24" min="24" style="0" width="11"/>
  </cols>
  <sheetData>
    <row r="1" customFormat="false" ht="24" hidden="false" customHeight="true" outlineLevel="0" collapsed="false">
      <c r="S1" s="77" t="s">
        <v>31</v>
      </c>
      <c r="T1" s="78" t="s">
        <v>32</v>
      </c>
      <c r="U1" s="78" t="s">
        <v>33</v>
      </c>
      <c r="V1" s="78" t="s">
        <v>34</v>
      </c>
      <c r="W1" s="78" t="s">
        <v>35</v>
      </c>
      <c r="X1" s="79" t="s">
        <v>46</v>
      </c>
    </row>
    <row r="2" customFormat="false" ht="15" hidden="false" customHeight="false" outlineLevel="0" collapsed="false">
      <c r="S2" s="80" t="s">
        <v>47</v>
      </c>
      <c r="T2" s="81" t="n">
        <f aca="false">+'Datos ICP (2)'!AX29</f>
        <v>-0.254362857499898</v>
      </c>
      <c r="U2" s="81" t="n">
        <f aca="false">+'Datos ICP (2)'!AY29</f>
        <v>-0.248750231235289</v>
      </c>
      <c r="V2" s="81" t="n">
        <f aca="false">+'Datos ICP (2)'!AZ29</f>
        <v>-0.239809516977627</v>
      </c>
      <c r="W2" s="81" t="n">
        <f aca="false">+'Datos ICP (2)'!BA29</f>
        <v>-0.220741912237796</v>
      </c>
      <c r="X2" s="81" t="n">
        <f aca="false">+'Datos ICP (2)'!BB29</f>
        <v>-0.746250693705866</v>
      </c>
    </row>
    <row r="3" customFormat="false" ht="15" hidden="false" customHeight="false" outlineLevel="0" collapsed="false">
      <c r="S3" s="80" t="s">
        <v>26</v>
      </c>
      <c r="T3" s="81" t="n">
        <f aca="false">+'Datos ICP (2)'!AX30</f>
        <v>-1</v>
      </c>
      <c r="U3" s="81" t="n">
        <f aca="false">+'Datos ICP (2)'!AY30</f>
        <v>-1</v>
      </c>
      <c r="V3" s="81" t="n">
        <f aca="false">+'Datos ICP (2)'!AZ30</f>
        <v>-1</v>
      </c>
      <c r="W3" s="81" t="n">
        <f aca="false">+'Datos ICP (2)'!BA30</f>
        <v>-1</v>
      </c>
      <c r="X3" s="81" t="n">
        <f aca="false">+'Datos ICP (2)'!BB30</f>
        <v>-3</v>
      </c>
    </row>
    <row r="4" customFormat="false" ht="15" hidden="false" customHeight="false" outlineLevel="0" collapsed="false">
      <c r="S4" s="82" t="s">
        <v>38</v>
      </c>
      <c r="T4" s="81" t="n">
        <f aca="false">+'Datos ICP (2)'!AX31</f>
        <v>0.00565629158811931</v>
      </c>
      <c r="U4" s="81" t="n">
        <f aca="false">+'Datos ICP (2)'!AY31</f>
        <v>0.0166262817053906</v>
      </c>
      <c r="V4" s="81" t="n">
        <f aca="false">+'Datos ICP (2)'!AZ31</f>
        <v>0.0334110900673497</v>
      </c>
      <c r="W4" s="81" t="n">
        <f aca="false">+'Datos ICP (2)'!BA31</f>
        <v>0.0692252912308931</v>
      </c>
      <c r="X4" s="81" t="n">
        <f aca="false">+'Datos ICP (2)'!BB31</f>
        <v>0.0498788451161718</v>
      </c>
    </row>
    <row r="5" customFormat="false" ht="24" hidden="false" customHeight="true" outlineLevel="0" collapsed="false">
      <c r="B5" s="83"/>
      <c r="C5" s="84"/>
      <c r="D5" s="83"/>
      <c r="E5" s="83"/>
      <c r="F5" s="83"/>
      <c r="G5" s="83"/>
      <c r="H5" s="83"/>
      <c r="I5" s="83"/>
      <c r="J5" s="83"/>
      <c r="K5" s="83"/>
      <c r="L5" s="83"/>
      <c r="M5" s="83"/>
      <c r="N5" s="83"/>
      <c r="O5" s="83"/>
      <c r="P5" s="83"/>
      <c r="Q5" s="83"/>
      <c r="R5" s="83"/>
    </row>
    <row r="6" customFormat="false" ht="45" hidden="false" customHeight="true" outlineLevel="0" collapsed="false">
      <c r="B6" s="83"/>
      <c r="C6" s="85" t="s">
        <v>39</v>
      </c>
      <c r="D6" s="86" t="s">
        <v>40</v>
      </c>
      <c r="E6" s="87" t="s">
        <v>4</v>
      </c>
      <c r="F6" s="87" t="s">
        <v>5</v>
      </c>
      <c r="G6" s="87" t="s">
        <v>6</v>
      </c>
      <c r="H6" s="87" t="s">
        <v>7</v>
      </c>
      <c r="I6" s="87" t="s">
        <v>8</v>
      </c>
      <c r="J6" s="87" t="s">
        <v>9</v>
      </c>
      <c r="K6" s="87" t="s">
        <v>10</v>
      </c>
      <c r="L6" s="87" t="s">
        <v>11</v>
      </c>
      <c r="M6" s="87" t="s">
        <v>12</v>
      </c>
      <c r="N6" s="87" t="s">
        <v>13</v>
      </c>
      <c r="O6" s="87" t="s">
        <v>14</v>
      </c>
      <c r="P6" s="87" t="s">
        <v>15</v>
      </c>
      <c r="Q6" s="88" t="s">
        <v>48</v>
      </c>
      <c r="R6" s="89"/>
    </row>
    <row r="7" customFormat="false" ht="9" hidden="false" customHeight="true" outlineLevel="0" collapsed="false">
      <c r="B7" s="83"/>
      <c r="C7" s="84"/>
      <c r="D7" s="83"/>
      <c r="E7" s="90"/>
      <c r="F7" s="90"/>
      <c r="G7" s="90"/>
      <c r="H7" s="90"/>
      <c r="I7" s="90"/>
      <c r="J7" s="90"/>
      <c r="K7" s="90"/>
      <c r="L7" s="90"/>
      <c r="M7" s="90"/>
      <c r="N7" s="90"/>
      <c r="O7" s="90"/>
      <c r="P7" s="90"/>
      <c r="Q7" s="90"/>
      <c r="R7" s="91"/>
    </row>
    <row r="8" customFormat="false" ht="16.5" hidden="true" customHeight="true" outlineLevel="0" collapsed="false">
      <c r="B8" s="83"/>
      <c r="C8" s="92" t="n">
        <v>2013</v>
      </c>
      <c r="D8" s="93" t="s">
        <v>3</v>
      </c>
      <c r="E8" s="94"/>
      <c r="F8" s="94"/>
      <c r="G8" s="94"/>
      <c r="H8" s="94"/>
      <c r="I8" s="94"/>
      <c r="J8" s="94"/>
      <c r="K8" s="94"/>
      <c r="L8" s="94"/>
      <c r="M8" s="94"/>
      <c r="N8" s="94"/>
      <c r="O8" s="94"/>
      <c r="P8" s="94"/>
      <c r="Q8" s="95"/>
      <c r="R8" s="83"/>
    </row>
    <row r="9" customFormat="false" ht="16.5" hidden="true" customHeight="true" outlineLevel="0" collapsed="false">
      <c r="B9" s="83"/>
      <c r="C9" s="92" t="n">
        <v>2014</v>
      </c>
      <c r="D9" s="93" t="s">
        <v>3</v>
      </c>
      <c r="E9" s="94"/>
      <c r="F9" s="94"/>
      <c r="G9" s="94"/>
      <c r="H9" s="94"/>
      <c r="I9" s="94"/>
      <c r="J9" s="94"/>
      <c r="K9" s="94"/>
      <c r="L9" s="94"/>
      <c r="M9" s="94"/>
      <c r="N9" s="94"/>
      <c r="O9" s="94"/>
      <c r="P9" s="94"/>
      <c r="Q9" s="95"/>
      <c r="R9" s="83"/>
    </row>
    <row r="10" customFormat="false" ht="16.5" hidden="true" customHeight="true" outlineLevel="0" collapsed="false">
      <c r="B10" s="83"/>
      <c r="C10" s="92" t="n">
        <v>2015</v>
      </c>
      <c r="D10" s="93" t="s">
        <v>3</v>
      </c>
      <c r="E10" s="94"/>
      <c r="F10" s="94"/>
      <c r="G10" s="94"/>
      <c r="H10" s="94"/>
      <c r="I10" s="94"/>
      <c r="J10" s="94"/>
      <c r="K10" s="94"/>
      <c r="L10" s="94"/>
      <c r="M10" s="94"/>
      <c r="N10" s="94"/>
      <c r="O10" s="94"/>
      <c r="P10" s="94"/>
      <c r="Q10" s="95"/>
      <c r="R10" s="83"/>
    </row>
    <row r="11" customFormat="false" ht="16.5" hidden="true" customHeight="true" outlineLevel="0" collapsed="false">
      <c r="B11" s="83"/>
      <c r="C11" s="92" t="n">
        <v>2016</v>
      </c>
      <c r="D11" s="93" t="s">
        <v>3</v>
      </c>
      <c r="E11" s="94"/>
      <c r="F11" s="94"/>
      <c r="G11" s="94"/>
      <c r="H11" s="94"/>
      <c r="I11" s="94"/>
      <c r="J11" s="94"/>
      <c r="K11" s="94"/>
      <c r="L11" s="94"/>
      <c r="M11" s="94"/>
      <c r="N11" s="94"/>
      <c r="O11" s="94"/>
      <c r="P11" s="94"/>
      <c r="Q11" s="95"/>
      <c r="R11" s="83"/>
    </row>
    <row r="12" customFormat="false" ht="16.5" hidden="true" customHeight="true" outlineLevel="0" collapsed="false">
      <c r="B12" s="83"/>
      <c r="C12" s="92" t="n">
        <v>2017</v>
      </c>
      <c r="D12" s="93" t="s">
        <v>3</v>
      </c>
      <c r="E12" s="94"/>
      <c r="F12" s="94"/>
      <c r="G12" s="94"/>
      <c r="H12" s="94"/>
      <c r="I12" s="94"/>
      <c r="J12" s="94"/>
      <c r="K12" s="94"/>
      <c r="L12" s="94"/>
      <c r="M12" s="94"/>
      <c r="N12" s="94"/>
      <c r="O12" s="94"/>
      <c r="P12" s="94"/>
      <c r="Q12" s="95"/>
      <c r="R12" s="83"/>
    </row>
    <row r="13" customFormat="false" ht="16.5" hidden="true" customHeight="true" outlineLevel="0" collapsed="false">
      <c r="B13" s="83"/>
      <c r="C13" s="92"/>
      <c r="D13" s="93" t="s">
        <v>26</v>
      </c>
      <c r="E13" s="94"/>
      <c r="F13" s="94"/>
      <c r="G13" s="94"/>
      <c r="H13" s="94"/>
      <c r="I13" s="94"/>
      <c r="J13" s="94"/>
      <c r="K13" s="94"/>
      <c r="L13" s="94"/>
      <c r="M13" s="94"/>
      <c r="N13" s="94"/>
      <c r="O13" s="94"/>
      <c r="P13" s="94"/>
      <c r="Q13" s="95"/>
      <c r="R13" s="83"/>
    </row>
    <row r="14" customFormat="false" ht="16.5" hidden="true" customHeight="true" outlineLevel="0" collapsed="false">
      <c r="B14" s="83"/>
      <c r="C14" s="92"/>
      <c r="D14" s="93" t="s">
        <v>38</v>
      </c>
      <c r="E14" s="94"/>
      <c r="F14" s="94"/>
      <c r="G14" s="94"/>
      <c r="H14" s="94"/>
      <c r="I14" s="94"/>
      <c r="J14" s="94"/>
      <c r="K14" s="94"/>
      <c r="L14" s="94"/>
      <c r="M14" s="94"/>
      <c r="N14" s="94"/>
      <c r="O14" s="94"/>
      <c r="P14" s="94"/>
      <c r="Q14" s="95"/>
      <c r="R14" s="83"/>
    </row>
    <row r="15" customFormat="false" ht="16.5" hidden="true" customHeight="true" outlineLevel="0" collapsed="false">
      <c r="B15" s="83"/>
      <c r="C15" s="92" t="n">
        <v>2018</v>
      </c>
      <c r="D15" s="93" t="s">
        <v>3</v>
      </c>
      <c r="E15" s="94"/>
      <c r="F15" s="94"/>
      <c r="G15" s="94"/>
      <c r="H15" s="94"/>
      <c r="I15" s="94"/>
      <c r="J15" s="94"/>
      <c r="K15" s="94"/>
      <c r="L15" s="94"/>
      <c r="M15" s="94"/>
      <c r="N15" s="94"/>
      <c r="O15" s="94"/>
      <c r="P15" s="94"/>
      <c r="Q15" s="95"/>
      <c r="R15" s="83"/>
    </row>
    <row r="16" customFormat="false" ht="16.5" hidden="true" customHeight="true" outlineLevel="0" collapsed="false">
      <c r="B16" s="83"/>
      <c r="C16" s="92"/>
      <c r="D16" s="93" t="s">
        <v>26</v>
      </c>
      <c r="E16" s="94"/>
      <c r="F16" s="94"/>
      <c r="G16" s="94"/>
      <c r="H16" s="94"/>
      <c r="I16" s="94"/>
      <c r="J16" s="94"/>
      <c r="K16" s="94"/>
      <c r="L16" s="94"/>
      <c r="M16" s="94"/>
      <c r="N16" s="94"/>
      <c r="O16" s="94"/>
      <c r="P16" s="94"/>
      <c r="Q16" s="95"/>
      <c r="R16" s="83"/>
    </row>
    <row r="17" customFormat="false" ht="16.5" hidden="true" customHeight="true" outlineLevel="0" collapsed="false">
      <c r="B17" s="83"/>
      <c r="C17" s="92"/>
      <c r="D17" s="93" t="s">
        <v>38</v>
      </c>
      <c r="E17" s="94"/>
      <c r="F17" s="94"/>
      <c r="G17" s="94"/>
      <c r="H17" s="94"/>
      <c r="I17" s="94"/>
      <c r="J17" s="94"/>
      <c r="K17" s="94"/>
      <c r="L17" s="94"/>
      <c r="M17" s="94"/>
      <c r="N17" s="94"/>
      <c r="O17" s="94"/>
      <c r="P17" s="94"/>
      <c r="Q17" s="95"/>
      <c r="R17" s="83"/>
    </row>
    <row r="18" customFormat="false" ht="16.5" hidden="true" customHeight="true" outlineLevel="0" collapsed="false">
      <c r="B18" s="83"/>
      <c r="C18" s="92" t="n">
        <v>2019</v>
      </c>
      <c r="D18" s="93" t="s">
        <v>3</v>
      </c>
      <c r="E18" s="94"/>
      <c r="F18" s="94"/>
      <c r="G18" s="94"/>
      <c r="H18" s="94"/>
      <c r="I18" s="94"/>
      <c r="J18" s="94"/>
      <c r="K18" s="94"/>
      <c r="L18" s="94"/>
      <c r="M18" s="94"/>
      <c r="N18" s="94"/>
      <c r="O18" s="94"/>
      <c r="P18" s="94"/>
      <c r="Q18" s="95"/>
      <c r="R18" s="83"/>
    </row>
    <row r="19" customFormat="false" ht="16.5" hidden="true" customHeight="true" outlineLevel="0" collapsed="false">
      <c r="B19" s="83"/>
      <c r="C19" s="92"/>
      <c r="D19" s="93" t="s">
        <v>26</v>
      </c>
      <c r="E19" s="94"/>
      <c r="F19" s="94"/>
      <c r="G19" s="94"/>
      <c r="H19" s="94"/>
      <c r="I19" s="94"/>
      <c r="J19" s="94"/>
      <c r="K19" s="94"/>
      <c r="L19" s="94"/>
      <c r="M19" s="94"/>
      <c r="N19" s="94"/>
      <c r="O19" s="94"/>
      <c r="P19" s="94"/>
      <c r="Q19" s="95"/>
      <c r="R19" s="83"/>
    </row>
    <row r="20" customFormat="false" ht="16.5" hidden="true" customHeight="true" outlineLevel="0" collapsed="false">
      <c r="B20" s="83"/>
      <c r="C20" s="92"/>
      <c r="D20" s="93" t="s">
        <v>38</v>
      </c>
      <c r="E20" s="94"/>
      <c r="F20" s="94"/>
      <c r="G20" s="94"/>
      <c r="H20" s="94"/>
      <c r="I20" s="94"/>
      <c r="J20" s="94"/>
      <c r="K20" s="94"/>
      <c r="L20" s="94"/>
      <c r="M20" s="94"/>
      <c r="N20" s="94"/>
      <c r="O20" s="94"/>
      <c r="P20" s="94"/>
      <c r="Q20" s="95"/>
      <c r="R20" s="83"/>
    </row>
    <row r="21" customFormat="false" ht="16.5" hidden="true" customHeight="true" outlineLevel="0" collapsed="false">
      <c r="B21" s="83"/>
      <c r="C21" s="92" t="n">
        <v>2020</v>
      </c>
      <c r="D21" s="93" t="s">
        <v>3</v>
      </c>
      <c r="E21" s="94"/>
      <c r="F21" s="94"/>
      <c r="G21" s="94"/>
      <c r="H21" s="94"/>
      <c r="I21" s="94"/>
      <c r="J21" s="94"/>
      <c r="K21" s="94"/>
      <c r="L21" s="94"/>
      <c r="M21" s="94"/>
      <c r="N21" s="94"/>
      <c r="O21" s="94"/>
      <c r="P21" s="94"/>
      <c r="Q21" s="95"/>
      <c r="R21" s="83"/>
    </row>
    <row r="22" customFormat="false" ht="16.5" hidden="true" customHeight="true" outlineLevel="0" collapsed="false">
      <c r="B22" s="83"/>
      <c r="C22" s="92"/>
      <c r="D22" s="93" t="s">
        <v>26</v>
      </c>
      <c r="E22" s="94"/>
      <c r="F22" s="94"/>
      <c r="G22" s="94"/>
      <c r="H22" s="94"/>
      <c r="I22" s="94"/>
      <c r="J22" s="94"/>
      <c r="K22" s="94"/>
      <c r="L22" s="94"/>
      <c r="M22" s="94"/>
      <c r="N22" s="94"/>
      <c r="O22" s="94"/>
      <c r="P22" s="94"/>
      <c r="Q22" s="95"/>
      <c r="R22" s="83"/>
    </row>
    <row r="23" customFormat="false" ht="16.5" hidden="true" customHeight="true" outlineLevel="0" collapsed="false">
      <c r="B23" s="83"/>
      <c r="C23" s="92"/>
      <c r="D23" s="93" t="s">
        <v>38</v>
      </c>
      <c r="E23" s="94"/>
      <c r="F23" s="94"/>
      <c r="G23" s="94"/>
      <c r="H23" s="94"/>
      <c r="I23" s="94"/>
      <c r="J23" s="94"/>
      <c r="K23" s="94"/>
      <c r="L23" s="94"/>
      <c r="M23" s="94"/>
      <c r="N23" s="94"/>
      <c r="O23" s="94"/>
      <c r="P23" s="94"/>
      <c r="Q23" s="95"/>
      <c r="R23" s="83"/>
    </row>
    <row r="24" customFormat="false" ht="16.5" hidden="true" customHeight="true" outlineLevel="0" collapsed="false">
      <c r="B24" s="83"/>
      <c r="C24" s="92" t="n">
        <v>2021</v>
      </c>
      <c r="D24" s="93" t="s">
        <v>3</v>
      </c>
      <c r="E24" s="94"/>
      <c r="F24" s="94"/>
      <c r="G24" s="94"/>
      <c r="H24" s="94"/>
      <c r="I24" s="94"/>
      <c r="J24" s="94"/>
      <c r="K24" s="94"/>
      <c r="L24" s="94"/>
      <c r="M24" s="94"/>
      <c r="N24" s="94"/>
      <c r="O24" s="94"/>
      <c r="P24" s="94"/>
      <c r="Q24" s="95"/>
      <c r="R24" s="83"/>
    </row>
    <row r="25" customFormat="false" ht="16.5" hidden="true" customHeight="true" outlineLevel="0" collapsed="false">
      <c r="B25" s="83"/>
      <c r="C25" s="92"/>
      <c r="D25" s="93" t="s">
        <v>26</v>
      </c>
      <c r="E25" s="94"/>
      <c r="F25" s="94"/>
      <c r="G25" s="94"/>
      <c r="H25" s="94"/>
      <c r="I25" s="94"/>
      <c r="J25" s="94"/>
      <c r="K25" s="94"/>
      <c r="L25" s="94"/>
      <c r="M25" s="94"/>
      <c r="N25" s="94"/>
      <c r="O25" s="94"/>
      <c r="P25" s="94"/>
      <c r="Q25" s="95"/>
      <c r="R25" s="83"/>
    </row>
    <row r="26" customFormat="false" ht="16.5" hidden="true" customHeight="true" outlineLevel="0" collapsed="false">
      <c r="B26" s="83"/>
      <c r="C26" s="92"/>
      <c r="D26" s="93" t="s">
        <v>38</v>
      </c>
      <c r="E26" s="94"/>
      <c r="F26" s="94"/>
      <c r="G26" s="94"/>
      <c r="H26" s="94"/>
      <c r="I26" s="94"/>
      <c r="J26" s="94"/>
      <c r="K26" s="94"/>
      <c r="L26" s="94"/>
      <c r="M26" s="94"/>
      <c r="N26" s="94"/>
      <c r="O26" s="94"/>
      <c r="P26" s="94"/>
      <c r="Q26" s="95"/>
      <c r="R26" s="83"/>
    </row>
    <row r="27" customFormat="false" ht="16.5" hidden="true" customHeight="true" outlineLevel="0" collapsed="false">
      <c r="B27" s="83"/>
      <c r="C27" s="92" t="n">
        <v>2022</v>
      </c>
      <c r="D27" s="93" t="s">
        <v>3</v>
      </c>
      <c r="E27" s="94"/>
      <c r="F27" s="94"/>
      <c r="G27" s="94"/>
      <c r="H27" s="94"/>
      <c r="I27" s="94"/>
      <c r="J27" s="94"/>
      <c r="K27" s="94"/>
      <c r="L27" s="94"/>
      <c r="M27" s="94"/>
      <c r="N27" s="94"/>
      <c r="O27" s="94"/>
      <c r="P27" s="94"/>
      <c r="Q27" s="95"/>
      <c r="R27" s="83"/>
    </row>
    <row r="28" customFormat="false" ht="16.5" hidden="true" customHeight="true" outlineLevel="0" collapsed="false">
      <c r="B28" s="83"/>
      <c r="C28" s="92"/>
      <c r="D28" s="93" t="s">
        <v>26</v>
      </c>
      <c r="E28" s="94"/>
      <c r="F28" s="94"/>
      <c r="G28" s="94"/>
      <c r="H28" s="94"/>
      <c r="I28" s="94"/>
      <c r="J28" s="94"/>
      <c r="K28" s="94"/>
      <c r="L28" s="94"/>
      <c r="M28" s="94"/>
      <c r="N28" s="94"/>
      <c r="O28" s="94"/>
      <c r="P28" s="94"/>
      <c r="Q28" s="95"/>
      <c r="R28" s="83"/>
    </row>
    <row r="29" customFormat="false" ht="16.5" hidden="true" customHeight="true" outlineLevel="0" collapsed="false">
      <c r="B29" s="83"/>
      <c r="C29" s="92"/>
      <c r="D29" s="93" t="s">
        <v>38</v>
      </c>
      <c r="E29" s="94"/>
      <c r="F29" s="94"/>
      <c r="G29" s="94"/>
      <c r="H29" s="94"/>
      <c r="I29" s="94"/>
      <c r="J29" s="94"/>
      <c r="K29" s="94"/>
      <c r="L29" s="94"/>
      <c r="M29" s="94"/>
      <c r="N29" s="94"/>
      <c r="O29" s="94"/>
      <c r="P29" s="94"/>
      <c r="Q29" s="95"/>
      <c r="R29" s="83"/>
    </row>
    <row r="30" customFormat="false" ht="16.5" hidden="true" customHeight="true" outlineLevel="0" collapsed="false">
      <c r="B30" s="83"/>
      <c r="C30" s="92" t="n">
        <v>2023</v>
      </c>
      <c r="D30" s="93" t="s">
        <v>3</v>
      </c>
      <c r="E30" s="94"/>
      <c r="F30" s="94"/>
      <c r="G30" s="94"/>
      <c r="H30" s="94"/>
      <c r="I30" s="94"/>
      <c r="J30" s="94"/>
      <c r="K30" s="94"/>
      <c r="L30" s="94"/>
      <c r="M30" s="94" t="n">
        <f aca="false">+'Datos ICP (2)'!AM77</f>
        <v>0</v>
      </c>
      <c r="N30" s="94" t="n">
        <f aca="false">+'Datos ICP (2)'!AN77</f>
        <v>0</v>
      </c>
      <c r="O30" s="94" t="n">
        <f aca="false">+'Datos ICP (2)'!AO77</f>
        <v>0</v>
      </c>
      <c r="P30" s="94" t="n">
        <f aca="false">+'Datos ICP (2)'!AP77</f>
        <v>0</v>
      </c>
      <c r="Q30" s="95" t="n">
        <f aca="false">+'Datos ICP (2)'!AQ77</f>
        <v>0</v>
      </c>
      <c r="R30" s="83"/>
    </row>
    <row r="31" customFormat="false" ht="16.5" hidden="true" customHeight="true" outlineLevel="0" collapsed="false">
      <c r="B31" s="83"/>
      <c r="C31" s="92"/>
      <c r="D31" s="93" t="s">
        <v>26</v>
      </c>
      <c r="E31" s="94"/>
      <c r="F31" s="94"/>
      <c r="G31" s="94"/>
      <c r="H31" s="94"/>
      <c r="I31" s="94"/>
      <c r="J31" s="94"/>
      <c r="K31" s="94"/>
      <c r="L31" s="94"/>
      <c r="M31" s="94" t="n">
        <f aca="false">+'Datos ICP (2)'!AM78</f>
        <v>0</v>
      </c>
      <c r="N31" s="94" t="n">
        <f aca="false">+'Datos ICP (2)'!AN78</f>
        <v>0</v>
      </c>
      <c r="O31" s="94" t="n">
        <f aca="false">+'Datos ICP (2)'!AO78</f>
        <v>0</v>
      </c>
      <c r="P31" s="94" t="n">
        <f aca="false">+'Datos ICP (2)'!AP78</f>
        <v>0</v>
      </c>
      <c r="Q31" s="95" t="n">
        <f aca="false">+'Datos ICP (2)'!AQ78</f>
        <v>0</v>
      </c>
      <c r="R31" s="83"/>
    </row>
    <row r="32" customFormat="false" ht="16.5" hidden="true" customHeight="true" outlineLevel="0" collapsed="false">
      <c r="B32" s="83"/>
      <c r="C32" s="92"/>
      <c r="D32" s="93" t="s">
        <v>38</v>
      </c>
      <c r="E32" s="94"/>
      <c r="F32" s="94"/>
      <c r="G32" s="94"/>
      <c r="H32" s="94"/>
      <c r="I32" s="94"/>
      <c r="J32" s="94"/>
      <c r="K32" s="94"/>
      <c r="L32" s="94"/>
      <c r="M32" s="94" t="n">
        <f aca="false">+'Datos ICP (2)'!AM79</f>
        <v>0</v>
      </c>
      <c r="N32" s="94" t="n">
        <f aca="false">+'Datos ICP (2)'!AN79</f>
        <v>0</v>
      </c>
      <c r="O32" s="94" t="n">
        <f aca="false">+'Datos ICP (2)'!AO79</f>
        <v>0</v>
      </c>
      <c r="P32" s="94" t="n">
        <f aca="false">+'Datos ICP (2)'!AP79</f>
        <v>0</v>
      </c>
      <c r="Q32" s="95" t="n">
        <f aca="false">+'Datos ICP (2)'!AQ79</f>
        <v>0</v>
      </c>
      <c r="R32" s="83"/>
    </row>
    <row r="33" customFormat="false" ht="16.5" hidden="false" customHeight="true" outlineLevel="0" collapsed="false">
      <c r="B33" s="83"/>
      <c r="C33" s="92" t="n">
        <v>2024</v>
      </c>
      <c r="D33" s="93" t="s">
        <v>3</v>
      </c>
      <c r="E33" s="96"/>
      <c r="F33" s="96"/>
      <c r="G33" s="96"/>
      <c r="H33" s="96" t="n">
        <f aca="false">+'Datos ICP (2)'!AH80</f>
        <v>0.00609278396182833</v>
      </c>
      <c r="I33" s="96" t="n">
        <f aca="false">+'Datos ICP (2)'!AI80</f>
        <v>0.00551411929031809</v>
      </c>
      <c r="J33" s="96" t="n">
        <f aca="false">+'Datos ICP (2)'!AJ80</f>
        <v>0.00461354906321554</v>
      </c>
      <c r="K33" s="96" t="n">
        <f aca="false">+'Datos ICP (2)'!AK80</f>
        <v>0.00528435035284347</v>
      </c>
      <c r="L33" s="96" t="n">
        <f aca="false">+'Datos ICP (2)'!AL80</f>
        <v>0.00480235203759283</v>
      </c>
      <c r="M33" s="96" t="n">
        <f aca="false">+'Datos ICP (2)'!AM80</f>
        <v>0.00478104349541386</v>
      </c>
      <c r="N33" s="96" t="n">
        <f aca="false">+'Datos ICP (2)'!AN80</f>
        <v>0.00451044051641847</v>
      </c>
      <c r="O33" s="96" t="n">
        <f aca="false">+'Datos ICP (2)'!AO80</f>
        <v>0.0043843255475724</v>
      </c>
      <c r="P33" s="96" t="n">
        <f aca="false">+'Datos ICP (2)'!AP80</f>
        <v>0.00444626417327787</v>
      </c>
      <c r="Q33" s="96" t="n">
        <f aca="false">+'Datos ICP (2)'!AQ80</f>
        <v>0.0604204591877272</v>
      </c>
      <c r="R33" s="83"/>
    </row>
    <row r="34" customFormat="false" ht="16.5" hidden="false" customHeight="true" outlineLevel="0" collapsed="false">
      <c r="B34" s="83"/>
      <c r="C34" s="92"/>
      <c r="D34" s="93" t="s">
        <v>26</v>
      </c>
      <c r="E34" s="96"/>
      <c r="F34" s="96"/>
      <c r="G34" s="96"/>
      <c r="H34" s="96" t="n">
        <f aca="false">+'Datos ICP (2)'!AH81</f>
        <v>0.00472012403360989</v>
      </c>
      <c r="I34" s="96" t="n">
        <f aca="false">+'Datos ICP (2)'!AI81</f>
        <v>0.00416779685595303</v>
      </c>
      <c r="J34" s="96" t="n">
        <f aca="false">+'Datos ICP (2)'!AJ81</f>
        <v>0.00365019312776771</v>
      </c>
      <c r="K34" s="96" t="n">
        <f aca="false">+'Datos ICP (2)'!AK81</f>
        <v>0.00363412607508162</v>
      </c>
      <c r="L34" s="96" t="n">
        <f aca="false">+'Datos ICP (2)'!AL81</f>
        <v>0.00362766941593184</v>
      </c>
      <c r="M34" s="96" t="n">
        <f aca="false">+'Datos ICP (2)'!AM81</f>
        <v>0.0033754452875443</v>
      </c>
      <c r="N34" s="96" t="n">
        <f aca="false">+'Datos ICP (2)'!AN81</f>
        <v>0.00341081299567914</v>
      </c>
      <c r="O34" s="96" t="n">
        <f aca="false">+'Datos ICP (2)'!AO81</f>
        <v>0.00322037460491331</v>
      </c>
      <c r="P34" s="96" t="n">
        <f aca="false">+'Datos ICP (2)'!AP81</f>
        <v>0.003229855901979</v>
      </c>
      <c r="Q34" s="96" t="n">
        <f aca="false">+'Datos ICP (2)'!AQ81</f>
        <v>0.0446995571155876</v>
      </c>
      <c r="R34" s="83"/>
    </row>
    <row r="35" customFormat="false" ht="16.5" hidden="false" customHeight="true" outlineLevel="0" collapsed="false">
      <c r="B35" s="83"/>
      <c r="C35" s="92"/>
      <c r="D35" s="93" t="s">
        <v>38</v>
      </c>
      <c r="E35" s="96"/>
      <c r="F35" s="96"/>
      <c r="G35" s="96"/>
      <c r="H35" s="96" t="n">
        <f aca="false">+'Datos ICP (2)'!AH82</f>
        <v>0.00584640000000003</v>
      </c>
      <c r="I35" s="96" t="n">
        <f aca="false">+'Datos ICP (2)'!AI82</f>
        <v>0.00699460673120655</v>
      </c>
      <c r="J35" s="96" t="n">
        <f aca="false">+'Datos ICP (2)'!AJ82</f>
        <v>0.00585339712359367</v>
      </c>
      <c r="K35" s="96" t="n">
        <f aca="false">+'Datos ICP (2)'!AK82</f>
        <v>0.00585751602333962</v>
      </c>
      <c r="L35" s="96" t="n">
        <f aca="false">+'Datos ICP (2)'!AL82</f>
        <v>0.00514277037845456</v>
      </c>
      <c r="M35" s="96" t="n">
        <f aca="false">+'Datos ICP (2)'!AM82</f>
        <v>0.00559672621272433</v>
      </c>
      <c r="N35" s="96" t="n">
        <f aca="false">+'Datos ICP (2)'!AN82</f>
        <v>0.00460710349884419</v>
      </c>
      <c r="O35" s="96" t="n">
        <f aca="false">+'Datos ICP (2)'!AO82</f>
        <v>0.00431977917049764</v>
      </c>
      <c r="P35" s="96" t="n">
        <f aca="false">+'Datos ICP (2)'!AP82</f>
        <v>0.00461198833735987</v>
      </c>
      <c r="Q35" s="96" t="n">
        <f aca="false">+'Datos ICP (2)'!AQ82</f>
        <v>0.0665341333333333</v>
      </c>
      <c r="R35" s="83"/>
    </row>
    <row r="36" customFormat="false" ht="16.5" hidden="false" customHeight="true" outlineLevel="0" collapsed="false">
      <c r="B36" s="83"/>
      <c r="C36" s="92" t="n">
        <v>2025</v>
      </c>
      <c r="D36" s="93" t="s">
        <v>3</v>
      </c>
      <c r="E36" s="96" t="n">
        <f aca="false">+'Datos ICP (2)'!AE83</f>
        <v>0.00445443017437541</v>
      </c>
      <c r="F36" s="96" t="n">
        <f aca="false">+'Datos ICP (2)'!AF83</f>
        <v>0.00389626305099444</v>
      </c>
      <c r="G36" s="96" t="n">
        <f aca="false">+'Datos ICP (2)'!AG83</f>
        <v>0.0043138020854181</v>
      </c>
      <c r="H36" s="96" t="n">
        <f aca="false">+'Datos ICP (2)'!AH83</f>
        <v>0.00417571644342774</v>
      </c>
      <c r="I36" s="96" t="n">
        <f aca="false">+'Datos ICP (2)'!AI83</f>
        <v>0.00417422694650416</v>
      </c>
      <c r="J36" s="96" t="n">
        <f aca="false">+'Datos ICP (2)'!AJ83</f>
        <v>0.00431456613652492</v>
      </c>
      <c r="K36" s="96" t="n">
        <f aca="false">+'Datos ICP (2)'!AK83</f>
        <v>0.00430626208344687</v>
      </c>
      <c r="L36" s="96" t="n">
        <f aca="false">+'Datos ICP (2)'!AL83</f>
        <v>0.00383327468941586</v>
      </c>
      <c r="M36" s="96" t="n">
        <f aca="false">+'Datos ICP (2)'!AM83</f>
        <v>0.00423004876441735</v>
      </c>
      <c r="N36" s="96" t="n">
        <f aca="false">+'Datos ICP (2)'!AN83</f>
        <v>0.00396619021077105</v>
      </c>
      <c r="O36" s="96" t="n">
        <f aca="false">+'Datos ICP (2)'!AO83</f>
        <v>0.00383243965233548</v>
      </c>
      <c r="P36" s="96" t="n">
        <f aca="false">+'Datos ICP (2)'!AP83</f>
        <v>0.00413946203577598</v>
      </c>
      <c r="Q36" s="96" t="n">
        <f aca="false">+'Datos ICP (2)'!AQ83</f>
        <v>0.0461215166375695</v>
      </c>
      <c r="R36" s="83"/>
    </row>
    <row r="37" customFormat="false" ht="16.5" hidden="false" customHeight="true" outlineLevel="0" collapsed="false">
      <c r="B37" s="83"/>
      <c r="C37" s="92"/>
      <c r="D37" s="93" t="s">
        <v>26</v>
      </c>
      <c r="E37" s="96" t="n">
        <f aca="false">+'Datos ICP (2)'!AE84</f>
        <v>0.00302021033404665</v>
      </c>
      <c r="F37" s="96" t="n">
        <f aca="false">+'Datos ICP (2)'!AF84</f>
        <v>0.00276213771028111</v>
      </c>
      <c r="G37" s="96" t="n">
        <f aca="false">+'Datos ICP (2)'!AG84</f>
        <v>0.00306282692323312</v>
      </c>
      <c r="H37" s="96" t="n">
        <f aca="false">+'Datos ICP (2)'!AH84</f>
        <v>0.00297594968581905</v>
      </c>
      <c r="I37" s="96" t="n">
        <f aca="false">+'Datos ICP (2)'!AI84</f>
        <v>0.00308976252279503</v>
      </c>
      <c r="J37" s="96" t="n">
        <f aca="false">+'Datos ICP (2)'!AJ84</f>
        <v>0.00299705245742721</v>
      </c>
      <c r="K37" s="96" t="n">
        <f aca="false">+'Datos ICP (2)'!AK84</f>
        <v>0.00295054952791363</v>
      </c>
      <c r="L37" s="96" t="n">
        <f aca="false">+'Datos ICP (2)'!AL84</f>
        <v>0.00300054219083834</v>
      </c>
      <c r="M37" s="96" t="n">
        <f aca="false">+'Datos ICP (2)'!AM84</f>
        <v>0.00276161496613736</v>
      </c>
      <c r="N37" s="96" t="n">
        <f aca="false">+'Datos ICP (2)'!AN84</f>
        <v>0.00286519472447866</v>
      </c>
      <c r="O37" s="96" t="n">
        <f aca="false">+'Datos ICP (2)'!AO84</f>
        <v>0.00279501576319907</v>
      </c>
      <c r="P37" s="96" t="n">
        <f aca="false">+'Datos ICP (2)'!AP84</f>
        <v>0.00283776649927603</v>
      </c>
      <c r="Q37" s="96" t="n">
        <f aca="false">+'Datos ICP (2)'!AQ84</f>
        <v>0.0325707862057447</v>
      </c>
      <c r="R37" s="83"/>
    </row>
    <row r="38" customFormat="false" ht="16.5" hidden="false" customHeight="true" outlineLevel="0" collapsed="false">
      <c r="B38" s="83"/>
      <c r="C38" s="92"/>
      <c r="D38" s="93" t="s">
        <v>38</v>
      </c>
      <c r="E38" s="96" t="n">
        <f aca="false">+'Datos ICP (2)'!AE85</f>
        <v>0.00370235048917977</v>
      </c>
      <c r="F38" s="96" t="n">
        <f aca="false">+'Datos ICP (2)'!AF85</f>
        <v>0.00428482890813786</v>
      </c>
      <c r="G38" s="96" t="n">
        <f aca="false">+'Datos ICP (2)'!AG85</f>
        <v>0.00501330904287323</v>
      </c>
      <c r="H38" s="96" t="n">
        <f aca="false">+'Datos ICP (2)'!AH85</f>
        <v>0.00694682235551691</v>
      </c>
      <c r="I38" s="96" t="n">
        <f aca="false">+'Datos ICP (2)'!AI85</f>
        <v>0.0060339087689576</v>
      </c>
      <c r="J38" s="96" t="n">
        <f aca="false">+'Datos ICP (2)'!AJ85</f>
        <v>0.00559092888494384</v>
      </c>
      <c r="K38" s="96" t="n">
        <f aca="false">+'Datos ICP (2)'!AK85</f>
        <v>0.00591213378771949</v>
      </c>
      <c r="L38" s="96" t="n">
        <f aca="false">+'Datos ICP (2)'!AL85</f>
        <v>0.00578820252662338</v>
      </c>
      <c r="M38" s="96" t="n">
        <f aca="false">+'Datos ICP (2)'!AM85</f>
        <v>0.00520033884395699</v>
      </c>
      <c r="N38" s="96" t="n">
        <f aca="false">+'Datos ICP (2)'!AN85</f>
        <v>0.00564090119379435</v>
      </c>
      <c r="O38" s="96" t="n">
        <f aca="false">+'Datos ICP (2)'!AO85</f>
        <v>0.00529602502125015</v>
      </c>
      <c r="P38" s="96" t="n">
        <f aca="false">+'Datos ICP (2)'!AP85</f>
        <v>0.00579578120916957</v>
      </c>
      <c r="Q38" s="96" t="n">
        <f aca="false">+'Datos ICP (2)'!AQ85</f>
        <v>0.063249362276671</v>
      </c>
      <c r="R38" s="83"/>
    </row>
    <row r="39" customFormat="false" ht="15" hidden="false" customHeight="false" outlineLevel="0" collapsed="false">
      <c r="C39" s="92" t="n">
        <v>2026</v>
      </c>
      <c r="D39" s="93" t="s">
        <v>3</v>
      </c>
      <c r="E39" s="96" t="n">
        <f aca="false">+'Datos ICP (2)'!AE86</f>
        <v>0.00388234363273376</v>
      </c>
      <c r="F39" s="96" t="n">
        <f aca="false">+'Datos ICP (2)'!AF86</f>
        <v>0.00363126461056962</v>
      </c>
      <c r="G39" s="96" t="n">
        <f aca="false">+'Datos ICP (2)'!AG86</f>
        <v>0.0038819280865483</v>
      </c>
      <c r="H39" s="96" t="n">
        <f aca="false">+'Datos ICP (2)'!AH86</f>
        <v>-0.254362857499898</v>
      </c>
      <c r="I39" s="96"/>
      <c r="J39" s="96"/>
      <c r="K39" s="96"/>
      <c r="L39" s="96"/>
      <c r="M39" s="96"/>
      <c r="N39" s="96"/>
      <c r="O39" s="96"/>
      <c r="P39" s="96"/>
      <c r="Q39" s="96" t="n">
        <f aca="false">+'Datos ICP (2)'!AQ86</f>
        <v>-0.746250693705866</v>
      </c>
    </row>
    <row r="40" customFormat="false" ht="15" hidden="false" customHeight="false" outlineLevel="0" collapsed="false">
      <c r="C40" s="92"/>
      <c r="D40" s="93" t="s">
        <v>26</v>
      </c>
      <c r="E40" s="96" t="n">
        <f aca="false">+'Datos ICP (2)'!AE87</f>
        <v>0.00272443815472734</v>
      </c>
      <c r="F40" s="96" t="n">
        <f aca="false">+'Datos ICP (2)'!AF87</f>
        <v>0.00244521636660222</v>
      </c>
      <c r="G40" s="96" t="n">
        <f aca="false">+'Datos ICP (2)'!AG87</f>
        <v>0.00268777625151762</v>
      </c>
      <c r="H40" s="96" t="n">
        <f aca="false">+'Datos ICP (2)'!AH87</f>
        <v>-1</v>
      </c>
      <c r="I40" s="96"/>
      <c r="J40" s="96"/>
      <c r="K40" s="96"/>
      <c r="L40" s="96"/>
      <c r="M40" s="96"/>
      <c r="N40" s="96"/>
      <c r="O40" s="96"/>
      <c r="P40" s="96"/>
      <c r="Q40" s="96" t="n">
        <f aca="false">+'Datos ICP (2)'!AQ87</f>
        <v>-3</v>
      </c>
    </row>
    <row r="41" customFormat="false" ht="15" hidden="false" customHeight="false" outlineLevel="0" collapsed="false">
      <c r="C41" s="92"/>
      <c r="D41" s="93" t="s">
        <v>38</v>
      </c>
      <c r="E41" s="96" t="n">
        <f aca="false">+'Datos ICP (2)'!AE88</f>
        <v>0.00532853592845872</v>
      </c>
      <c r="F41" s="96" t="n">
        <f aca="false">+'Datos ICP (2)'!AF88</f>
        <v>0.00530233501247412</v>
      </c>
      <c r="G41" s="96" t="n">
        <f aca="false">+'Datos ICP (2)'!AG88</f>
        <v>0.00557638676700956</v>
      </c>
      <c r="H41" s="96" t="n">
        <f aca="false">+'Datos ICP (2)'!AH88</f>
        <v>0.00565629158811931</v>
      </c>
      <c r="I41" s="96"/>
      <c r="J41" s="96"/>
      <c r="K41" s="96"/>
      <c r="L41" s="96"/>
      <c r="M41" s="96"/>
      <c r="N41" s="96"/>
      <c r="O41" s="96"/>
      <c r="P41" s="96"/>
      <c r="Q41" s="96" t="n">
        <f aca="false">+'Datos ICP (2)'!AQ88</f>
        <v>0.0498788451161718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4"/>
  <sheetViews>
    <sheetView showFormulas="false" showGridLines="false" showRowColHeaders="true" showZeros="true" rightToLeft="false" tabSelected="false" showOutlineSymbols="true" defaultGridColor="true" view="normal" topLeftCell="J1" colorId="64" zoomScale="100" zoomScaleNormal="100" zoomScalePageLayoutView="100" workbookViewId="0">
      <selection pane="topLeft" activeCell="P9" activeCellId="0" sqref="P9"/>
    </sheetView>
  </sheetViews>
  <sheetFormatPr defaultColWidth="11.42578125" defaultRowHeight="15" zeroHeight="false" outlineLevelRow="0" outlineLevelCol="0"/>
  <cols>
    <col collapsed="false" customWidth="true" hidden="false" outlineLevel="0" max="1" min="1" style="0" width="14.29"/>
    <col collapsed="false" customWidth="true" hidden="false" outlineLevel="0" max="2" min="2" style="0" width="15.29"/>
    <col collapsed="false" customWidth="true" hidden="false" outlineLevel="0" max="10" min="9" style="0" width="11.57"/>
    <col collapsed="false" customWidth="true" hidden="false" outlineLevel="0" max="11" min="11" style="0" width="28.42"/>
    <col collapsed="false" customWidth="true" hidden="false" outlineLevel="0" max="13" min="13" style="0" width="11.57"/>
    <col collapsed="false" customWidth="true" hidden="false" outlineLevel="0" max="14" min="14" style="0" width="16.14"/>
    <col collapsed="false" customWidth="true" hidden="false" outlineLevel="0" max="15" min="15" style="0" width="34.85"/>
    <col collapsed="false" customWidth="true" hidden="false" outlineLevel="0" max="16" min="16" style="0" width="8"/>
    <col collapsed="false" customWidth="true" hidden="false" outlineLevel="0" max="17" min="17" style="0" width="5"/>
    <col collapsed="false" customWidth="true" hidden="false" outlineLevel="0" max="19" min="19" style="0" width="28.71"/>
  </cols>
  <sheetData>
    <row r="1" customFormat="false" ht="15" hidden="false" customHeight="false" outlineLevel="0" collapsed="false">
      <c r="B1" s="97"/>
      <c r="C1" s="98"/>
      <c r="J1" s="99" t="s">
        <v>49</v>
      </c>
      <c r="K1" s="97"/>
      <c r="L1" s="100"/>
      <c r="N1" s="99" t="s">
        <v>50</v>
      </c>
      <c r="O1" s="97"/>
      <c r="P1" s="100"/>
      <c r="R1" s="99" t="s">
        <v>51</v>
      </c>
      <c r="S1" s="97"/>
      <c r="T1" s="100"/>
    </row>
    <row r="2" customFormat="false" ht="15" hidden="false" customHeight="false" outlineLevel="0" collapsed="false">
      <c r="C2" s="98"/>
      <c r="O2" s="101" t="s">
        <v>52</v>
      </c>
      <c r="P2" s="102" t="n">
        <v>0</v>
      </c>
    </row>
    <row r="3" customFormat="false" ht="15" hidden="false" customHeight="false" outlineLevel="0" collapsed="false">
      <c r="C3" s="98"/>
      <c r="K3" s="101" t="s">
        <v>53</v>
      </c>
      <c r="L3" s="102" t="n">
        <v>0.3815</v>
      </c>
      <c r="O3" s="101" t="s">
        <v>54</v>
      </c>
      <c r="P3" s="102" t="n">
        <v>0</v>
      </c>
      <c r="S3" s="101" t="s">
        <v>55</v>
      </c>
      <c r="T3" s="102" t="n">
        <v>0.9437743069653</v>
      </c>
    </row>
    <row r="4" customFormat="false" ht="15" hidden="false" customHeight="false" outlineLevel="0" collapsed="false">
      <c r="C4" s="98"/>
      <c r="K4" s="101" t="s">
        <v>56</v>
      </c>
      <c r="L4" s="102" t="n">
        <v>0.5445</v>
      </c>
      <c r="O4" s="101" t="s">
        <v>57</v>
      </c>
      <c r="P4" s="102" t="n">
        <v>0</v>
      </c>
      <c r="S4" s="101" t="s">
        <v>58</v>
      </c>
      <c r="T4" s="102" t="n">
        <v>0.0562256930346996</v>
      </c>
    </row>
    <row r="5" customFormat="false" ht="15" hidden="false" customHeight="false" outlineLevel="0" collapsed="false">
      <c r="A5" s="97"/>
      <c r="B5" s="97"/>
      <c r="C5" s="98"/>
      <c r="K5" s="101" t="s">
        <v>59</v>
      </c>
      <c r="L5" s="102" t="n">
        <v>0.074</v>
      </c>
      <c r="O5" s="101" t="s">
        <v>60</v>
      </c>
      <c r="P5" s="102" t="n">
        <v>0.0893</v>
      </c>
    </row>
    <row r="6" customFormat="false" ht="15" hidden="false" customHeight="false" outlineLevel="0" collapsed="false">
      <c r="A6" s="97"/>
      <c r="B6" s="97"/>
      <c r="C6" s="98"/>
      <c r="K6" s="101" t="s">
        <v>61</v>
      </c>
      <c r="L6" s="102" t="n">
        <v>0</v>
      </c>
      <c r="O6" s="101" t="s">
        <v>62</v>
      </c>
      <c r="P6" s="102" t="n">
        <v>0.7766</v>
      </c>
    </row>
    <row r="7" customFormat="false" ht="15" hidden="false" customHeight="false" outlineLevel="0" collapsed="false">
      <c r="B7" s="97"/>
      <c r="C7" s="98"/>
      <c r="L7" s="103" t="n">
        <f aca="false">SUM(L3:L6)</f>
        <v>1</v>
      </c>
      <c r="O7" s="101" t="s">
        <v>63</v>
      </c>
      <c r="P7" s="102" t="n">
        <v>0</v>
      </c>
      <c r="Q7" s="103"/>
    </row>
    <row r="8" customFormat="false" ht="15" hidden="false" customHeight="false" outlineLevel="0" collapsed="false">
      <c r="C8" s="98"/>
      <c r="O8" s="101" t="s">
        <v>64</v>
      </c>
      <c r="P8" s="104" t="n">
        <v>0.134</v>
      </c>
    </row>
    <row r="9" customFormat="false" ht="15" hidden="false" customHeight="false" outlineLevel="0" collapsed="false">
      <c r="C9" s="98"/>
      <c r="O9" s="101" t="s">
        <v>65</v>
      </c>
      <c r="P9" s="102" t="n">
        <v>0</v>
      </c>
    </row>
    <row r="10" customFormat="false" ht="15" hidden="false" customHeight="false" outlineLevel="0" collapsed="false">
      <c r="C10" s="98"/>
      <c r="O10" s="101" t="s">
        <v>66</v>
      </c>
      <c r="P10" s="102" t="n">
        <v>0</v>
      </c>
    </row>
    <row r="11" customFormat="false" ht="15" hidden="false" customHeight="false" outlineLevel="0" collapsed="false">
      <c r="C11" s="98"/>
      <c r="O11" s="101" t="s">
        <v>67</v>
      </c>
      <c r="P11" s="102" t="n">
        <v>0</v>
      </c>
    </row>
    <row r="12" customFormat="false" ht="15" hidden="true" customHeight="false" outlineLevel="0" collapsed="false">
      <c r="C12" s="98"/>
      <c r="O12" s="101"/>
      <c r="P12" s="102" t="n">
        <v>0</v>
      </c>
    </row>
    <row r="13" customFormat="false" ht="15" hidden="false" customHeight="false" outlineLevel="0" collapsed="false">
      <c r="C13" s="98"/>
      <c r="O13" s="101" t="s">
        <v>68</v>
      </c>
      <c r="P13" s="102" t="n">
        <v>0</v>
      </c>
    </row>
    <row r="14" customFormat="false" ht="15" hidden="true" customHeight="false" outlineLevel="0" collapsed="false">
      <c r="A14" s="97" t="s">
        <v>69</v>
      </c>
      <c r="B14" s="105" t="n">
        <v>0</v>
      </c>
      <c r="C14" s="98"/>
    </row>
    <row r="15" customFormat="false" ht="15" hidden="false" customHeight="false" outlineLevel="0" collapsed="false">
      <c r="A15" s="97"/>
      <c r="B15" s="105"/>
      <c r="C15" s="98"/>
      <c r="P15" s="103" t="n">
        <f aca="false">SUM(P2:P14)</f>
        <v>0.9999</v>
      </c>
    </row>
    <row r="16" customFormat="false" ht="15" hidden="false" customHeight="false" outlineLevel="0" collapsed="false">
      <c r="B16" s="97"/>
      <c r="C16" s="98"/>
    </row>
    <row r="17" customFormat="false" ht="15" hidden="false" customHeight="false" outlineLevel="0" collapsed="false">
      <c r="C17" s="98"/>
    </row>
    <row r="18" customFormat="false" ht="15" hidden="false" customHeight="false" outlineLevel="0" collapsed="false">
      <c r="C18" s="98"/>
    </row>
    <row r="19" customFormat="false" ht="15" hidden="false" customHeight="false" outlineLevel="0" collapsed="false">
      <c r="C19" s="98"/>
    </row>
    <row r="20" customFormat="false" ht="15" hidden="false" customHeight="false" outlineLevel="0" collapsed="false">
      <c r="C20" s="98"/>
    </row>
    <row r="21" customFormat="false" ht="15" hidden="false" customHeight="false" outlineLevel="0" collapsed="false">
      <c r="C21" s="98"/>
      <c r="N21" s="106"/>
      <c r="O21" s="107"/>
    </row>
    <row r="22" customFormat="false" ht="15" hidden="false" customHeight="false" outlineLevel="0" collapsed="false">
      <c r="A22" s="98"/>
      <c r="B22" s="98"/>
      <c r="C22" s="98"/>
    </row>
    <row r="23" customFormat="false" ht="15" hidden="false" customHeight="false" outlineLevel="0" collapsed="false">
      <c r="A23" s="98"/>
      <c r="B23" s="98"/>
      <c r="C23" s="98"/>
    </row>
    <row r="24" customFormat="false" ht="15" hidden="false" customHeight="false" outlineLevel="0" collapsed="false">
      <c r="A24" s="98"/>
      <c r="B24" s="98"/>
      <c r="C24" s="98"/>
    </row>
  </sheetData>
  <autoFilter ref="K1:T24">
    <sortState ref="K2:T24">
      <sortCondition ref="A2:A24" descending="1" customList=""/>
    </sortState>
  </autoFilter>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2018-12-10T21:02:38Z</dcterms:created>
  <dc:creator>NCABEZAS</dc:creator>
  <dc:description/>
  <dc:language>en-US</dc:language>
  <cp:lastModifiedBy/>
  <dcterms:modified xsi:type="dcterms:W3CDTF">2026-05-19T13:57:34Z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