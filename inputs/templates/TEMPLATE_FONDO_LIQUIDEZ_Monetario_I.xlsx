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<sst xmlns="http://schemas.openxmlformats.org/spreadsheetml/2006/main" count="245" uniqueCount="70">
  <si>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</si>
  <si>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</si>
  <si>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</si>
  <si>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</si>
  <si>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</si>
  <si>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</si>
  <si>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</si>
  <si>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</si>
  <si>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</si>
  <si>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</si>
  <si>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</si>
  <si>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</si>
  <si>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</si>
  <si>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</si>
  <si>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</si>
  <si>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</si>
  <si>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</si>
  <si>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</si>
  <si>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</si>
  <si>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Monetario I</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</si>
  <si>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</si>
  <si>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</si>
  <si>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</si>
  <si>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</si>
  <si>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</si>
  <si>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</si>
  <si>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</si>
  <si>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Liquidez Monetario I</t>
  </si>
  <si>
    <t xml:space="preserve">(*) Acum a Mar</t>
  </si>
  <si>
    <t xml:space="preserve">FONDO LIQUIDEZ Monetario I</t>
  </si>
  <si>
    <t xml:space="preserve">Monetario I</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</si>
  <si>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</si>
  <si>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</si>
  <si>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</si>
  <si>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</si>
  <si>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</si>
  <si>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</si>
  <si>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</si>
  <si>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Monetario I</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</si>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</sst>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8">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General"/>
    <numFmt numFmtId="177" formatCode="_ * #,##0.00_ ;_ * \-#,##0.00_ ;_ * \-_ ;_ @_ "/>
    <numFmt numFmtId="178" formatCode="0.000%"/>
    <numFmt numFmtId="179" formatCode="_ * #,##0.000_ ;_ * \-#,##0.000_ ;_ * \-_ ;_ @_ "/>
    <numFmt numFmtId="180" formatCode="#,##0"/>
    <numFmt numFmtId="181" formatCode="0.0%"/>
  </numFmts>
  <fonts count="43">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b val="true"/>
      <sz val="11"/>
      <color theme="1"/>
      <name val="Aileron"/>
      <family val="3"/>
      <charset val="1"/>
    </font>
    <font>
      <sz val="11"/>
      <color theme="1"/>
      <name val="Aileron"/>
      <family val="3"/>
      <charset val="1"/>
    </font>
    <font>
      <b val="true"/>
      <sz val="7"/>
      <color rgb="FF000000"/>
      <name val="Aileron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8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8" fillId="0" borderId="0" xfId="78" applyFont="true" applyBorder="false" applyAlignment="false" applyProtection="false">
      <alignment horizontal="general" vertical="bottom" textRotation="0" wrapText="false" indent="0" shrinkToFit="false"/>
      <protection locked="true" hidden="false"/>
    </xf>
    <xf numFmtId="168" fontId="8" fillId="0" borderId="0" xfId="78" applyFont="true" applyBorder="false" applyAlignment="false" applyProtection="false">
      <alignment horizontal="general" vertical="bottom" textRotation="0" wrapText="false" indent="0" shrinkToFit="false"/>
      <protection locked="true" hidden="false"/>
    </xf>
    <xf numFmtId="169" fontId="8" fillId="0" borderId="0" xfId="78" applyFont="true" applyBorder="false" applyAlignment="false" applyProtection="false">
      <alignment horizontal="general" vertical="bottom" textRotation="0" wrapText="false" indent="0" shrinkToFit="false"/>
      <protection locked="true" hidden="false"/>
    </xf>
    <xf numFmtId="164" fontId="8" fillId="2" borderId="0" xfId="78" applyFont="true" applyBorder="false" applyAlignment="false" applyProtection="false">
      <alignment horizontal="general" vertical="bottom" textRotation="0" wrapText="false" indent="0" shrinkToFit="false"/>
      <protection locked="true" hidden="false"/>
    </xf>
    <xf numFmtId="164" fontId="9" fillId="3" borderId="0" xfId="78" applyFont="true" applyBorder="false" applyAlignment="false" applyProtection="false">
      <alignment horizontal="general" vertical="bottom" textRotation="0" wrapText="false" indent="0" shrinkToFit="false"/>
      <protection locked="true" hidden="false"/>
    </xf>
    <xf numFmtId="164" fontId="10" fillId="3" borderId="0" xfId="78" applyFont="true" applyBorder="false" applyAlignment="true" applyProtection="false">
      <alignment horizontal="center" vertical="bottom" textRotation="0" wrapText="false" indent="0" shrinkToFit="false"/>
      <protection locked="true" hidden="false"/>
    </xf>
    <xf numFmtId="164" fontId="8" fillId="4" borderId="0" xfId="78" applyFont="true" applyBorder="false" applyAlignment="false" applyProtection="false">
      <alignment horizontal="general" vertical="bottom" textRotation="0" wrapText="false" indent="0" shrinkToFit="false"/>
      <protection locked="true" hidden="false"/>
    </xf>
    <xf numFmtId="164" fontId="8" fillId="0" borderId="0" xfId="78" applyFont="true" applyBorder="false" applyAlignment="true" applyProtection="false">
      <alignment horizontal="center" vertical="bottom" textRotation="0" wrapText="false" indent="0" shrinkToFit="false"/>
      <protection locked="true" hidden="false"/>
    </xf>
    <xf numFmtId="168" fontId="8" fillId="0" borderId="0" xfId="78" applyFont="true" applyBorder="false" applyAlignment="true" applyProtection="false">
      <alignment horizontal="center" vertical="bottom" textRotation="0" wrapText="false" indent="0" shrinkToFit="false"/>
      <protection locked="true" hidden="false"/>
    </xf>
    <xf numFmtId="164" fontId="8" fillId="0" borderId="2" xfId="79" applyFont="true" applyBorder="true" applyAlignment="false" applyProtection="false">
      <alignment horizontal="general" vertical="bottom" textRotation="0" wrapText="false" indent="0" shrinkToFit="false"/>
      <protection locked="true" hidden="false"/>
    </xf>
    <xf numFmtId="170" fontId="8" fillId="0" borderId="0" xfId="81" applyFont="true" applyBorder="false" applyAlignment="false" applyProtection="false">
      <alignment horizontal="general" vertical="bottom" textRotation="0" wrapText="false" indent="0" shrinkToFit="false"/>
      <protection locked="true" hidden="false"/>
    </xf>
    <xf numFmtId="164" fontId="10" fillId="2" borderId="0" xfId="78" applyFont="true" applyBorder="false" applyAlignment="true" applyProtection="false">
      <alignment horizontal="center" vertical="bottom" textRotation="0" wrapText="false" indent="0" shrinkToFit="false"/>
      <protection locked="true" hidden="false"/>
    </xf>
    <xf numFmtId="170" fontId="11" fillId="2" borderId="0" xfId="80" applyFont="true" applyBorder="false" applyAlignment="true" applyProtection="false">
      <alignment horizontal="center" vertical="bottom" textRotation="0" wrapText="false" indent="0" shrinkToFit="false"/>
      <protection locked="true" hidden="false"/>
    </xf>
    <xf numFmtId="170" fontId="12" fillId="2" borderId="0" xfId="80" applyFont="true" applyBorder="false" applyAlignment="true" applyProtection="false">
      <alignment horizontal="center" vertical="bottom" textRotation="0" wrapText="false" indent="0" shrinkToFit="false"/>
      <protection locked="true" hidden="false"/>
    </xf>
    <xf numFmtId="171" fontId="8" fillId="0" borderId="0" xfId="78" applyFont="true" applyBorder="false" applyAlignment="false" applyProtection="false">
      <alignment horizontal="general" vertical="bottom" textRotation="0" wrapText="false" indent="0" shrinkToFit="false"/>
      <protection locked="true" hidden="false"/>
    </xf>
    <xf numFmtId="172" fontId="8" fillId="0" borderId="0" xfId="78" applyFont="true" applyBorder="false" applyAlignment="false" applyProtection="false">
      <alignment horizontal="general" vertical="bottom" textRotation="0" wrapText="false" indent="0" shrinkToFit="false"/>
      <protection locked="true" hidden="false"/>
    </xf>
    <xf numFmtId="173" fontId="8" fillId="0" borderId="0" xfId="78" applyFont="true" applyBorder="false" applyAlignment="false" applyProtection="false">
      <alignment horizontal="general" vertical="bottom" textRotation="0" wrapText="false" indent="0" shrinkToFit="false"/>
      <protection locked="true" hidden="false"/>
    </xf>
    <xf numFmtId="174" fontId="8" fillId="0" borderId="0" xfId="78" applyFont="true" applyBorder="false" applyAlignment="false" applyProtection="false">
      <alignment horizontal="general" vertical="bottom" textRotation="0" wrapText="false" indent="0" shrinkToFit="false"/>
      <protection locked="true" hidden="false"/>
    </xf>
    <xf numFmtId="164" fontId="10" fillId="4" borderId="0" xfId="78" applyFont="true" applyBorder="false" applyAlignment="true" applyProtection="false">
      <alignment horizontal="center" vertical="bottom" textRotation="0" wrapText="false" indent="0" shrinkToFit="false"/>
      <protection locked="true" hidden="false"/>
    </xf>
    <xf numFmtId="170" fontId="11" fillId="4" borderId="0" xfId="80" applyFont="true" applyBorder="false" applyAlignment="true" applyProtection="false">
      <alignment horizontal="center" vertical="bottom" textRotation="0" wrapText="false" indent="0" shrinkToFit="false"/>
      <protection locked="true" hidden="false"/>
    </xf>
    <xf numFmtId="170" fontId="12" fillId="4" borderId="0" xfId="80" applyFont="true" applyBorder="false" applyAlignment="true" applyProtection="false">
      <alignment horizontal="center" vertical="bottom" textRotation="0" wrapText="false" indent="0" shrinkToFit="false"/>
      <protection locked="true" hidden="false"/>
    </xf>
    <xf numFmtId="175" fontId="8" fillId="0" borderId="0" xfId="78" applyFont="true" applyBorder="false" applyAlignment="false" applyProtection="false">
      <alignment horizontal="general" vertical="bottom" textRotation="0" wrapText="false" indent="0" shrinkToFit="false"/>
      <protection locked="true" hidden="false"/>
    </xf>
    <xf numFmtId="170" fontId="8" fillId="0" borderId="0" xfId="80" applyFont="true" applyBorder="false" applyAlignment="false" applyProtection="false">
      <alignment horizontal="general" vertical="bottom" textRotation="0" wrapText="false" indent="0" shrinkToFit="false"/>
      <protection locked="true" hidden="false"/>
    </xf>
    <xf numFmtId="164" fontId="11" fillId="4" borderId="0" xfId="78" applyFont="true" applyBorder="false" applyAlignment="true" applyProtection="false">
      <alignment horizontal="left" vertical="bottom" textRotation="0" wrapText="false" indent="0" shrinkToFit="false"/>
      <protection locked="true" hidden="false"/>
    </xf>
    <xf numFmtId="170" fontId="11" fillId="0" borderId="0" xfId="80" applyFont="true" applyBorder="false" applyAlignment="true" applyProtection="false">
      <alignment horizontal="center" vertical="bottom" textRotation="0" wrapText="false" indent="0" shrinkToFit="false"/>
      <protection locked="true" hidden="false"/>
    </xf>
    <xf numFmtId="176" fontId="8" fillId="2" borderId="0" xfId="78" applyFont="true" applyBorder="false" applyAlignment="false" applyProtection="false">
      <alignment horizontal="general" vertical="bottom" textRotation="0" wrapText="false" indent="0" shrinkToFit="false"/>
      <protection locked="true" hidden="false"/>
    </xf>
    <xf numFmtId="173" fontId="8" fillId="2" borderId="0" xfId="78" applyFont="true" applyBorder="false" applyAlignment="false" applyProtection="false">
      <alignment horizontal="general" vertical="bottom" textRotation="0" wrapText="false" indent="0" shrinkToFit="false"/>
      <protection locked="true" hidden="false"/>
    </xf>
    <xf numFmtId="164" fontId="8" fillId="2" borderId="0" xfId="78" applyFont="true" applyBorder="false" applyAlignment="true" applyProtection="false">
      <alignment horizontal="right" vertical="bottom" textRotation="0" wrapText="false" indent="0" shrinkToFit="false"/>
      <protection locked="true" hidden="false"/>
    </xf>
    <xf numFmtId="171" fontId="8" fillId="5" borderId="0" xfId="78" applyFont="true" applyBorder="false" applyAlignment="false" applyProtection="false">
      <alignment horizontal="general" vertical="bottom" textRotation="0" wrapText="false" indent="0" shrinkToFit="false"/>
      <protection locked="true" hidden="false"/>
    </xf>
    <xf numFmtId="171" fontId="8" fillId="2" borderId="0" xfId="78" applyFont="true" applyBorder="false" applyAlignment="false" applyProtection="false">
      <alignment horizontal="general" vertical="bottom" textRotation="0" wrapText="false" indent="0" shrinkToFit="false"/>
      <protection locked="true" hidden="false"/>
    </xf>
    <xf numFmtId="172" fontId="8" fillId="2" borderId="0" xfId="78" applyFont="true" applyBorder="false" applyAlignment="false" applyProtection="false">
      <alignment horizontal="general" vertical="bottom" textRotation="0" wrapText="false" indent="0" shrinkToFit="false"/>
      <protection locked="true" hidden="false"/>
    </xf>
    <xf numFmtId="164" fontId="8" fillId="0" borderId="0" xfId="78" applyFont="true" applyBorder="false" applyAlignment="true" applyProtection="false">
      <alignment horizontal="right" vertical="bottom" textRotation="0" wrapText="false" indent="0" shrinkToFit="false"/>
      <protection locked="true" hidden="false"/>
    </xf>
    <xf numFmtId="177" fontId="8" fillId="0" borderId="0" xfId="23" applyFont="true" applyBorder="false" applyAlignment="false" applyProtection="false">
      <alignment horizontal="general" vertical="bottom" textRotation="0" wrapText="false" indent="0" shrinkToFit="false"/>
      <protection locked="true" hidden="false"/>
    </xf>
    <xf numFmtId="164" fontId="9" fillId="3" borderId="0" xfId="78" applyFont="true" applyBorder="false" applyAlignment="true" applyProtection="false">
      <alignment horizontal="right" vertical="bottom" textRotation="0" wrapText="false" indent="0" shrinkToFit="false"/>
      <protection locked="true" hidden="false"/>
    </xf>
    <xf numFmtId="164" fontId="13" fillId="4" borderId="0" xfId="78" applyFont="true" applyBorder="false" applyAlignment="true" applyProtection="false">
      <alignment horizontal="center" vertical="bottom" textRotation="0" wrapText="false" indent="0" shrinkToFit="false"/>
      <protection locked="true" hidden="false"/>
    </xf>
    <xf numFmtId="164" fontId="14" fillId="2" borderId="0" xfId="78" applyFont="true" applyBorder="false" applyAlignment="true" applyProtection="false">
      <alignment horizontal="center" vertical="bottom" textRotation="0" wrapText="false" indent="0" shrinkToFit="false"/>
      <protection locked="true" hidden="false"/>
    </xf>
    <xf numFmtId="164" fontId="14" fillId="4" borderId="0" xfId="78" applyFont="true" applyBorder="false" applyAlignment="true" applyProtection="false">
      <alignment horizontal="center" vertical="bottom" textRotation="0" wrapText="false" indent="0" shrinkToFit="false"/>
      <protection locked="true" hidden="false"/>
    </xf>
    <xf numFmtId="164" fontId="10" fillId="0" borderId="0" xfId="78" applyFont="true" applyBorder="false" applyAlignment="true" applyProtection="false">
      <alignment horizontal="center" vertical="bottom" textRotation="0" wrapText="false" indent="0" shrinkToFit="false"/>
      <protection locked="true" hidden="false"/>
    </xf>
    <xf numFmtId="177" fontId="8" fillId="2" borderId="0" xfId="23" applyFont="true" applyBorder="false" applyAlignment="false" applyProtection="false">
      <alignment horizontal="general" vertical="bottom" textRotation="0" wrapText="false" indent="0" shrinkToFit="false"/>
      <protection locked="true" hidden="false"/>
    </xf>
    <xf numFmtId="164" fontId="10" fillId="4" borderId="0" xfId="78" applyFont="true" applyBorder="true" applyAlignment="true" applyProtection="false">
      <alignment horizontal="center" vertical="center" textRotation="0" wrapText="false" indent="0" shrinkToFit="false"/>
      <protection locked="true" hidden="false"/>
    </xf>
    <xf numFmtId="170" fontId="15" fillId="2" borderId="0" xfId="80" applyFont="true" applyBorder="false" applyAlignment="true" applyProtection="false">
      <alignment horizontal="center" vertical="bottom" textRotation="0" wrapText="false" indent="0" shrinkToFit="false"/>
      <protection locked="true" hidden="false"/>
    </xf>
    <xf numFmtId="170" fontId="15" fillId="4" borderId="0" xfId="80" applyFont="true" applyBorder="false" applyAlignment="true" applyProtection="false">
      <alignment horizontal="center" vertical="bottom" textRotation="0" wrapText="false" indent="0" shrinkToFit="false"/>
      <protection locked="true" hidden="false"/>
    </xf>
    <xf numFmtId="164" fontId="16" fillId="4" borderId="0" xfId="78" applyFont="true" applyBorder="false" applyAlignment="true" applyProtection="false">
      <alignment horizontal="left" vertical="bottom" textRotation="0" wrapText="false" indent="0" shrinkToFit="false"/>
      <protection locked="true" hidden="false"/>
    </xf>
    <xf numFmtId="178" fontId="8" fillId="0" borderId="0" xfId="19" applyFont="true" applyBorder="false" applyAlignment="false" applyProtection="false">
      <alignment horizontal="general" vertical="bottom" textRotation="0" wrapText="false" indent="0" shrinkToFit="false"/>
      <protection locked="true" hidden="false"/>
    </xf>
    <xf numFmtId="170" fontId="12" fillId="0" borderId="0" xfId="80" applyFont="true" applyBorder="false" applyAlignment="true" applyProtection="false">
      <alignment horizontal="center" vertical="bottom" textRotation="0" wrapText="false" indent="0" shrinkToFit="false"/>
      <protection locked="true" hidden="false"/>
    </xf>
    <xf numFmtId="179" fontId="8" fillId="0" borderId="0" xfId="82" applyFont="true" applyBorder="false" applyAlignment="false" applyProtection="false">
      <alignment horizontal="general" vertical="bottom" textRotation="0" wrapText="false" indent="0" shrinkToFit="false"/>
      <protection locked="true" hidden="false"/>
    </xf>
    <xf numFmtId="164" fontId="11" fillId="0" borderId="0" xfId="78" applyFont="true" applyBorder="false" applyAlignment="true" applyProtection="false">
      <alignment horizontal="left" vertical="bottom" textRotation="0" wrapText="false" indent="0" shrinkToFit="false"/>
      <protection locked="true" hidden="false"/>
    </xf>
    <xf numFmtId="164" fontId="17" fillId="3" borderId="0" xfId="78" applyFont="true" applyBorder="false" applyAlignment="true" applyProtection="false">
      <alignment horizontal="center" vertical="bottom" textRotation="0" wrapText="false" indent="0" shrinkToFit="false"/>
      <protection locked="true" hidden="false"/>
    </xf>
    <xf numFmtId="164" fontId="18" fillId="3" borderId="0" xfId="78" applyFont="true" applyBorder="false" applyAlignment="true" applyProtection="false">
      <alignment horizontal="center" vertical="bottom" textRotation="0" wrapText="false" indent="0" shrinkToFit="false"/>
      <protection locked="true" hidden="false"/>
    </xf>
    <xf numFmtId="164" fontId="19" fillId="4" borderId="0" xfId="78" applyFont="true" applyBorder="false" applyAlignment="true" applyProtection="false">
      <alignment horizontal="left" vertical="bottom" textRotation="0" wrapText="false" indent="0" shrinkToFit="false"/>
      <protection locked="true" hidden="false"/>
    </xf>
    <xf numFmtId="164" fontId="18" fillId="6" borderId="0" xfId="78" applyFont="true" applyBorder="false" applyAlignment="true" applyProtection="false">
      <alignment horizontal="center" vertical="bottom" textRotation="0" wrapText="false" indent="0" shrinkToFit="false"/>
      <protection locked="true" hidden="false"/>
    </xf>
    <xf numFmtId="170" fontId="20" fillId="6" borderId="0" xfId="80" applyFont="true" applyBorder="false" applyAlignment="true" applyProtection="false">
      <alignment horizontal="center" vertical="bottom" textRotation="0" wrapText="false" indent="0" shrinkToFit="false"/>
      <protection locked="true" hidden="false"/>
    </xf>
    <xf numFmtId="170" fontId="18" fillId="2" borderId="0" xfId="80" applyFont="true" applyBorder="false" applyAlignment="true" applyProtection="false">
      <alignment horizontal="center" vertical="bottom" textRotation="0" wrapText="false" indent="0" shrinkToFit="false"/>
      <protection locked="true" hidden="false"/>
    </xf>
    <xf numFmtId="164" fontId="18" fillId="2" borderId="0" xfId="78" applyFont="true" applyBorder="false" applyAlignment="true" applyProtection="false">
      <alignment horizontal="center" vertical="bottom" textRotation="0" wrapText="false" indent="0" shrinkToFit="false"/>
      <protection locked="true" hidden="false"/>
    </xf>
    <xf numFmtId="170" fontId="20" fillId="2" borderId="0" xfId="80" applyFont="true" applyBorder="false" applyAlignment="true" applyProtection="false">
      <alignment horizontal="center" vertical="bottom" textRotation="0" wrapText="false" indent="0" shrinkToFit="false"/>
      <protection locked="true" hidden="false"/>
    </xf>
    <xf numFmtId="164" fontId="17" fillId="6" borderId="0" xfId="78" applyFont="true" applyBorder="false" applyAlignment="true" applyProtection="false">
      <alignment horizontal="center" vertical="center" textRotation="0" wrapText="false" indent="0" shrinkToFit="false"/>
      <protection locked="true" hidden="false"/>
    </xf>
    <xf numFmtId="164" fontId="17" fillId="2" borderId="0" xfId="78" applyFont="true" applyBorder="false" applyAlignment="true" applyProtection="false">
      <alignment horizontal="center" vertical="center" textRotation="0" wrapText="false" indent="0" shrinkToFit="false"/>
      <protection locked="true" hidden="false"/>
    </xf>
    <xf numFmtId="170" fontId="8" fillId="0" borderId="0" xfId="78" applyFont="true" applyBorder="false" applyAlignment="false" applyProtection="false">
      <alignment horizontal="general" vertical="bottom" textRotation="0" wrapText="false" indent="0" shrinkToFit="false"/>
      <protection locked="true" hidden="false"/>
    </xf>
    <xf numFmtId="164" fontId="17" fillId="2" borderId="0" xfId="78" applyFont="true" applyBorder="true" applyAlignment="true" applyProtection="false">
      <alignment horizontal="center" vertical="center"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80" applyFont="true" applyBorder="false" applyAlignment="false" applyProtection="false">
      <alignment horizontal="general" vertical="bottom" textRotation="0" wrapText="false" indent="0" shrinkToFit="false"/>
      <protection locked="true" hidden="false"/>
    </xf>
    <xf numFmtId="174" fontId="8" fillId="5" borderId="0" xfId="78" applyFont="true" applyBorder="false" applyAlignment="false" applyProtection="false">
      <alignment horizontal="general" vertical="bottom" textRotation="0" wrapText="false" indent="0" shrinkToFit="false"/>
      <protection locked="true" hidden="false"/>
    </xf>
    <xf numFmtId="164" fontId="21" fillId="0" borderId="0" xfId="78" applyFont="true" applyBorder="false" applyAlignment="false" applyProtection="false">
      <alignment horizontal="general" vertical="bottom" textRotation="0" wrapText="false" indent="0" shrinkToFit="false"/>
      <protection locked="true" hidden="false"/>
    </xf>
    <xf numFmtId="166" fontId="8" fillId="0" borderId="0" xfId="82" applyFont="true" applyBorder="false" applyAlignment="false" applyProtection="false">
      <alignment horizontal="general" vertical="bottom" textRotation="0" wrapText="false" indent="0" shrinkToFit="false"/>
      <protection locked="true" hidden="false"/>
    </xf>
    <xf numFmtId="166" fontId="8" fillId="0" borderId="0" xfId="78" applyFont="true" applyBorder="false" applyAlignment="false" applyProtection="false">
      <alignment horizontal="general" vertical="bottom" textRotation="0" wrapText="false" indent="0" shrinkToFit="false"/>
      <protection locked="true" hidden="false"/>
    </xf>
    <xf numFmtId="170" fontId="22" fillId="0" borderId="0" xfId="80" applyFont="true" applyBorder="false" applyAlignment="false" applyProtection="false">
      <alignment horizontal="general" vertical="bottom" textRotation="0" wrapText="false" indent="0" shrinkToFit="false"/>
      <protection locked="true" hidden="false"/>
    </xf>
    <xf numFmtId="168" fontId="23" fillId="7" borderId="3" xfId="0" applyFont="true" applyBorder="true" applyAlignment="false" applyProtection="false">
      <alignment horizontal="general" vertical="bottom" textRotation="0" wrapText="false" indent="0" shrinkToFit="false"/>
      <protection locked="true" hidden="false"/>
    </xf>
    <xf numFmtId="171"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4" fontId="24" fillId="8" borderId="4" xfId="0" applyFont="true" applyBorder="true" applyAlignment="true" applyProtection="false">
      <alignment horizontal="general" vertical="bottom" textRotation="0" wrapText="true" indent="0" shrinkToFit="false"/>
      <protection locked="true" hidden="false"/>
    </xf>
    <xf numFmtId="168" fontId="23" fillId="0" borderId="3" xfId="0" applyFont="true" applyBorder="true" applyAlignment="false" applyProtection="false">
      <alignment horizontal="general" vertical="bottom" textRotation="0" wrapText="false" indent="0" shrinkToFit="false"/>
      <protection locked="true" hidden="false"/>
    </xf>
    <xf numFmtId="164" fontId="24" fillId="8" borderId="4" xfId="0" applyFont="true" applyBorder="true" applyAlignment="false" applyProtection="false">
      <alignment horizontal="general" vertical="bottom" textRotation="0" wrapText="false" indent="0" shrinkToFit="false"/>
      <protection locked="true" hidden="false"/>
    </xf>
    <xf numFmtId="180" fontId="25" fillId="7"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0"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center" vertical="center" textRotation="0" wrapText="false" indent="0" shrinkToFit="false"/>
      <protection locked="true" hidden="false"/>
    </xf>
    <xf numFmtId="170" fontId="36" fillId="0" borderId="0" xfId="0" applyFont="true" applyBorder="false" applyAlignment="true" applyProtection="false">
      <alignment horizontal="center" vertical="center" textRotation="0" wrapText="false" indent="0" shrinkToFit="false"/>
      <protection locked="true" hidden="false"/>
    </xf>
    <xf numFmtId="170" fontId="37" fillId="0" borderId="0" xfId="8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41" fillId="9" borderId="0" xfId="0" applyFont="true" applyBorder="false" applyAlignment="false" applyProtection="false">
      <alignment horizontal="general" vertical="bottom" textRotation="0" wrapText="false" indent="0" shrinkToFit="false"/>
      <protection locked="true" hidden="false"/>
    </xf>
    <xf numFmtId="170" fontId="41" fillId="9"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81" fontId="41" fillId="9" borderId="0" xfId="0" applyFont="true" applyBorder="false" applyAlignment="false" applyProtection="false">
      <alignment horizontal="general" vertical="bottom" textRotation="0" wrapText="false" indent="0" shrinkToFit="false"/>
      <protection locked="true" hidden="false"/>
    </xf>
    <xf numFmtId="170" fontId="3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69">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11" xfId="22"/>
    <cellStyle name="Millares [0] 2" xfId="23"/>
    <cellStyle name="Millares [0] 2 10" xfId="24"/>
    <cellStyle name="Millares [0] 2 11" xfId="25"/>
    <cellStyle name="Millares [0] 2 12" xfId="26"/>
    <cellStyle name="Millares [0] 2 13" xfId="27"/>
    <cellStyle name="Millares [0] 2 2" xfId="28"/>
    <cellStyle name="Millares [0] 2 2 2" xfId="29"/>
    <cellStyle name="Millares [0] 2 2 2 2" xfId="30"/>
    <cellStyle name="Millares [0] 2 2 2 3" xfId="31"/>
    <cellStyle name="Millares [0] 2 2 3" xfId="32"/>
    <cellStyle name="Millares [0] 2 2 3 2" xfId="33"/>
    <cellStyle name="Millares [0] 2 2 3 3" xfId="34"/>
    <cellStyle name="Millares [0] 2 2 4" xfId="35"/>
    <cellStyle name="Millares [0] 2 2 5" xfId="36"/>
    <cellStyle name="Millares [0] 2 2 6" xfId="37"/>
    <cellStyle name="Millares [0] 2 2 7" xfId="38"/>
    <cellStyle name="Millares [0] 2 2 8" xfId="39"/>
    <cellStyle name="Millares [0] 2 3" xfId="40"/>
    <cellStyle name="Millares [0] 2 3 2" xfId="41"/>
    <cellStyle name="Millares [0] 2 3 3" xfId="42"/>
    <cellStyle name="Millares [0] 2 3 4" xfId="43"/>
    <cellStyle name="Millares [0] 2 3 5" xfId="44"/>
    <cellStyle name="Millares [0] 2 4" xfId="45"/>
    <cellStyle name="Millares [0] 2 4 2" xfId="46"/>
    <cellStyle name="Millares [0] 2 4 3" xfId="47"/>
    <cellStyle name="Millares [0] 2 5" xfId="48"/>
    <cellStyle name="Millares [0] 2 5 2" xfId="49"/>
    <cellStyle name="Millares [0] 2 5 3" xfId="50"/>
    <cellStyle name="Millares [0] 2 6" xfId="51"/>
    <cellStyle name="Millares [0] 2 6 2" xfId="52"/>
    <cellStyle name="Millares [0] 2 6 3" xfId="53"/>
    <cellStyle name="Millares [0] 2 7" xfId="54"/>
    <cellStyle name="Millares [0] 2 7 2" xfId="55"/>
    <cellStyle name="Millares [0] 2 8" xfId="56"/>
    <cellStyle name="Millares [0] 2 9" xfId="57"/>
    <cellStyle name="Millares [0] 3" xfId="58"/>
    <cellStyle name="Millares [0] 3 2" xfId="59"/>
    <cellStyle name="Millares [0] 3 2 2" xfId="60"/>
    <cellStyle name="Millares [0] 3 2 3" xfId="61"/>
    <cellStyle name="Millares [0] 3 3" xfId="62"/>
    <cellStyle name="Millares [0] 3 4" xfId="63"/>
    <cellStyle name="Millares [0] 3 5" xfId="64"/>
    <cellStyle name="Millares [0] 3 6" xfId="65"/>
    <cellStyle name="Millares [0] 3 7" xfId="66"/>
    <cellStyle name="Millares [0] 4" xfId="67"/>
    <cellStyle name="Millares [0] 4 2" xfId="68"/>
    <cellStyle name="Millares [0] 4 3" xfId="69"/>
    <cellStyle name="Millares [0] 4 4" xfId="70"/>
    <cellStyle name="Millares [0] 4 5" xfId="71"/>
    <cellStyle name="Millares [0] 5" xfId="72"/>
    <cellStyle name="Millares [0] 5 2" xfId="73"/>
    <cellStyle name="Millares [0] 6" xfId="74"/>
    <cellStyle name="Millares [0] 7" xfId="75"/>
    <cellStyle name="Millares [0] 8" xfId="76"/>
    <cellStyle name="Millares [0] 9" xfId="77"/>
    <cellStyle name="Normal 2" xfId="78"/>
    <cellStyle name="Normal 54" xfId="79"/>
    <cellStyle name="Porcentaje 2" xfId="80"/>
    <cellStyle name="Porcentaje 29" xfId="81"/>
    <cellStyle name="Excel Built-in Comma [0]" xfId="82"/>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Monetario I</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42770759"/>
        <c:axId val="54766618"/>
      </c:lineChart>
      <c:dateAx>
        <c:axId val="42770759"/>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4766618"/>
        <c:crosses val="autoZero"/>
        <c:auto val="1"/>
        <c:lblOffset val="100"/>
        <c:baseTimeUnit val="months"/>
        <c:majorUnit val="6"/>
        <c:majorTimeUnit val="months"/>
        <c:minorUnit val="6"/>
        <c:minorTimeUnit val="months"/>
        <c:noMultiLvlLbl val="0"/>
      </c:dateAx>
      <c:valAx>
        <c:axId val="54766618"/>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2770759"/>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Monetario I</a:t>
            </a:r>
          </a:p>
        </c:rich>
      </c:tx>
      <c:overlay val="0"/>
      <c:spPr>
        <a:noFill/>
        <a:ln w="0">
          <a:noFill/>
        </a:ln>
      </c:spPr>
    </c:title>
    <c:autoTitleDeleted val="0"/>
    <c:plotArea>
      <c:layout>
        <c:manualLayout>
          <c:layoutTarget val="inner"/>
          <c:xMode val="edge"/>
          <c:yMode val="edge"/>
          <c:x val="0.0787392550143267"/>
          <c:y val="0.101901994452516"/>
          <c:w val="0.90261700095511"/>
          <c:h val="0.78602562409193"/>
        </c:manualLayout>
      </c:layout>
      <c:lineChart>
        <c:grouping val="standard"/>
        <c:varyColors val="0"/>
        <c:ser>
          <c:idx val="0"/>
          <c:order val="0"/>
          <c:tx>
            <c:strRef>
              <c:f>"FIP Liquidez Monetario I"</c:f>
              <c:strCache>
                <c:ptCount val="1"/>
                <c:pt idx="0">
                  <c:v>FIP Liquidez Monetario I</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(2)'!$F$224:$F$244</c:f>
              <c:numCache>
                <c:formatCode>m/d/yyyy</c:formatCode>
                <c:ptCount val="21"/>
                <c:pt idx="0">
                  <c:v>4/18/2024</c:v>
                </c:pt>
                <c:pt idx="1">
                  <c:v>4/30/2024</c:v>
                </c:pt>
                <c:pt idx="2">
                  <c:v>5/31/2024</c:v>
                </c:pt>
                <c:pt idx="3">
                  <c:v>6/30/2024</c:v>
                </c:pt>
                <c:pt idx="4">
                  <c:v>7/31/2024</c:v>
                </c:pt>
                <c:pt idx="5">
                  <c:v>8/31/2024</c:v>
                </c:pt>
                <c:pt idx="6">
                  <c:v>9/30/2024</c:v>
                </c:pt>
                <c:pt idx="7">
                  <c:v>10/31/2024</c:v>
                </c:pt>
                <c:pt idx="8">
                  <c:v>11/30/2024</c:v>
                </c:pt>
                <c:pt idx="9">
                  <c:v>12/31/2024</c:v>
                </c:pt>
                <c:pt idx="10">
                  <c:v>1/31/2025</c:v>
                </c:pt>
                <c:pt idx="11">
                  <c:v>2/28/2025</c:v>
                </c:pt>
                <c:pt idx="12">
                  <c:v>3/31/2025</c:v>
                </c:pt>
                <c:pt idx="13">
                  <c:v>4/30/2025</c:v>
                </c:pt>
                <c:pt idx="14">
                  <c:v>5/31/2025</c:v>
                </c:pt>
                <c:pt idx="15">
                  <c:v>6/30/2025</c:v>
                </c:pt>
                <c:pt idx="16">
                  <c:v>7/31/2025</c:v>
                </c:pt>
                <c:pt idx="17">
                  <c:v>8/31/2025</c:v>
                </c:pt>
                <c:pt idx="18">
                  <c:v>9/30/2025</c:v>
                </c:pt>
                <c:pt idx="19">
                  <c:v>10/31/2025</c:v>
                </c:pt>
                <c:pt idx="20">
                  <c:v>11/30/2025</c:v>
                </c:pt>
              </c:numCache>
            </c:numRef>
          </c:cat>
          <c:val>
            <c:numRef>
              <c:f>'Datos ICP (2)'!$J$224:$J$244</c:f>
              <c:numCache>
                <c:formatCode>#,##0.00</c:formatCode>
                <c:ptCount val="21"/>
                <c:pt idx="0">
                  <c:v>100</c:v>
                </c:pt>
                <c:pt idx="1">
                  <c:v>100.58464</c:v>
                </c:pt>
                <c:pt idx="2">
                  <c:v>101.26549483871</c:v>
                </c:pt>
                <c:pt idx="3">
                  <c:v>101.858241994918</c:v>
                </c:pt>
                <c:pt idx="4">
                  <c:v>102.435631947751</c:v>
                </c:pt>
                <c:pt idx="5">
                  <c:v>102.945441238408</c:v>
                </c:pt>
                <c:pt idx="6">
                  <c:v>103.521598687868</c:v>
                </c:pt>
                <c:pt idx="7">
                  <c:v>103.983148416436</c:v>
                </c:pt>
                <c:pt idx="8">
                  <c:v>104.432332655049</c:v>
                </c:pt>
                <c:pt idx="9">
                  <c:v>104.898436558515</c:v>
                </c:pt>
                <c:pt idx="10">
                  <c:v>105.274279246811</c:v>
                </c:pt>
                <c:pt idx="11">
                  <c:v>105.757581684312</c:v>
                </c:pt>
                <c:pt idx="12">
                  <c:v>106.270674046193</c:v>
                </c:pt>
                <c:pt idx="13">
                  <c:v>107.008917540393</c:v>
                </c:pt>
                <c:pt idx="14">
                  <c:v>107.633771133202</c:v>
                </c:pt>
                <c:pt idx="15">
                  <c:v>108.235543893227</c:v>
                </c:pt>
                <c:pt idx="16">
                  <c:v>108.854804876533</c:v>
                </c:pt>
                <c:pt idx="17">
                  <c:v>109.464553576489</c:v>
                </c:pt>
                <c:pt idx="18">
                  <c:v>110.033806346489</c:v>
                </c:pt>
                <c:pt idx="19">
                  <c:v>110.6344739235</c:v>
                </c:pt>
                <c:pt idx="20">
                  <c:v>111.220396865612</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(2)'!$F$224:$F$244</c:f>
              <c:numCache>
                <c:formatCode>m/d/yyyy</c:formatCode>
                <c:ptCount val="21"/>
                <c:pt idx="0">
                  <c:v>4/18/2024</c:v>
                </c:pt>
                <c:pt idx="1">
                  <c:v>4/30/2024</c:v>
                </c:pt>
                <c:pt idx="2">
                  <c:v>5/31/2024</c:v>
                </c:pt>
                <c:pt idx="3">
                  <c:v>6/30/2024</c:v>
                </c:pt>
                <c:pt idx="4">
                  <c:v>7/31/2024</c:v>
                </c:pt>
                <c:pt idx="5">
                  <c:v>8/31/2024</c:v>
                </c:pt>
                <c:pt idx="6">
                  <c:v>9/30/2024</c:v>
                </c:pt>
                <c:pt idx="7">
                  <c:v>10/31/2024</c:v>
                </c:pt>
                <c:pt idx="8">
                  <c:v>11/30/2024</c:v>
                </c:pt>
                <c:pt idx="9">
                  <c:v>12/31/2024</c:v>
                </c:pt>
                <c:pt idx="10">
                  <c:v>1/31/2025</c:v>
                </c:pt>
                <c:pt idx="11">
                  <c:v>2/28/2025</c:v>
                </c:pt>
                <c:pt idx="12">
                  <c:v>3/31/2025</c:v>
                </c:pt>
                <c:pt idx="13">
                  <c:v>4/30/2025</c:v>
                </c:pt>
                <c:pt idx="14">
                  <c:v>5/31/2025</c:v>
                </c:pt>
                <c:pt idx="15">
                  <c:v>6/30/2025</c:v>
                </c:pt>
                <c:pt idx="16">
                  <c:v>7/31/2025</c:v>
                </c:pt>
                <c:pt idx="17">
                  <c:v>8/31/2025</c:v>
                </c:pt>
                <c:pt idx="18">
                  <c:v>9/30/2025</c:v>
                </c:pt>
                <c:pt idx="19">
                  <c:v>10/31/2025</c:v>
                </c:pt>
                <c:pt idx="20">
                  <c:v>11/30/2025</c:v>
                </c:pt>
              </c:numCache>
            </c:numRef>
          </c:cat>
          <c:val>
            <c:numRef>
              <c:f>'Datos ICP (2)'!$M$224:$M$244</c:f>
              <c:numCache>
                <c:formatCode>0.00</c:formatCode>
                <c:ptCount val="21"/>
                <c:pt idx="0">
                  <c:v>100</c:v>
                </c:pt>
                <c:pt idx="1">
                  <c:v>100.472012403361</c:v>
                </c:pt>
                <c:pt idx="2">
                  <c:v>100.877251375044</c:v>
                </c:pt>
                <c:pt idx="3">
                  <c:v>101.245472824761</c:v>
                </c:pt>
                <c:pt idx="4">
                  <c:v>101.601542643577</c:v>
                </c:pt>
                <c:pt idx="5">
                  <c:v>101.958229877958</c:v>
                </c:pt>
                <c:pt idx="6">
                  <c:v>102.302384304526</c:v>
                </c:pt>
                <c:pt idx="7">
                  <c:v>102.640062661179</c:v>
                </c:pt>
                <c:pt idx="8">
                  <c:v>102.970602112419</c:v>
                </c:pt>
                <c:pt idx="9">
                  <c:v>103.29245392561</c:v>
                </c:pt>
                <c:pt idx="10">
                  <c:v>103.594355477327</c:v>
                </c:pt>
                <c:pt idx="11">
                  <c:v>103.90093605858</c:v>
                </c:pt>
                <c:pt idx="12">
                  <c:v>104.20890114017</c:v>
                </c:pt>
                <c:pt idx="13">
                  <c:v>104.519021586778</c:v>
                </c:pt>
                <c:pt idx="14">
                  <c:v>104.831543156924</c:v>
                </c:pt>
                <c:pt idx="15">
                  <c:v>105.145728790959</c:v>
                </c:pt>
                <c:pt idx="16">
                  <c:v>105.445958804294</c:v>
                </c:pt>
                <c:pt idx="17">
                  <c:v>105.752147560661</c:v>
                </c:pt>
                <c:pt idx="18">
                  <c:v>106.044194274065</c:v>
                </c:pt>
                <c:pt idx="19">
                  <c:v>106.338230337932</c:v>
                </c:pt>
                <c:pt idx="20">
                  <c:v>106.635447367957</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(2)'!$F$224:$F$244</c:f>
              <c:numCache>
                <c:formatCode>m/d/yyyy</c:formatCode>
                <c:ptCount val="21"/>
                <c:pt idx="0">
                  <c:v>4/18/2024</c:v>
                </c:pt>
                <c:pt idx="1">
                  <c:v>4/30/2024</c:v>
                </c:pt>
                <c:pt idx="2">
                  <c:v>5/31/2024</c:v>
                </c:pt>
                <c:pt idx="3">
                  <c:v>6/30/2024</c:v>
                </c:pt>
                <c:pt idx="4">
                  <c:v>7/31/2024</c:v>
                </c:pt>
                <c:pt idx="5">
                  <c:v>8/31/2024</c:v>
                </c:pt>
                <c:pt idx="6">
                  <c:v>9/30/2024</c:v>
                </c:pt>
                <c:pt idx="7">
                  <c:v>10/31/2024</c:v>
                </c:pt>
                <c:pt idx="8">
                  <c:v>11/30/2024</c:v>
                </c:pt>
                <c:pt idx="9">
                  <c:v>12/31/2024</c:v>
                </c:pt>
                <c:pt idx="10">
                  <c:v>1/31/2025</c:v>
                </c:pt>
                <c:pt idx="11">
                  <c:v>2/28/2025</c:v>
                </c:pt>
                <c:pt idx="12">
                  <c:v>3/31/2025</c:v>
                </c:pt>
                <c:pt idx="13">
                  <c:v>4/30/2025</c:v>
                </c:pt>
                <c:pt idx="14">
                  <c:v>5/31/2025</c:v>
                </c:pt>
                <c:pt idx="15">
                  <c:v>6/30/2025</c:v>
                </c:pt>
                <c:pt idx="16">
                  <c:v>7/31/2025</c:v>
                </c:pt>
                <c:pt idx="17">
                  <c:v>8/31/2025</c:v>
                </c:pt>
                <c:pt idx="18">
                  <c:v>9/30/2025</c:v>
                </c:pt>
                <c:pt idx="19">
                  <c:v>10/31/2025</c:v>
                </c:pt>
                <c:pt idx="20">
                  <c:v>11/30/2025</c:v>
                </c:pt>
              </c:numCache>
            </c:numRef>
          </c:cat>
          <c:val>
            <c:numRef>
              <c:f>'Datos ICP (2)'!$D$224:$D$244</c:f>
              <c:numCache>
                <c:formatCode>0.00</c:formatCode>
                <c:ptCount val="21"/>
                <c:pt idx="0">
                  <c:v>104.280336623467</c:v>
                </c:pt>
                <c:pt idx="1">
                  <c:v>104.85793440757</c:v>
                </c:pt>
                <c:pt idx="2">
                  <c:v>105.41748198066</c:v>
                </c:pt>
                <c:pt idx="3">
                  <c:v>105.903830705899</c:v>
                </c:pt>
                <c:pt idx="4">
                  <c:v>106.445410975407</c:v>
                </c:pt>
                <c:pt idx="5">
                  <c:v>106.940109365365</c:v>
                </c:pt>
                <c:pt idx="6">
                  <c:v>107.451394679645</c:v>
                </c:pt>
                <c:pt idx="7">
                  <c:v>107.920413832008</c:v>
                </c:pt>
                <c:pt idx="8">
                  <c:v>108.393572059477</c:v>
                </c:pt>
                <c:pt idx="9">
                  <c:v>108.859971855665</c:v>
                </c:pt>
                <c:pt idx="10">
                  <c:v>109.329238768648</c:v>
                </c:pt>
                <c:pt idx="11">
                  <c:v>109.785641061585</c:v>
                </c:pt>
                <c:pt idx="12">
                  <c:v>110.243957378385</c:v>
                </c:pt>
                <c:pt idx="13">
                  <c:v>110.704304883999</c:v>
                </c:pt>
                <c:pt idx="14">
                  <c:v>111.151503167103</c:v>
                </c:pt>
                <c:pt idx="15">
                  <c:v>111.631073678691</c:v>
                </c:pt>
                <c:pt idx="16">
                  <c:v>112.096279478611</c:v>
                </c:pt>
                <c:pt idx="17">
                  <c:v>112.512114153679</c:v>
                </c:pt>
                <c:pt idx="18">
                  <c:v>112.988045883136</c:v>
                </c:pt>
                <c:pt idx="19">
                  <c:v>113.421722091055</c:v>
                </c:pt>
                <c:pt idx="20">
                  <c:v>113.856403996233</c:v>
                </c:pt>
              </c:numCache>
            </c:numRef>
          </c:val>
          <c:smooth val="0"/>
        </c:ser>
        <c:hiLowLines>
          <c:spPr>
            <a:ln w="0">
              <a:noFill/>
            </a:ln>
          </c:spPr>
        </c:hiLowLines>
        <c:marker val="1"/>
        <c:axId val="37677129"/>
        <c:axId val="17293248"/>
      </c:lineChart>
      <c:dateAx>
        <c:axId val="37677129"/>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7293248"/>
        <c:auto val="1"/>
        <c:lblOffset val="100"/>
        <c:baseTimeUnit val="days"/>
        <c:noMultiLvlLbl val="0"/>
      </c:dateAx>
      <c:valAx>
        <c:axId val="17293248"/>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37677129"/>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0.3815</c:v>
                </c:pt>
                <c:pt idx="1">
                  <c:v>0.5445</c:v>
                </c:pt>
                <c:pt idx="2">
                  <c:v>0.074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0.0893</c:v>
                </c:pt>
                <c:pt idx="3">
                  <c:v>0.7766</c:v>
                </c:pt>
                <c:pt idx="4">
                  <c:v>0</c:v>
                </c:pt>
                <c:pt idx="5">
                  <c:v>0.134</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0.9437743069653</c:v>
                </c:pt>
                <c:pt idx="1">
                  <c:v>0.0562256930346996</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177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843480</xdr:colOff>
      <xdr:row>270</xdr:row>
      <xdr:rowOff>126720</xdr:rowOff>
    </xdr:from>
    <xdr:to>
      <xdr:col>11</xdr:col>
      <xdr:colOff>327240</xdr:colOff>
      <xdr:row>299</xdr:row>
      <xdr:rowOff>52920</xdr:rowOff>
    </xdr:to>
    <xdr:graphicFrame>
      <xdr:nvGraphicFramePr>
        <xdr:cNvPr id="1" name="Chart 2"/>
        <xdr:cNvGraphicFramePr/>
      </xdr:nvGraphicFramePr>
      <xdr:xfrm>
        <a:off x="2132640" y="51647400"/>
        <a:ext cx="9422640" cy="5450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L14" colorId="64" zoomScale="80" zoomScaleNormal="8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+(AA20/P20-1)/COUNTA(AE19:AP19)*12</f>
        <v>0.100882275530511</v>
      </c>
      <c r="AR19" s="26"/>
      <c r="AS19" s="9"/>
      <c r="AV19" s="30" t="s">
        <v>25</v>
      </c>
      <c r="AW19" s="31" t="n">
        <v>46142</v>
      </c>
      <c r="AX19" s="32" t="n">
        <f aca="false">EOMONTH($AW19,AX18)+6+1</f>
        <v>46119</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c r="AF20" s="22"/>
      <c r="AG20" s="22"/>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+(AA21/R21-1)/COUNTA(AE20:AP20)*12</f>
        <v>0.0604204591877272</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1145.1374</v>
      </c>
      <c r="AX22" s="33" t="n">
        <f aca="false">LOOKUP(AX19,$F$2:$F$2972,$H$2:$H$2972)</f>
        <v>1138.6966</v>
      </c>
      <c r="AY22" s="33" t="n">
        <f aca="false">LOOKUP(AY19,$F$2:$F$2972,$H$2:$H$2972)</f>
        <v>1126.4094</v>
      </c>
      <c r="AZ22" s="33" t="n">
        <f aca="false">LOOKUP(AZ19,$F$2:$F$2972,$H$2:$H$2972)</f>
        <v>1108.1141</v>
      </c>
      <c r="BA22" s="33" t="n">
        <f aca="false">LOOKUP(BA19,$F$2:$F$2972,$H$2:$H$2972)</f>
        <v>1070.9973</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0.00565629158811931</v>
      </c>
      <c r="AY31" s="43" t="n">
        <f aca="false">$AW22/AY22-1</f>
        <v>0.0166262817053906</v>
      </c>
      <c r="AZ31" s="43" t="n">
        <f aca="false">$AW22/AZ22-1</f>
        <v>0.0334110900673497</v>
      </c>
      <c r="BA31" s="43" t="n">
        <f aca="false">$AW22/BA22-1</f>
        <v>0.0692252912308931</v>
      </c>
      <c r="BB31" s="43" t="n">
        <f aca="false">+AQ88</f>
        <v>0.0498788451161718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t="n">
        <f aca="false">+H224</f>
        <v>1000</v>
      </c>
      <c r="S35" s="20" t="n">
        <f aca="false">+H225</f>
        <v>1005.8464</v>
      </c>
      <c r="T35" s="20" t="n">
        <f aca="false">+H226</f>
        <v>1012.8819</v>
      </c>
      <c r="U35" s="20" t="n">
        <f aca="false">+H227</f>
        <v>1018.8107</v>
      </c>
      <c r="V35" s="20" t="n">
        <f aca="false">+H228</f>
        <v>1024.7784</v>
      </c>
      <c r="W35" s="20" t="n">
        <f aca="false">+H229</f>
        <v>1030.0486</v>
      </c>
      <c r="X35" s="20" t="n">
        <f aca="false">+H230</f>
        <v>1035.8135</v>
      </c>
      <c r="Y35" s="20" t="n">
        <f aca="false">+H231</f>
        <v>1040.5856</v>
      </c>
      <c r="Z35" s="20" t="n">
        <f aca="false">+H232</f>
        <v>1045.0807</v>
      </c>
      <c r="AA35" s="20" t="n">
        <f aca="false">+H233</f>
        <v>1049.9006</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1053.7877</v>
      </c>
      <c r="Q36" s="20" t="n">
        <f aca="false">+H235</f>
        <v>1058.303</v>
      </c>
      <c r="R36" s="20" t="n">
        <f aca="false">+H236</f>
        <v>1063.6086</v>
      </c>
      <c r="S36" s="20" t="n">
        <f aca="false">+H237</f>
        <v>1070.9973</v>
      </c>
      <c r="T36" s="20" t="n">
        <f aca="false">+H238</f>
        <v>1077.4596</v>
      </c>
      <c r="U36" s="20" t="n">
        <f aca="false">+H239</f>
        <v>1083.4836</v>
      </c>
      <c r="V36" s="20" t="n">
        <f aca="false">+H240</f>
        <v>1089.8893</v>
      </c>
      <c r="W36" s="20" t="n">
        <f aca="false">+H241</f>
        <v>1096.1978</v>
      </c>
      <c r="X36" s="20" t="n">
        <f aca="false">+H242</f>
        <v>1101.8984</v>
      </c>
      <c r="Y36" s="20" t="n">
        <f aca="false">+H243</f>
        <v>1108.1141</v>
      </c>
      <c r="Z36" s="20" t="n">
        <f aca="false">+H244</f>
        <v>1113.9827</v>
      </c>
      <c r="AA36" s="20" t="n">
        <f aca="false">+H245</f>
        <v>1120.4391</v>
      </c>
      <c r="AD36" s="21" t="n">
        <v>2024</v>
      </c>
      <c r="AE36" s="22"/>
      <c r="AF36" s="22"/>
      <c r="AG36" s="22"/>
      <c r="AH36" s="22" t="n">
        <f aca="false">+(S35/R35-1)</f>
        <v>0.00584640000000003</v>
      </c>
      <c r="AI36" s="22" t="n">
        <f aca="false">+(T35/S35-1)</f>
        <v>0.00699460673120655</v>
      </c>
      <c r="AJ36" s="22" t="n">
        <f aca="false">+(U35/T35-1)</f>
        <v>0.00585339712359367</v>
      </c>
      <c r="AK36" s="22" t="n">
        <f aca="false">+(V35/U35-1)</f>
        <v>0.00585751602333962</v>
      </c>
      <c r="AL36" s="22" t="n">
        <f aca="false">+(W35/V35-1)</f>
        <v>0.00514277037845456</v>
      </c>
      <c r="AM36" s="22" t="n">
        <f aca="false">+(X35/W35-1)</f>
        <v>0.00559672621272433</v>
      </c>
      <c r="AN36" s="22" t="n">
        <f aca="false">+(Y35/X35-1)</f>
        <v>0.00460710349884419</v>
      </c>
      <c r="AO36" s="22" t="n">
        <f aca="false">+(Z35/Y35-1)</f>
        <v>0.00431977917049764</v>
      </c>
      <c r="AP36" s="22" t="n">
        <f aca="false">+(AA35/Z35-1)</f>
        <v>0.00461198833735987</v>
      </c>
      <c r="AQ36" s="23" t="n">
        <f aca="false">+(AA35/R35-1)/COUNTA(AE36:AP36)*12</f>
        <v>0.0665341333333333</v>
      </c>
      <c r="AR36" s="9"/>
      <c r="AS36" s="9"/>
    </row>
    <row r="37" customFormat="false" ht="15" hidden="false" customHeight="false" outlineLevel="0" collapsed="false">
      <c r="A37" s="17"/>
      <c r="B37" s="20"/>
      <c r="C37" s="25"/>
      <c r="D37" s="19"/>
      <c r="E37" s="19"/>
      <c r="F37" s="19"/>
      <c r="O37" s="3" t="n">
        <v>2026</v>
      </c>
      <c r="P37" s="20" t="n">
        <f aca="false">+H246</f>
        <v>1126.4094</v>
      </c>
      <c r="Q37" s="20" t="n">
        <f aca="false">+H247</f>
        <v>1132.382</v>
      </c>
      <c r="R37" s="20" t="n">
        <f aca="false">+H248</f>
        <v>1138.6966</v>
      </c>
      <c r="S37" s="20" t="n">
        <f aca="false">+H249</f>
        <v>1145.1374</v>
      </c>
      <c r="T37" s="20"/>
      <c r="U37" s="20"/>
      <c r="V37" s="20"/>
      <c r="W37" s="20"/>
      <c r="X37" s="20"/>
      <c r="Y37" s="20"/>
      <c r="Z37" s="20"/>
      <c r="AA37" s="20"/>
      <c r="AD37" s="21" t="n">
        <v>2025</v>
      </c>
      <c r="AE37" s="22" t="n">
        <f aca="false">+(P36/AA35-1)</f>
        <v>0.00370235048917977</v>
      </c>
      <c r="AF37" s="22" t="n">
        <f aca="false">+(Q36/P36-1)</f>
        <v>0.00428482890813786</v>
      </c>
      <c r="AG37" s="22" t="n">
        <f aca="false">+(R36/Q36-1)</f>
        <v>0.00501330904287323</v>
      </c>
      <c r="AH37" s="22" t="n">
        <f aca="false">+(S36/R36-1)</f>
        <v>0.00694682235551691</v>
      </c>
      <c r="AI37" s="22" t="n">
        <f aca="false">+(T36/S36-1)</f>
        <v>0.0060339087689576</v>
      </c>
      <c r="AJ37" s="22" t="n">
        <f aca="false">+(U36/T36-1)</f>
        <v>0.00559092888494384</v>
      </c>
      <c r="AK37" s="22" t="n">
        <f aca="false">+(V36/U36-1)</f>
        <v>0.00591213378771949</v>
      </c>
      <c r="AL37" s="22" t="n">
        <f aca="false">+(W36/V36-1)</f>
        <v>0.00578820252662338</v>
      </c>
      <c r="AM37" s="22" t="n">
        <f aca="false">+(X36/W36-1)</f>
        <v>0.00520033884395699</v>
      </c>
      <c r="AN37" s="22" t="n">
        <f aca="false">+(Y36/X36-1)</f>
        <v>0.00564090119379435</v>
      </c>
      <c r="AO37" s="22" t="n">
        <f aca="false">+(Z36/Y36-1)</f>
        <v>0.00529602502125015</v>
      </c>
      <c r="AP37" s="22" t="n">
        <f aca="false">+(AA36/Z36-1)</f>
        <v>0.00579578120916957</v>
      </c>
      <c r="AQ37" s="23" t="n">
        <f aca="false">+(AA36/P36-1)/COUNTA(AE37:AP37)*12</f>
        <v>0.063249362276671</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0.00532853592845872</v>
      </c>
      <c r="AF38" s="22" t="n">
        <f aca="false">+(Q37/P37-1)</f>
        <v>0.00530233501247412</v>
      </c>
      <c r="AG38" s="22" t="n">
        <f aca="false">+(R37/Q37-1)</f>
        <v>0.00557638676700956</v>
      </c>
      <c r="AH38" s="22" t="n">
        <f aca="false">+(S37/R37-1)</f>
        <v>0.00565629158811931</v>
      </c>
      <c r="AQ38" s="23" t="n">
        <f aca="false">+(S37/P37-1)/COUNTA(AE38:AP38)*12</f>
        <v>0.0498788451161718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+(AA48/P48-1)/COUNTA(AE48:AP48)*12</f>
        <v>0.0844938543904241</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t="n">
        <f aca="false">+K222</f>
        <v>5816.8769</v>
      </c>
      <c r="Q49" s="3" t="n">
        <f aca="false">+K223</f>
        <v>5846.4552</v>
      </c>
      <c r="R49" s="18"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c r="AF49" s="22"/>
      <c r="AG49" s="22"/>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+(AA49/R49-1)/COUNTA(AE49:AP49)*12</f>
        <v>0.0446995571155876</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c r="AF80" s="60"/>
      <c r="AG80" s="60"/>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0.0604204591877272</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c r="AF81" s="60"/>
      <c r="AG81" s="60"/>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0.0446995571155876</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t="n">
        <f aca="false">+AH36</f>
        <v>0.00584640000000003</v>
      </c>
      <c r="AI82" s="60" t="n">
        <f aca="false">+AI36</f>
        <v>0.00699460673120655</v>
      </c>
      <c r="AJ82" s="60" t="n">
        <f aca="false">+AJ36</f>
        <v>0.00585339712359367</v>
      </c>
      <c r="AK82" s="60" t="n">
        <f aca="false">+AK36</f>
        <v>0.00585751602333962</v>
      </c>
      <c r="AL82" s="60" t="n">
        <f aca="false">+AL36</f>
        <v>0.00514277037845456</v>
      </c>
      <c r="AM82" s="60" t="n">
        <f aca="false">+AM36</f>
        <v>0.00559672621272433</v>
      </c>
      <c r="AN82" s="60" t="n">
        <f aca="false">+AN36</f>
        <v>0.00460710349884419</v>
      </c>
      <c r="AO82" s="60" t="n">
        <f aca="false">+AO36</f>
        <v>0.00431977917049764</v>
      </c>
      <c r="AP82" s="60" t="n">
        <f aca="false">+AP36</f>
        <v>0.00461198833735987</v>
      </c>
      <c r="AQ82" s="60" t="n">
        <f aca="false">+AQ36</f>
        <v>0.0665341333333333</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0.00370235048917977</v>
      </c>
      <c r="AF85" s="60" t="n">
        <f aca="false">+AF37</f>
        <v>0.00428482890813786</v>
      </c>
      <c r="AG85" s="60" t="n">
        <f aca="false">+AG37</f>
        <v>0.00501330904287323</v>
      </c>
      <c r="AH85" s="60" t="n">
        <f aca="false">+AH37</f>
        <v>0.00694682235551691</v>
      </c>
      <c r="AI85" s="60" t="n">
        <f aca="false">+AI37</f>
        <v>0.0060339087689576</v>
      </c>
      <c r="AJ85" s="60" t="n">
        <f aca="false">+AJ37</f>
        <v>0.00559092888494384</v>
      </c>
      <c r="AK85" s="60" t="n">
        <f aca="false">+AK37</f>
        <v>0.00591213378771949</v>
      </c>
      <c r="AL85" s="60" t="n">
        <f aca="false">+AL37</f>
        <v>0.00578820252662338</v>
      </c>
      <c r="AM85" s="60" t="n">
        <f aca="false">+AM37</f>
        <v>0.00520033884395699</v>
      </c>
      <c r="AN85" s="60" t="n">
        <f aca="false">+AN37</f>
        <v>0.00564090119379435</v>
      </c>
      <c r="AO85" s="60" t="n">
        <f aca="false">+AO37</f>
        <v>0.00529602502125015</v>
      </c>
      <c r="AP85" s="60" t="n">
        <f aca="false">+AP37</f>
        <v>0.00579578120916957</v>
      </c>
      <c r="AQ85" s="60" t="n">
        <f aca="false">+AQ37</f>
        <v>0.063249362276671</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0.00532853592845872</v>
      </c>
      <c r="AF88" s="60" t="n">
        <f aca="false">+AF38</f>
        <v>0.00530233501247412</v>
      </c>
      <c r="AG88" s="60" t="n">
        <f aca="false">+AG38</f>
        <v>0.00557638676700956</v>
      </c>
      <c r="AH88" s="60" t="n">
        <f aca="false">+AH38</f>
        <v>0.00565629158811931</v>
      </c>
      <c r="AI88" s="60"/>
      <c r="AJ88" s="60"/>
      <c r="AK88" s="60"/>
      <c r="AL88" s="60"/>
      <c r="AM88" s="60"/>
      <c r="AN88" s="60"/>
      <c r="AO88" s="60"/>
      <c r="AP88" s="60"/>
      <c r="AQ88" s="60" t="n">
        <f aca="false">+AQ38</f>
        <v>0.0498788451161718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43008</v>
      </c>
      <c r="AE97" s="62" t="n">
        <v>0.00311210000000006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43039</v>
      </c>
      <c r="AE98" s="62" t="n">
        <v>0.00266354947734888</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43069</v>
      </c>
      <c r="AE99" s="62" t="n">
        <v>0.00270401929468234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43100</v>
      </c>
      <c r="AE100" s="62" t="n">
        <v>0.00300965446914445</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43131</v>
      </c>
      <c r="AE101" s="62" t="n">
        <v>0.00473727239934226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43159</v>
      </c>
      <c r="AE102" s="62" t="n">
        <v>0.00378152301954046</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43190</v>
      </c>
      <c r="AE103" s="62" t="n">
        <v>0.00300527511908573</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43220</v>
      </c>
      <c r="AE104" s="62" t="n">
        <v>0.00316130254575997</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43251</v>
      </c>
      <c r="AE105" s="62" t="n">
        <v>0.00310067866389014</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43281</v>
      </c>
      <c r="AE106" s="62" t="n">
        <v>0.00287709140845549</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43312</v>
      </c>
      <c r="AE107" s="62" t="n">
        <v>0.00279025405786912</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43343</v>
      </c>
      <c r="AE108" s="62" t="n">
        <v>0.00269722002207049</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43373</v>
      </c>
      <c r="AE109" s="62" t="n">
        <v>0.00294678677406712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43404</v>
      </c>
      <c r="AE110" s="62" t="n">
        <v>0.00273411579812808</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43434</v>
      </c>
      <c r="AE111" s="62" t="n">
        <v>0.00284409288655185</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43465</v>
      </c>
      <c r="AE112" s="62" t="n">
        <v>0.00262659891580654</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43496</v>
      </c>
      <c r="AE113" s="62" t="n">
        <v>0.00281430328228941</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43524</v>
      </c>
      <c r="AE114" s="62" t="n">
        <v>0.00282360638687196</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43555</v>
      </c>
      <c r="AE115" s="62" t="n">
        <v>0.00286536279403882</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43585</v>
      </c>
      <c r="AE116" s="62" t="n">
        <v>0.00293240905161363</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8"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8"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8"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45400</v>
      </c>
      <c r="G224" s="4" t="n">
        <v>1000</v>
      </c>
      <c r="H224" s="4" t="n">
        <f aca="false">+G224+$S$148+$S$150+$S$152+$S$154+$S$156+$S$158</f>
        <v>1000</v>
      </c>
      <c r="I224" s="25" t="n">
        <v>0</v>
      </c>
      <c r="J224" s="18" t="n">
        <v>100</v>
      </c>
      <c r="K224" s="18" t="n">
        <v>5872.4728</v>
      </c>
      <c r="L224" s="25" t="n">
        <f aca="false">+(K224/K223-1)/(F224-F223)*30</f>
        <v>0.00272458135951212</v>
      </c>
      <c r="M224" s="19" t="n">
        <v>100</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G225" s="4" t="n">
        <v>1005.8464</v>
      </c>
      <c r="H225" s="4" t="n">
        <f aca="false">+G225+$S$148+$S$150+$S$152+$S$154+$S$156+$S$158</f>
        <v>1005.8464</v>
      </c>
      <c r="I225" s="25" t="n">
        <f aca="false">+(H225/H224-1)/(F225-F224)*12</f>
        <v>0.00584640000000003</v>
      </c>
      <c r="J225" s="18" t="n">
        <f aca="false">+J224*(1+I225)</f>
        <v>100.58464</v>
      </c>
      <c r="K225" s="3" t="n">
        <v>5900.1916</v>
      </c>
      <c r="L225" s="25" t="n">
        <f aca="false">+(K225/K224-1)/(F225-F224)*12</f>
        <v>0.00472012403360989</v>
      </c>
      <c r="M225" s="19" t="n">
        <f aca="false">+M224*(1+L225)</f>
        <v>100.472012403361</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G226" s="4" t="n">
        <v>1012.8819</v>
      </c>
      <c r="H226" s="4" t="n">
        <f aca="false">+G226+$S$148+$S$150+$S$152+$S$154+$S$156+$S$158</f>
        <v>1012.8819</v>
      </c>
      <c r="I226" s="25" t="n">
        <f aca="false">+(H226/H225-1)/(F226-F225)*30</f>
        <v>0.00676897425600634</v>
      </c>
      <c r="J226" s="18" t="n">
        <f aca="false">+J225*(1+I226)</f>
        <v>101.26549483871</v>
      </c>
      <c r="K226" s="3" t="n">
        <v>5924.7824</v>
      </c>
      <c r="L226" s="25" t="n">
        <f aca="false">+(K226/K225-1)/(F226-F225)*30</f>
        <v>0.00403335179608358</v>
      </c>
      <c r="M226" s="19" t="n">
        <f aca="false">+M225*(1+L226)</f>
        <v>100.877251375044</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G227" s="4" t="n">
        <v>1018.8107</v>
      </c>
      <c r="H227" s="4" t="n">
        <f aca="false">+G227+$S$148+$S$150+$S$152+$S$154+$S$156+$S$158</f>
        <v>1018.8107</v>
      </c>
      <c r="I227" s="25" t="n">
        <f aca="false">+(H227/H226-1)/(F227-F226)*30</f>
        <v>0.00585339712359367</v>
      </c>
      <c r="J227" s="18" t="n">
        <f aca="false">+J226*(1+I227)</f>
        <v>101.858241994918</v>
      </c>
      <c r="K227" s="3" t="n">
        <v>5946.409</v>
      </c>
      <c r="L227" s="25" t="n">
        <f aca="false">+(K227/K226-1)/(F227-F226)*30</f>
        <v>0.00365019312776771</v>
      </c>
      <c r="M227" s="19" t="n">
        <f aca="false">+M226*(1+L227)</f>
        <v>101.245472824761</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G228" s="4" t="n">
        <v>1024.7784</v>
      </c>
      <c r="H228" s="4" t="n">
        <f aca="false">+G228+$S$148+$S$150+$S$152+$S$154+$S$156+$S$158</f>
        <v>1024.7784</v>
      </c>
      <c r="I228" s="25" t="n">
        <f aca="false">+(H228/H227-1)/(F228-F227)*30</f>
        <v>0.00566856389355447</v>
      </c>
      <c r="J228" s="18" t="n">
        <f aca="false">+J227*(1+I228)</f>
        <v>102.435631947751</v>
      </c>
      <c r="K228" s="3" t="n">
        <v>5968.019</v>
      </c>
      <c r="L228" s="25" t="n">
        <f aca="false">+(K228/K227-1)/(F228-F227)*30</f>
        <v>0.00351689620169189</v>
      </c>
      <c r="M228" s="19" t="n">
        <f aca="false">+M227*(1+L228)</f>
        <v>101.601542643577</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G229" s="4" t="n">
        <v>1030.0486</v>
      </c>
      <c r="H229" s="4" t="n">
        <f aca="false">+G229+$S$148+$S$150+$S$152+$S$154+$S$156+$S$158</f>
        <v>1030.0486</v>
      </c>
      <c r="I229" s="25" t="n">
        <f aca="false">+(H229/H228-1)/(F229-F228)*30</f>
        <v>0.00497687455979474</v>
      </c>
      <c r="J229" s="18" t="n">
        <f aca="false">+J228*(1+I229)</f>
        <v>102.945441238408</v>
      </c>
      <c r="K229" s="3" t="n">
        <v>5989.669</v>
      </c>
      <c r="L229" s="25" t="n">
        <f aca="false">+(K229/K228-1)/(F229-F228)*30</f>
        <v>0.00351064782186953</v>
      </c>
      <c r="M229" s="19" t="n">
        <f aca="false">+M228*(1+L229)</f>
        <v>101.958229877958</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G230" s="4" t="n">
        <v>1035.8135</v>
      </c>
      <c r="H230" s="4" t="n">
        <f aca="false">+G230+$S$148+$S$150+$S$152+$S$154+$S$156+$S$158</f>
        <v>1035.8135</v>
      </c>
      <c r="I230" s="25" t="n">
        <f aca="false">+(H230/H229-1)/(F230-F229)*30</f>
        <v>0.00559672621272433</v>
      </c>
      <c r="J230" s="18" t="n">
        <f aca="false">+J229*(1+I230)</f>
        <v>103.521598687868</v>
      </c>
      <c r="K230" s="3" t="n">
        <v>6009.8868</v>
      </c>
      <c r="L230" s="25" t="n">
        <f aca="false">+(K230/K229-1)/(F230-F229)*30</f>
        <v>0.0033754452875443</v>
      </c>
      <c r="M230" s="19" t="n">
        <f aca="false">+M229*(1+L230)</f>
        <v>102.302384304526</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G231" s="4" t="n">
        <v>1040.5856</v>
      </c>
      <c r="H231" s="4" t="n">
        <f aca="false">+G231+$S$148+$S$150+$S$152+$S$154+$S$156+$S$158</f>
        <v>1040.5856</v>
      </c>
      <c r="I231" s="25" t="n">
        <f aca="false">+(H231/H230-1)/(F231-F230)*30</f>
        <v>0.00445848725694599</v>
      </c>
      <c r="J231" s="18" t="n">
        <f aca="false">+J230*(1+I231)</f>
        <v>103.983148416436</v>
      </c>
      <c r="K231" s="3" t="n">
        <v>6030.3854</v>
      </c>
      <c r="L231" s="25" t="n">
        <f aca="false">+(K231/K230-1)/(F231-F230)*30</f>
        <v>0.00330078677001207</v>
      </c>
      <c r="M231" s="19" t="n">
        <f aca="false">+M230*(1+L231)</f>
        <v>102.640062661179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G232" s="4" t="n">
        <v>1045.0807</v>
      </c>
      <c r="H232" s="4" t="n">
        <f aca="false">+G232+$S$148+$S$150+$S$152+$S$154+$S$156+$S$158</f>
        <v>1045.0807</v>
      </c>
      <c r="I232" s="25" t="n">
        <f aca="false">+(H232/H231-1)/(F232-F231)*30</f>
        <v>0.00431977917049764</v>
      </c>
      <c r="J232" s="18" t="n">
        <f aca="false">+J231*(1+I232)</f>
        <v>104.432332655049</v>
      </c>
      <c r="K232" s="3" t="n">
        <v>6049.8055</v>
      </c>
      <c r="L232" s="25" t="n">
        <f aca="false">+(K232/K231-1)/(F232-F231)*30</f>
        <v>0.00322037460491331</v>
      </c>
      <c r="M232" s="19" t="n">
        <f aca="false">+M231*(1+L232)</f>
        <v>102.970602112419</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G233" s="4" t="n">
        <v>1049.9006</v>
      </c>
      <c r="H233" s="4" t="n">
        <f aca="false">+G233+$S$148+$S$150+$S$152+$S$154+$S$156+$S$158</f>
        <v>1049.9006</v>
      </c>
      <c r="I233" s="25" t="n">
        <f aca="false">+(H233/H232-1)/(F233-F232)*30</f>
        <v>0.00446321452002568</v>
      </c>
      <c r="J233" s="18" t="n">
        <f aca="false">+J232*(1+I233)</f>
        <v>104.898436558515</v>
      </c>
      <c r="K233" s="3" t="n">
        <v>6069.3455</v>
      </c>
      <c r="L233" s="25" t="n">
        <f aca="false">+(K233/K232-1)/(F233-F232)*30</f>
        <v>0.00312566700191516</v>
      </c>
      <c r="M233" s="19" t="n">
        <f aca="false">+M232*(1+L233)</f>
        <v>103.29245392561</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G234" s="4" t="n">
        <v>1053.7877</v>
      </c>
      <c r="H234" s="4" t="n">
        <f aca="false">+G234+$S$148+$S$150+$S$152+$S$154+$S$156+$S$158</f>
        <v>1053.7877</v>
      </c>
      <c r="I234" s="25" t="n">
        <f aca="false">+(H234/H233-1)/(F234-F233)*30</f>
        <v>0.00358291982823849</v>
      </c>
      <c r="J234" s="18" t="n">
        <f aca="false">+J233*(1+I234)</f>
        <v>105.274279246811</v>
      </c>
      <c r="K234" s="3" t="n">
        <v>6087.6762</v>
      </c>
      <c r="L234" s="25" t="n">
        <f aca="false">+(K234/K233-1)/(F234-F233)*30</f>
        <v>0.00292278419423869</v>
      </c>
      <c r="M234" s="19" t="n">
        <f aca="false">+M233*(1+L234)</f>
        <v>103.594355477327</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G235" s="4" t="n">
        <v>1058.303</v>
      </c>
      <c r="H235" s="4" t="n">
        <f aca="false">+G235+$S$148+$S$150+$S$152+$S$154+$S$156+$S$158</f>
        <v>1058.303</v>
      </c>
      <c r="I235" s="25" t="n">
        <f aca="false">+(H235/H234-1)/(F235-F234)*30</f>
        <v>0.00459088811586199</v>
      </c>
      <c r="J235" s="18" t="n">
        <f aca="false">+J234*(1+I235)</f>
        <v>105.757581684312</v>
      </c>
      <c r="K235" s="3" t="n">
        <v>6104.4912</v>
      </c>
      <c r="L235" s="25" t="n">
        <f aca="false">+(K235/K234-1)/(F235-F234)*30</f>
        <v>0.00295943326101547</v>
      </c>
      <c r="M235" s="19" t="n">
        <f aca="false">+M234*(1+L235)</f>
        <v>103.90093605858</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1063.6086</v>
      </c>
      <c r="H236" s="4" t="n">
        <f aca="false">+G236+$S$148+$S$150+$S$152+$S$154+$S$156+$S$158</f>
        <v>1063.6086</v>
      </c>
      <c r="I236" s="25" t="n">
        <f aca="false">+(H236/H235-1)/(F236-F235)*30</f>
        <v>0.00485158939632893</v>
      </c>
      <c r="J236" s="18" t="n">
        <f aca="false">+J235*(1+I236)</f>
        <v>106.270674046193</v>
      </c>
      <c r="K236" s="3" t="n">
        <v>6123.1882</v>
      </c>
      <c r="L236" s="25" t="n">
        <f aca="false">+(K236/K235-1)/(F236-F235)*30</f>
        <v>0.00296402605474173</v>
      </c>
      <c r="M236" s="19" t="n">
        <f aca="false">+M235*(1+L236)</f>
        <v>104.20890114017</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1070.9973</v>
      </c>
      <c r="H237" s="4" t="n">
        <f aca="false">+G237+$S$148+$S$150+$S$152+$S$154+$S$156+$S$158</f>
        <v>1070.9973</v>
      </c>
      <c r="I237" s="25" t="n">
        <f aca="false">+(H237/H236-1)/(F237-F236)*30</f>
        <v>0.00694682235551691</v>
      </c>
      <c r="J237" s="18" t="n">
        <f aca="false">+J236*(1+I237)</f>
        <v>107.008917540393</v>
      </c>
      <c r="K237" s="3" t="n">
        <v>6141.4105</v>
      </c>
      <c r="L237" s="25" t="n">
        <f aca="false">+(K237/K236-1)/(F237-F236)*30</f>
        <v>0.00297594968581905</v>
      </c>
      <c r="M237" s="19" t="n">
        <f aca="false">+M236*(1+L237)</f>
        <v>104.519021586778</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1077.4596</v>
      </c>
      <c r="H238" s="4" t="n">
        <f aca="false">+G238+$S$148+$S$150+$S$152+$S$154+$S$156+$S$158</f>
        <v>1077.4596</v>
      </c>
      <c r="I238" s="25" t="n">
        <f aca="false">+(H238/H237-1)/(F238-F237)*30</f>
        <v>0.00583926655060413</v>
      </c>
      <c r="J238" s="18" t="n">
        <f aca="false">+J237*(1+I238)</f>
        <v>107.633771133202</v>
      </c>
      <c r="K238" s="3" t="n">
        <v>6160.386</v>
      </c>
      <c r="L238" s="25" t="n">
        <f aca="false">+(K238/K237-1)/(F238-F237)*30</f>
        <v>0.00299009276399519</v>
      </c>
      <c r="M238" s="19" t="n">
        <f aca="false">+M237*(1+L238)</f>
        <v>104.831543156924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1083.4836</v>
      </c>
      <c r="H239" s="4" t="n">
        <f aca="false">+G239+$S$148+$S$150+$S$152+$S$154+$S$156+$S$158</f>
        <v>1083.4836</v>
      </c>
      <c r="I239" s="25" t="n">
        <f aca="false">+(H239/H238-1)/(F239-F238)*30</f>
        <v>0.00559092888494384</v>
      </c>
      <c r="J239" s="18" t="n">
        <f aca="false">+J238*(1+I239)</f>
        <v>108.235543893227</v>
      </c>
      <c r="K239" s="3" t="n">
        <v>6178.849</v>
      </c>
      <c r="L239" s="25" t="n">
        <f aca="false">+(K239/K238-1)/(F239-F238)*30</f>
        <v>0.00299705245742721</v>
      </c>
      <c r="M239" s="19" t="n">
        <f aca="false">+M238*(1+L239)</f>
        <v>105.145728790959</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1089.8893</v>
      </c>
      <c r="H240" s="4" t="n">
        <f aca="false">+G240+$S$148+$S$150+$S$152+$S$154+$S$156+$S$158</f>
        <v>1089.8893</v>
      </c>
      <c r="I240" s="25" t="n">
        <f aca="false">+(H240/H239-1)/(F240-F239)*30</f>
        <v>0.00572141979456725</v>
      </c>
      <c r="J240" s="18" t="n">
        <f aca="false">+J239*(1+I240)</f>
        <v>108.854804876533</v>
      </c>
      <c r="K240" s="3" t="n">
        <v>6197.08</v>
      </c>
      <c r="L240" s="25" t="n">
        <f aca="false">+(K240/K239-1)/(F240-F239)*30</f>
        <v>0.00285537051088415</v>
      </c>
      <c r="M240" s="19" t="n">
        <f aca="false">+M239*(1+L240)</f>
        <v>105.445958804294</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1096.1978</v>
      </c>
      <c r="H241" s="4" t="n">
        <f aca="false">+G241+$S$148+$S$150+$S$152+$S$154+$S$156+$S$158</f>
        <v>1096.1978</v>
      </c>
      <c r="I241" s="25" t="n">
        <f aca="false">+(H241/H240-1)/(F241-F240)*30</f>
        <v>0.00560148631608714</v>
      </c>
      <c r="J241" s="18" t="n">
        <f aca="false">+J240*(1+I241)</f>
        <v>109.464553576489</v>
      </c>
      <c r="K241" s="3" t="n">
        <v>6215.6746</v>
      </c>
      <c r="L241" s="25" t="n">
        <f aca="false">+(K241/K240-1)/(F241-F240)*30</f>
        <v>0.00290375050726291</v>
      </c>
      <c r="M241" s="19" t="n">
        <f aca="false">+M240*(1+L241)</f>
        <v>105.752147560661</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1101.8984</v>
      </c>
      <c r="H242" s="4" t="n">
        <f aca="false">+G242+$S$148+$S$150+$S$152+$S$154+$S$156+$S$158</f>
        <v>1101.8984</v>
      </c>
      <c r="I242" s="25" t="n">
        <f aca="false">+(H242/H241-1)/(F242-F241)*30</f>
        <v>0.00520033884395699</v>
      </c>
      <c r="J242" s="18" t="n">
        <f aca="false">+J241*(1+I242)</f>
        <v>110.033806346489</v>
      </c>
      <c r="K242" s="3" t="n">
        <v>6232.8399</v>
      </c>
      <c r="L242" s="25" t="n">
        <f aca="false">+(K242/K241-1)/(F242-F241)*30</f>
        <v>0.00276161496613736</v>
      </c>
      <c r="M242" s="19" t="n">
        <f aca="false">+M241*(1+L242)</f>
        <v>106.044194274065</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1108.1141</v>
      </c>
      <c r="H243" s="4" t="n">
        <f aca="false">+G243+$S$148+$S$150+$S$152+$S$154+$S$156+$S$158</f>
        <v>1108.1141</v>
      </c>
      <c r="I243" s="25" t="n">
        <f aca="false">+(H243/H242-1)/(F243-F242)*30</f>
        <v>0.00545893663915582</v>
      </c>
      <c r="J243" s="18" t="n">
        <f aca="false">+J242*(1+I243)</f>
        <v>110.6344739235</v>
      </c>
      <c r="K243" s="3" t="n">
        <v>6250.6982</v>
      </c>
      <c r="L243" s="25" t="n">
        <f aca="false">+(K243/K242-1)/(F243-F242)*30</f>
        <v>0.00277276908820515</v>
      </c>
      <c r="M243" s="19" t="n">
        <f aca="false">+M242*(1+L243)</f>
        <v>106.338230337932</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1113.9827</v>
      </c>
      <c r="H244" s="4" t="n">
        <f aca="false">+G244+$S$148+$S$150+$S$152+$S$154+$S$156+$S$158</f>
        <v>1113.9827</v>
      </c>
      <c r="I244" s="25" t="n">
        <f aca="false">+(H244/H243-1)/(F244-F243)*30</f>
        <v>0.00529602502125015</v>
      </c>
      <c r="J244" s="18" t="n">
        <f aca="false">+J243*(1+I244)</f>
        <v>111.220396865612</v>
      </c>
      <c r="K244" s="3" t="n">
        <v>6268.169</v>
      </c>
      <c r="L244" s="25" t="n">
        <f aca="false">+(K244/K243-1)/(F244-F243)*30</f>
        <v>0.00279501576319907</v>
      </c>
      <c r="M244" s="19" t="n">
        <f aca="false">+M243*(1+L244)</f>
        <v>106.635447367957</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9" t="n">
        <v>1120.4391</v>
      </c>
      <c r="H245" s="4" t="n">
        <f aca="false">+G245+$S$148+$S$150+$S$152+$S$154+$S$156+$S$158</f>
        <v>1120.4391</v>
      </c>
      <c r="I245" s="25" t="n">
        <f aca="false">+(H245/H244-1)/(F245-F244)*30</f>
        <v>0.00560882052500281</v>
      </c>
      <c r="J245" s="18" t="n">
        <f aca="false">+J244*(1+I245)</f>
        <v>111.844212110351</v>
      </c>
      <c r="K245" s="3" t="n">
        <v>6285.9566</v>
      </c>
      <c r="L245" s="25" t="n">
        <f aca="false">+(K245/K244-1)/(F245-F244)*30</f>
        <v>0.00274622564446067</v>
      </c>
      <c r="M245" s="19" t="n">
        <f aca="false">+M244*(1+L245)</f>
        <v>106.928292368128</v>
      </c>
    </row>
    <row r="246" customFormat="false" ht="15.75" hidden="false" customHeight="true" outlineLevel="0" collapsed="false">
      <c r="A246" s="17" t="n">
        <v>46053</v>
      </c>
      <c r="B246" s="3" t="n">
        <v>26136.9</v>
      </c>
      <c r="C246" s="25" t="n">
        <f aca="false">(B246/B245-1)/(A246-A245)*30</f>
        <v>0.00375710674135526</v>
      </c>
      <c r="D246" s="19" t="n">
        <f aca="false">+D245*(1+C246)</f>
        <v>114.741989177581</v>
      </c>
      <c r="F246" s="17" t="n">
        <v>46053</v>
      </c>
      <c r="G246" s="69" t="n">
        <v>1126.4094</v>
      </c>
      <c r="H246" s="4" t="n">
        <f aca="false">+G246+$S$148+$S$150+$S$152+$S$154+$S$156+$S$158</f>
        <v>1126.4094</v>
      </c>
      <c r="I246" s="25" t="n">
        <f aca="false">+(H246/H245-1)/(F246-F245)*30</f>
        <v>0.00515664767270199</v>
      </c>
      <c r="J246" s="18" t="n">
        <f aca="false">+J245*(1+I246)</f>
        <v>112.420953306435</v>
      </c>
      <c r="K246" s="3" t="n">
        <v>6303.0823</v>
      </c>
      <c r="L246" s="25" t="n">
        <f aca="false">+(K246/K245-1)/(F246-F245)*30</f>
        <v>0.00263655305296194</v>
      </c>
      <c r="M246" s="19" t="n">
        <f aca="false">+M245*(1+L246)</f>
        <v>107.210214483819</v>
      </c>
    </row>
    <row r="247" customFormat="false" ht="16.5" hidden="false" customHeight="true" outlineLevel="0" collapsed="false">
      <c r="A247" s="70" t="n">
        <v>46081</v>
      </c>
      <c r="B247" s="71" t="n">
        <v>26231.81</v>
      </c>
      <c r="C247" s="25" t="n">
        <f aca="false">(B247/B246-1)/(A247-A246)*30</f>
        <v>0.00389064065418173</v>
      </c>
      <c r="D247" s="19" t="n">
        <f aca="false">+D246*(1+C247)</f>
        <v>115.188409025417</v>
      </c>
      <c r="F247" s="70" t="n">
        <v>46081</v>
      </c>
      <c r="G247" s="69" t="n">
        <v>1132.382</v>
      </c>
      <c r="H247" s="4" t="n">
        <f aca="false">+G247+$S$148+$S$150+$S$152+$S$154+$S$156+$S$158</f>
        <v>1132.382</v>
      </c>
      <c r="I247" s="25" t="n">
        <f aca="false">+(H247/H246-1)/(F247-F246)*30</f>
        <v>0.00568107322765085</v>
      </c>
      <c r="J247" s="18" t="n">
        <f aca="false">+J246*(1+I247)</f>
        <v>113.059624974491</v>
      </c>
      <c r="K247" s="72" t="n">
        <v>6318.4947</v>
      </c>
      <c r="L247" s="25" t="n">
        <f aca="false">+(K247/K246-1)/(F247-F246)*30</f>
        <v>0.00261987467850238</v>
      </c>
      <c r="M247" s="19" t="n">
        <f aca="false">+M246*(1+L247)</f>
        <v>107.491091810022</v>
      </c>
    </row>
    <row r="248" customFormat="false" ht="16.5" hidden="false" customHeight="true" outlineLevel="0" collapsed="false">
      <c r="A248" s="70" t="n">
        <v>46112</v>
      </c>
      <c r="B248" s="71" t="n">
        <v>26333.64</v>
      </c>
      <c r="C248" s="25" t="n">
        <f aca="false">(B248/B247-1)/(A248-A247)*30</f>
        <v>0.00375670459988545</v>
      </c>
      <c r="D248" s="19" t="n">
        <f aca="false">+D247*(1+C248)</f>
        <v>115.621137851456</v>
      </c>
      <c r="F248" s="70" t="n">
        <v>46112</v>
      </c>
      <c r="G248" s="73" t="n">
        <v>1138.6966</v>
      </c>
      <c r="H248" s="4" t="n">
        <f aca="false">+G248+$S$148+$S$150+$S$152+$S$154+$S$156+$S$158</f>
        <v>1138.6966</v>
      </c>
      <c r="I248" s="25" t="n">
        <f aca="false">+(H248/H247-1)/(F248-F247)*30</f>
        <v>0.00539650332291247</v>
      </c>
      <c r="J248" s="18" t="n">
        <f aca="false">+J247*(1+I248)</f>
        <v>113.669751616353</v>
      </c>
      <c r="K248" s="74" t="n">
        <v>6335.4774</v>
      </c>
      <c r="L248" s="25" t="n">
        <f aca="false">+(K248/K247-1)/(F248-F247)*30</f>
        <v>0.00260107379179124</v>
      </c>
      <c r="M248" s="19" t="n">
        <f aca="false">+M247*(1+L248)</f>
        <v>107.77068407178</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5" t="n">
        <v>1145.1374</v>
      </c>
      <c r="H249" s="4" t="n">
        <f aca="false">+G249+$S$148+$S$150+$S$152+$S$154+$S$156+$S$158</f>
        <v>1145.1374</v>
      </c>
      <c r="I249" s="25" t="n">
        <f aca="false">+(H249/H248-1)/(F249-F248)*30</f>
        <v>0.00565629158811931</v>
      </c>
      <c r="J249" s="18" t="n">
        <f aca="false">+J248*(1+I249)</f>
        <v>114.312700876244</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B7" colorId="64" zoomScale="130" zoomScaleNormal="13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2" min="2" style="0" width="17.42"/>
    <col collapsed="false" customWidth="true" hidden="false" outlineLevel="0" max="3" min="3" style="76" width="6.57"/>
    <col collapsed="false" customWidth="true" hidden="false" outlineLevel="0" max="4" min="4" style="0" width="32.86"/>
    <col collapsed="false" customWidth="true" hidden="false" outlineLevel="0" max="5" min="5" style="0" width="6.29"/>
    <col collapsed="false" customWidth="true" hidden="false" outlineLevel="0" max="6" min="6" style="0" width="5.14"/>
    <col collapsed="false" customWidth="true" hidden="false" outlineLevel="0" max="7" min="7" style="0" width="5.57"/>
    <col collapsed="false" customWidth="true" hidden="false" outlineLevel="0" max="16" min="8" style="0" width="6.29"/>
    <col collapsed="false" customWidth="true" hidden="false" outlineLevel="0" max="17" min="17" style="0" width="8.57"/>
    <col collapsed="false" customWidth="true" hidden="false" outlineLevel="0" max="19" min="19" style="0" width="2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6"/>
    <col collapsed="false" customWidth="true" hidden="false" outlineLevel="0" max="24" min="24" style="0" width="11"/>
  </cols>
  <sheetData>
    <row r="1" customFormat="false" ht="24" hidden="false" customHeight="true" outlineLevel="0" collapsed="false">
      <c r="S1" s="77" t="s">
        <v>31</v>
      </c>
      <c r="T1" s="78" t="s">
        <v>32</v>
      </c>
      <c r="U1" s="78" t="s">
        <v>33</v>
      </c>
      <c r="V1" s="78" t="s">
        <v>34</v>
      </c>
      <c r="W1" s="78" t="s">
        <v>35</v>
      </c>
      <c r="X1" s="79" t="s">
        <v>46</v>
      </c>
    </row>
    <row r="2" customFormat="false" ht="15" hidden="false" customHeight="false" outlineLevel="0" collapsed="false">
      <c r="S2" s="80" t="s">
        <v>47</v>
      </c>
      <c r="T2" s="81" t="n">
        <f aca="false">+'Datos ICP (2)'!AX29</f>
        <v>-0.243672722859896</v>
      </c>
      <c r="U2" s="81" t="n">
        <f aca="false">+'Datos ICP (2)'!AY29</f>
        <v>-0.237979628862347</v>
      </c>
      <c r="V2" s="81" t="n">
        <f aca="false">+'Datos ICP (2)'!AZ29</f>
        <v>-0.228910732364632</v>
      </c>
      <c r="W2" s="81" t="n">
        <f aca="false">+'Datos ICP (2)'!BA29</f>
        <v>-0.209569757039683</v>
      </c>
      <c r="X2" s="81" t="n">
        <f aca="false">+'Datos ICP (2)'!BB29</f>
        <v>-0.71393888658704</v>
      </c>
    </row>
    <row r="3" customFormat="false" ht="15" hidden="false" customHeight="false" outlineLevel="0" collapsed="false">
      <c r="S3" s="80" t="s">
        <v>26</v>
      </c>
      <c r="T3" s="81" t="n">
        <f aca="false">+'Datos ICP (2)'!AX30</f>
        <v>-1</v>
      </c>
      <c r="U3" s="81" t="n">
        <f aca="false">+'Datos ICP (2)'!AY30</f>
        <v>-1</v>
      </c>
      <c r="V3" s="81" t="n">
        <f aca="false">+'Datos ICP (2)'!AZ30</f>
        <v>-1</v>
      </c>
      <c r="W3" s="81" t="n">
        <f aca="false">+'Datos ICP (2)'!BA30</f>
        <v>-1</v>
      </c>
      <c r="X3" s="81" t="n">
        <f aca="false">+'Datos ICP (2)'!BB30</f>
        <v>-3</v>
      </c>
    </row>
    <row r="4" customFormat="false" ht="15" hidden="false" customHeight="false" outlineLevel="0" collapsed="false">
      <c r="S4" s="82" t="s">
        <v>38</v>
      </c>
      <c r="T4" s="81" t="n">
        <f aca="false">+'Datos ICP (2)'!AX31</f>
        <v>0.00565629158811931</v>
      </c>
      <c r="U4" s="81" t="n">
        <f aca="false">+'Datos ICP (2)'!AY31</f>
        <v>0.0166262817053906</v>
      </c>
      <c r="V4" s="81" t="n">
        <f aca="false">+'Datos ICP (2)'!AZ31</f>
        <v>0.0334110900673497</v>
      </c>
      <c r="W4" s="81" t="n">
        <f aca="false">+'Datos ICP (2)'!BA31</f>
        <v>0.0692252912308931</v>
      </c>
      <c r="X4" s="81" t="n">
        <f aca="false">+'Datos ICP (2)'!BB31</f>
        <v>0.0498788451161718</v>
      </c>
    </row>
    <row r="5" customFormat="false" ht="24" hidden="false" customHeight="true" outlineLevel="0" collapsed="false">
      <c r="B5" s="83"/>
      <c r="C5" s="84"/>
      <c r="D5" s="83"/>
      <c r="E5" s="83"/>
      <c r="F5" s="83"/>
      <c r="G5" s="83"/>
      <c r="H5" s="83"/>
      <c r="I5" s="83"/>
      <c r="J5" s="83"/>
      <c r="K5" s="83"/>
      <c r="L5" s="83"/>
      <c r="M5" s="83"/>
      <c r="N5" s="83"/>
      <c r="O5" s="83"/>
      <c r="P5" s="83"/>
      <c r="Q5" s="83"/>
      <c r="R5" s="83"/>
    </row>
    <row r="6" customFormat="false" ht="45" hidden="false" customHeight="true" outlineLevel="0" collapsed="false">
      <c r="B6" s="83"/>
      <c r="C6" s="85" t="s">
        <v>39</v>
      </c>
      <c r="D6" s="86" t="s">
        <v>40</v>
      </c>
      <c r="E6" s="87" t="s">
        <v>4</v>
      </c>
      <c r="F6" s="87" t="s">
        <v>5</v>
      </c>
      <c r="G6" s="87" t="s">
        <v>6</v>
      </c>
      <c r="H6" s="87" t="s">
        <v>7</v>
      </c>
      <c r="I6" s="87" t="s">
        <v>8</v>
      </c>
      <c r="J6" s="87" t="s">
        <v>9</v>
      </c>
      <c r="K6" s="87" t="s">
        <v>10</v>
      </c>
      <c r="L6" s="87" t="s">
        <v>11</v>
      </c>
      <c r="M6" s="87" t="s">
        <v>12</v>
      </c>
      <c r="N6" s="87" t="s">
        <v>13</v>
      </c>
      <c r="O6" s="87" t="s">
        <v>14</v>
      </c>
      <c r="P6" s="87" t="s">
        <v>15</v>
      </c>
      <c r="Q6" s="88" t="s">
        <v>48</v>
      </c>
      <c r="R6" s="89"/>
    </row>
    <row r="7" customFormat="false" ht="9" hidden="false" customHeight="true" outlineLevel="0" collapsed="false">
      <c r="B7" s="83"/>
      <c r="C7" s="84"/>
      <c r="D7" s="83"/>
      <c r="E7" s="90"/>
      <c r="F7" s="90"/>
      <c r="G7" s="90"/>
      <c r="H7" s="90"/>
      <c r="I7" s="90"/>
      <c r="J7" s="90"/>
      <c r="K7" s="90"/>
      <c r="L7" s="90"/>
      <c r="M7" s="90"/>
      <c r="N7" s="90"/>
      <c r="O7" s="90"/>
      <c r="P7" s="90"/>
      <c r="Q7" s="90"/>
      <c r="R7" s="91"/>
    </row>
    <row r="8" customFormat="false" ht="16.5" hidden="true" customHeight="true" outlineLevel="0" collapsed="false">
      <c r="B8" s="83"/>
      <c r="C8" s="92" t="n">
        <v>2013</v>
      </c>
      <c r="D8" s="93" t="s">
        <v>3</v>
      </c>
      <c r="E8" s="94"/>
      <c r="F8" s="94"/>
      <c r="G8" s="94"/>
      <c r="H8" s="94"/>
      <c r="I8" s="94"/>
      <c r="J8" s="94"/>
      <c r="K8" s="94"/>
      <c r="L8" s="94"/>
      <c r="M8" s="94"/>
      <c r="N8" s="94"/>
      <c r="O8" s="94"/>
      <c r="P8" s="94"/>
      <c r="Q8" s="95"/>
      <c r="R8" s="83"/>
    </row>
    <row r="9" customFormat="false" ht="16.5" hidden="true" customHeight="true" outlineLevel="0" collapsed="false">
      <c r="B9" s="83"/>
      <c r="C9" s="92" t="n">
        <v>2014</v>
      </c>
      <c r="D9" s="93" t="s">
        <v>3</v>
      </c>
      <c r="E9" s="94"/>
      <c r="F9" s="94"/>
      <c r="G9" s="94"/>
      <c r="H9" s="94"/>
      <c r="I9" s="94"/>
      <c r="J9" s="94"/>
      <c r="K9" s="94"/>
      <c r="L9" s="94"/>
      <c r="M9" s="94"/>
      <c r="N9" s="94"/>
      <c r="O9" s="94"/>
      <c r="P9" s="94"/>
      <c r="Q9" s="95"/>
      <c r="R9" s="83"/>
    </row>
    <row r="10" customFormat="false" ht="16.5" hidden="true" customHeight="true" outlineLevel="0" collapsed="false">
      <c r="B10" s="83"/>
      <c r="C10" s="92" t="n">
        <v>2015</v>
      </c>
      <c r="D10" s="93" t="s">
        <v>3</v>
      </c>
      <c r="E10" s="94"/>
      <c r="F10" s="94"/>
      <c r="G10" s="94"/>
      <c r="H10" s="94"/>
      <c r="I10" s="94"/>
      <c r="J10" s="94"/>
      <c r="K10" s="94"/>
      <c r="L10" s="94"/>
      <c r="M10" s="94"/>
      <c r="N10" s="94"/>
      <c r="O10" s="94"/>
      <c r="P10" s="94"/>
      <c r="Q10" s="95"/>
      <c r="R10" s="83"/>
    </row>
    <row r="11" customFormat="false" ht="16.5" hidden="true" customHeight="true" outlineLevel="0" collapsed="false">
      <c r="B11" s="83"/>
      <c r="C11" s="92" t="n">
        <v>2016</v>
      </c>
      <c r="D11" s="93" t="s">
        <v>3</v>
      </c>
      <c r="E11" s="94"/>
      <c r="F11" s="94"/>
      <c r="G11" s="94"/>
      <c r="H11" s="94"/>
      <c r="I11" s="94"/>
      <c r="J11" s="94"/>
      <c r="K11" s="94"/>
      <c r="L11" s="94"/>
      <c r="M11" s="94"/>
      <c r="N11" s="94"/>
      <c r="O11" s="94"/>
      <c r="P11" s="94"/>
      <c r="Q11" s="95"/>
      <c r="R11" s="83"/>
    </row>
    <row r="12" customFormat="false" ht="16.5" hidden="true" customHeight="true" outlineLevel="0" collapsed="false">
      <c r="B12" s="83"/>
      <c r="C12" s="92" t="n">
        <v>2017</v>
      </c>
      <c r="D12" s="93" t="s">
        <v>3</v>
      </c>
      <c r="E12" s="94"/>
      <c r="F12" s="94"/>
      <c r="G12" s="94"/>
      <c r="H12" s="94"/>
      <c r="I12" s="94"/>
      <c r="J12" s="94"/>
      <c r="K12" s="94"/>
      <c r="L12" s="94"/>
      <c r="M12" s="94"/>
      <c r="N12" s="94"/>
      <c r="O12" s="94"/>
      <c r="P12" s="94"/>
      <c r="Q12" s="95"/>
      <c r="R12" s="83"/>
    </row>
    <row r="13" customFormat="false" ht="16.5" hidden="true" customHeight="true" outlineLevel="0" collapsed="false">
      <c r="B13" s="83"/>
      <c r="C13" s="92"/>
      <c r="D13" s="93" t="s">
        <v>26</v>
      </c>
      <c r="E13" s="94"/>
      <c r="F13" s="94"/>
      <c r="G13" s="94"/>
      <c r="H13" s="94"/>
      <c r="I13" s="94"/>
      <c r="J13" s="94"/>
      <c r="K13" s="94"/>
      <c r="L13" s="94"/>
      <c r="M13" s="94"/>
      <c r="N13" s="94"/>
      <c r="O13" s="94"/>
      <c r="P13" s="94"/>
      <c r="Q13" s="95"/>
      <c r="R13" s="83"/>
    </row>
    <row r="14" customFormat="false" ht="16.5" hidden="true" customHeight="true" outlineLevel="0" collapsed="false">
      <c r="B14" s="83"/>
      <c r="C14" s="92"/>
      <c r="D14" s="93" t="s">
        <v>38</v>
      </c>
      <c r="E14" s="94"/>
      <c r="F14" s="94"/>
      <c r="G14" s="94"/>
      <c r="H14" s="94"/>
      <c r="I14" s="94"/>
      <c r="J14" s="94"/>
      <c r="K14" s="94"/>
      <c r="L14" s="94"/>
      <c r="M14" s="94"/>
      <c r="N14" s="94"/>
      <c r="O14" s="94"/>
      <c r="P14" s="94"/>
      <c r="Q14" s="95"/>
      <c r="R14" s="83"/>
    </row>
    <row r="15" customFormat="false" ht="16.5" hidden="true" customHeight="true" outlineLevel="0" collapsed="false">
      <c r="B15" s="83"/>
      <c r="C15" s="92" t="n">
        <v>2018</v>
      </c>
      <c r="D15" s="93" t="s">
        <v>3</v>
      </c>
      <c r="E15" s="94"/>
      <c r="F15" s="94"/>
      <c r="G15" s="94"/>
      <c r="H15" s="94"/>
      <c r="I15" s="94"/>
      <c r="J15" s="94"/>
      <c r="K15" s="94"/>
      <c r="L15" s="94"/>
      <c r="M15" s="94"/>
      <c r="N15" s="94"/>
      <c r="O15" s="94"/>
      <c r="P15" s="94"/>
      <c r="Q15" s="95"/>
      <c r="R15" s="83"/>
    </row>
    <row r="16" customFormat="false" ht="16.5" hidden="true" customHeight="true" outlineLevel="0" collapsed="false">
      <c r="B16" s="83"/>
      <c r="C16" s="92"/>
      <c r="D16" s="93" t="s">
        <v>26</v>
      </c>
      <c r="E16" s="94"/>
      <c r="F16" s="94"/>
      <c r="G16" s="94"/>
      <c r="H16" s="94"/>
      <c r="I16" s="94"/>
      <c r="J16" s="94"/>
      <c r="K16" s="94"/>
      <c r="L16" s="94"/>
      <c r="M16" s="94"/>
      <c r="N16" s="94"/>
      <c r="O16" s="94"/>
      <c r="P16" s="94"/>
      <c r="Q16" s="95"/>
      <c r="R16" s="83"/>
    </row>
    <row r="17" customFormat="false" ht="16.5" hidden="true" customHeight="true" outlineLevel="0" collapsed="false">
      <c r="B17" s="83"/>
      <c r="C17" s="92"/>
      <c r="D17" s="93" t="s">
        <v>38</v>
      </c>
      <c r="E17" s="94"/>
      <c r="F17" s="94"/>
      <c r="G17" s="94"/>
      <c r="H17" s="94"/>
      <c r="I17" s="94"/>
      <c r="J17" s="94"/>
      <c r="K17" s="94"/>
      <c r="L17" s="94"/>
      <c r="M17" s="94"/>
      <c r="N17" s="94"/>
      <c r="O17" s="94"/>
      <c r="P17" s="94"/>
      <c r="Q17" s="95"/>
      <c r="R17" s="83"/>
    </row>
    <row r="18" customFormat="false" ht="16.5" hidden="true" customHeight="true" outlineLevel="0" collapsed="false">
      <c r="B18" s="83"/>
      <c r="C18" s="92" t="n">
        <v>2019</v>
      </c>
      <c r="D18" s="93" t="s">
        <v>3</v>
      </c>
      <c r="E18" s="94"/>
      <c r="F18" s="94"/>
      <c r="G18" s="94"/>
      <c r="H18" s="94"/>
      <c r="I18" s="94"/>
      <c r="J18" s="94"/>
      <c r="K18" s="94"/>
      <c r="L18" s="94"/>
      <c r="M18" s="94"/>
      <c r="N18" s="94"/>
      <c r="O18" s="94"/>
      <c r="P18" s="94"/>
      <c r="Q18" s="95"/>
      <c r="R18" s="83"/>
    </row>
    <row r="19" customFormat="false" ht="16.5" hidden="true" customHeight="true" outlineLevel="0" collapsed="false">
      <c r="B19" s="83"/>
      <c r="C19" s="92"/>
      <c r="D19" s="93" t="s">
        <v>26</v>
      </c>
      <c r="E19" s="94"/>
      <c r="F19" s="94"/>
      <c r="G19" s="94"/>
      <c r="H19" s="94"/>
      <c r="I19" s="94"/>
      <c r="J19" s="94"/>
      <c r="K19" s="94"/>
      <c r="L19" s="94"/>
      <c r="M19" s="94"/>
      <c r="N19" s="94"/>
      <c r="O19" s="94"/>
      <c r="P19" s="94"/>
      <c r="Q19" s="95"/>
      <c r="R19" s="83"/>
    </row>
    <row r="20" customFormat="false" ht="16.5" hidden="true" customHeight="true" outlineLevel="0" collapsed="false">
      <c r="B20" s="83"/>
      <c r="C20" s="92"/>
      <c r="D20" s="93" t="s">
        <v>38</v>
      </c>
      <c r="E20" s="94"/>
      <c r="F20" s="94"/>
      <c r="G20" s="94"/>
      <c r="H20" s="94"/>
      <c r="I20" s="94"/>
      <c r="J20" s="94"/>
      <c r="K20" s="94"/>
      <c r="L20" s="94"/>
      <c r="M20" s="94"/>
      <c r="N20" s="94"/>
      <c r="O20" s="94"/>
      <c r="P20" s="94"/>
      <c r="Q20" s="95"/>
      <c r="R20" s="83"/>
    </row>
    <row r="21" customFormat="false" ht="16.5" hidden="true" customHeight="true" outlineLevel="0" collapsed="false">
      <c r="B21" s="83"/>
      <c r="C21" s="92" t="n">
        <v>2020</v>
      </c>
      <c r="D21" s="93" t="s">
        <v>3</v>
      </c>
      <c r="E21" s="94"/>
      <c r="F21" s="94"/>
      <c r="G21" s="94"/>
      <c r="H21" s="94"/>
      <c r="I21" s="94"/>
      <c r="J21" s="94"/>
      <c r="K21" s="94"/>
      <c r="L21" s="94"/>
      <c r="M21" s="94"/>
      <c r="N21" s="94"/>
      <c r="O21" s="94"/>
      <c r="P21" s="94"/>
      <c r="Q21" s="95"/>
      <c r="R21" s="83"/>
    </row>
    <row r="22" customFormat="false" ht="16.5" hidden="true" customHeight="true" outlineLevel="0" collapsed="false">
      <c r="B22" s="83"/>
      <c r="C22" s="92"/>
      <c r="D22" s="93" t="s">
        <v>26</v>
      </c>
      <c r="E22" s="94"/>
      <c r="F22" s="94"/>
      <c r="G22" s="94"/>
      <c r="H22" s="94"/>
      <c r="I22" s="94"/>
      <c r="J22" s="94"/>
      <c r="K22" s="94"/>
      <c r="L22" s="94"/>
      <c r="M22" s="94"/>
      <c r="N22" s="94"/>
      <c r="O22" s="94"/>
      <c r="P22" s="94"/>
      <c r="Q22" s="95"/>
      <c r="R22" s="83"/>
    </row>
    <row r="23" customFormat="false" ht="16.5" hidden="true" customHeight="true" outlineLevel="0" collapsed="false">
      <c r="B23" s="83"/>
      <c r="C23" s="92"/>
      <c r="D23" s="93" t="s">
        <v>38</v>
      </c>
      <c r="E23" s="94"/>
      <c r="F23" s="94"/>
      <c r="G23" s="94"/>
      <c r="H23" s="94"/>
      <c r="I23" s="94"/>
      <c r="J23" s="94"/>
      <c r="K23" s="94"/>
      <c r="L23" s="94"/>
      <c r="M23" s="94"/>
      <c r="N23" s="94"/>
      <c r="O23" s="94"/>
      <c r="P23" s="94"/>
      <c r="Q23" s="95"/>
      <c r="R23" s="83"/>
    </row>
    <row r="24" customFormat="false" ht="16.5" hidden="true" customHeight="true" outlineLevel="0" collapsed="false">
      <c r="B24" s="83"/>
      <c r="C24" s="92" t="n">
        <v>2021</v>
      </c>
      <c r="D24" s="93" t="s">
        <v>3</v>
      </c>
      <c r="E24" s="94"/>
      <c r="F24" s="94"/>
      <c r="G24" s="94"/>
      <c r="H24" s="94"/>
      <c r="I24" s="94"/>
      <c r="J24" s="94"/>
      <c r="K24" s="94"/>
      <c r="L24" s="94"/>
      <c r="M24" s="94"/>
      <c r="N24" s="94"/>
      <c r="O24" s="94"/>
      <c r="P24" s="94"/>
      <c r="Q24" s="95"/>
      <c r="R24" s="83"/>
    </row>
    <row r="25" customFormat="false" ht="16.5" hidden="true" customHeight="true" outlineLevel="0" collapsed="false">
      <c r="B25" s="83"/>
      <c r="C25" s="92"/>
      <c r="D25" s="93" t="s">
        <v>26</v>
      </c>
      <c r="E25" s="94"/>
      <c r="F25" s="94"/>
      <c r="G25" s="94"/>
      <c r="H25" s="94"/>
      <c r="I25" s="94"/>
      <c r="J25" s="94"/>
      <c r="K25" s="94"/>
      <c r="L25" s="94"/>
      <c r="M25" s="94"/>
      <c r="N25" s="94"/>
      <c r="O25" s="94"/>
      <c r="P25" s="94"/>
      <c r="Q25" s="95"/>
      <c r="R25" s="83"/>
    </row>
    <row r="26" customFormat="false" ht="16.5" hidden="true" customHeight="true" outlineLevel="0" collapsed="false">
      <c r="B26" s="83"/>
      <c r="C26" s="92"/>
      <c r="D26" s="93" t="s">
        <v>38</v>
      </c>
      <c r="E26" s="94"/>
      <c r="F26" s="94"/>
      <c r="G26" s="94"/>
      <c r="H26" s="94"/>
      <c r="I26" s="94"/>
      <c r="J26" s="94"/>
      <c r="K26" s="94"/>
      <c r="L26" s="94"/>
      <c r="M26" s="94"/>
      <c r="N26" s="94"/>
      <c r="O26" s="94"/>
      <c r="P26" s="94"/>
      <c r="Q26" s="95"/>
      <c r="R26" s="83"/>
    </row>
    <row r="27" customFormat="false" ht="16.5" hidden="true" customHeight="true" outlineLevel="0" collapsed="false">
      <c r="B27" s="83"/>
      <c r="C27" s="92" t="n">
        <v>2022</v>
      </c>
      <c r="D27" s="93" t="s">
        <v>3</v>
      </c>
      <c r="E27" s="94"/>
      <c r="F27" s="94"/>
      <c r="G27" s="94"/>
      <c r="H27" s="94"/>
      <c r="I27" s="94"/>
      <c r="J27" s="94"/>
      <c r="K27" s="94"/>
      <c r="L27" s="94"/>
      <c r="M27" s="94"/>
      <c r="N27" s="94"/>
      <c r="O27" s="94"/>
      <c r="P27" s="94"/>
      <c r="Q27" s="95"/>
      <c r="R27" s="83"/>
    </row>
    <row r="28" customFormat="false" ht="16.5" hidden="true" customHeight="true" outlineLevel="0" collapsed="false">
      <c r="B28" s="83"/>
      <c r="C28" s="92"/>
      <c r="D28" s="93" t="s">
        <v>26</v>
      </c>
      <c r="E28" s="94"/>
      <c r="F28" s="94"/>
      <c r="G28" s="94"/>
      <c r="H28" s="94"/>
      <c r="I28" s="94"/>
      <c r="J28" s="94"/>
      <c r="K28" s="94"/>
      <c r="L28" s="94"/>
      <c r="M28" s="94"/>
      <c r="N28" s="94"/>
      <c r="O28" s="94"/>
      <c r="P28" s="94"/>
      <c r="Q28" s="95"/>
      <c r="R28" s="83"/>
    </row>
    <row r="29" customFormat="false" ht="16.5" hidden="true" customHeight="true" outlineLevel="0" collapsed="false">
      <c r="B29" s="83"/>
      <c r="C29" s="92"/>
      <c r="D29" s="93" t="s">
        <v>38</v>
      </c>
      <c r="E29" s="94"/>
      <c r="F29" s="94"/>
      <c r="G29" s="94"/>
      <c r="H29" s="94"/>
      <c r="I29" s="94"/>
      <c r="J29" s="94"/>
      <c r="K29" s="94"/>
      <c r="L29" s="94"/>
      <c r="M29" s="94"/>
      <c r="N29" s="94"/>
      <c r="O29" s="94"/>
      <c r="P29" s="94"/>
      <c r="Q29" s="95"/>
      <c r="R29" s="83"/>
    </row>
    <row r="30" customFormat="false" ht="16.5" hidden="true" customHeight="true" outlineLevel="0" collapsed="false">
      <c r="B30" s="83"/>
      <c r="C30" s="92" t="n">
        <v>2023</v>
      </c>
      <c r="D30" s="93" t="s">
        <v>3</v>
      </c>
      <c r="E30" s="94"/>
      <c r="F30" s="94"/>
      <c r="G30" s="94"/>
      <c r="H30" s="94"/>
      <c r="I30" s="94"/>
      <c r="J30" s="94"/>
      <c r="K30" s="94"/>
      <c r="L30" s="94"/>
      <c r="M30" s="94" t="n">
        <f aca="false">+'Datos ICP (2)'!AM77</f>
        <v>0</v>
      </c>
      <c r="N30" s="94" t="n">
        <f aca="false">+'Datos ICP (2)'!AN77</f>
        <v>0</v>
      </c>
      <c r="O30" s="94" t="n">
        <f aca="false">+'Datos ICP (2)'!AO77</f>
        <v>0</v>
      </c>
      <c r="P30" s="94" t="n">
        <f aca="false">+'Datos ICP (2)'!AP77</f>
        <v>0</v>
      </c>
      <c r="Q30" s="95" t="n">
        <f aca="false">+'Datos ICP (2)'!AQ77</f>
        <v>0</v>
      </c>
      <c r="R30" s="83"/>
    </row>
    <row r="31" customFormat="false" ht="16.5" hidden="true" customHeight="true" outlineLevel="0" collapsed="false">
      <c r="B31" s="83"/>
      <c r="C31" s="92"/>
      <c r="D31" s="93" t="s">
        <v>26</v>
      </c>
      <c r="E31" s="94"/>
      <c r="F31" s="94"/>
      <c r="G31" s="94"/>
      <c r="H31" s="94"/>
      <c r="I31" s="94"/>
      <c r="J31" s="94"/>
      <c r="K31" s="94"/>
      <c r="L31" s="94"/>
      <c r="M31" s="94" t="n">
        <f aca="false">+'Datos ICP (2)'!AM78</f>
        <v>0</v>
      </c>
      <c r="N31" s="94" t="n">
        <f aca="false">+'Datos ICP (2)'!AN78</f>
        <v>0</v>
      </c>
      <c r="O31" s="94" t="n">
        <f aca="false">+'Datos ICP (2)'!AO78</f>
        <v>0</v>
      </c>
      <c r="P31" s="94" t="n">
        <f aca="false">+'Datos ICP (2)'!AP78</f>
        <v>0</v>
      </c>
      <c r="Q31" s="95" t="n">
        <f aca="false">+'Datos ICP (2)'!AQ78</f>
        <v>0</v>
      </c>
      <c r="R31" s="83"/>
    </row>
    <row r="32" customFormat="false" ht="16.5" hidden="true" customHeight="true" outlineLevel="0" collapsed="false">
      <c r="B32" s="83"/>
      <c r="C32" s="92"/>
      <c r="D32" s="93" t="s">
        <v>38</v>
      </c>
      <c r="E32" s="94"/>
      <c r="F32" s="94"/>
      <c r="G32" s="94"/>
      <c r="H32" s="94"/>
      <c r="I32" s="94"/>
      <c r="J32" s="94"/>
      <c r="K32" s="94"/>
      <c r="L32" s="94"/>
      <c r="M32" s="94" t="n">
        <f aca="false">+'Datos ICP (2)'!AM79</f>
        <v>0</v>
      </c>
      <c r="N32" s="94" t="n">
        <f aca="false">+'Datos ICP (2)'!AN79</f>
        <v>0</v>
      </c>
      <c r="O32" s="94" t="n">
        <f aca="false">+'Datos ICP (2)'!AO79</f>
        <v>0</v>
      </c>
      <c r="P32" s="94" t="n">
        <f aca="false">+'Datos ICP (2)'!AP79</f>
        <v>0</v>
      </c>
      <c r="Q32" s="95" t="n">
        <f aca="false">+'Datos ICP (2)'!AQ79</f>
        <v>0</v>
      </c>
      <c r="R32" s="83"/>
    </row>
    <row r="33" customFormat="false" ht="16.5" hidden="false" customHeight="true" outlineLevel="0" collapsed="false">
      <c r="B33" s="83"/>
      <c r="C33" s="92" t="n">
        <v>2024</v>
      </c>
      <c r="D33" s="93" t="s">
        <v>3</v>
      </c>
      <c r="E33" s="96"/>
      <c r="F33" s="96"/>
      <c r="G33" s="96"/>
      <c r="H33" s="96" t="n">
        <f aca="false">+'Datos ICP (2)'!AH80</f>
        <v>0.00609278396182833</v>
      </c>
      <c r="I33" s="96" t="n">
        <f aca="false">+'Datos ICP (2)'!AI80</f>
        <v>0.00551411929031809</v>
      </c>
      <c r="J33" s="96" t="n">
        <f aca="false">+'Datos ICP (2)'!AJ80</f>
        <v>0.00461354906321554</v>
      </c>
      <c r="K33" s="96" t="n">
        <f aca="false">+'Datos ICP (2)'!AK80</f>
        <v>0.00528435035284347</v>
      </c>
      <c r="L33" s="96" t="n">
        <f aca="false">+'Datos ICP (2)'!AL80</f>
        <v>0.00480235203759283</v>
      </c>
      <c r="M33" s="96" t="n">
        <f aca="false">+'Datos ICP (2)'!AM80</f>
        <v>0.00478104349541386</v>
      </c>
      <c r="N33" s="96" t="n">
        <f aca="false">+'Datos ICP (2)'!AN80</f>
        <v>0.00451044051641847</v>
      </c>
      <c r="O33" s="96" t="n">
        <f aca="false">+'Datos ICP (2)'!AO80</f>
        <v>0.0043843255475724</v>
      </c>
      <c r="P33" s="96" t="n">
        <f aca="false">+'Datos ICP (2)'!AP80</f>
        <v>0.00444626417327787</v>
      </c>
      <c r="Q33" s="96" t="n">
        <f aca="false">+'Datos ICP (2)'!AQ80</f>
        <v>0.0604204591877272</v>
      </c>
      <c r="R33" s="83"/>
    </row>
    <row r="34" customFormat="false" ht="16.5" hidden="false" customHeight="true" outlineLevel="0" collapsed="false">
      <c r="B34" s="83"/>
      <c r="C34" s="92"/>
      <c r="D34" s="93" t="s">
        <v>26</v>
      </c>
      <c r="E34" s="96"/>
      <c r="F34" s="96"/>
      <c r="G34" s="96"/>
      <c r="H34" s="96" t="n">
        <f aca="false">+'Datos ICP (2)'!AH81</f>
        <v>0.00472012403360989</v>
      </c>
      <c r="I34" s="96" t="n">
        <f aca="false">+'Datos ICP (2)'!AI81</f>
        <v>0.00416779685595303</v>
      </c>
      <c r="J34" s="96" t="n">
        <f aca="false">+'Datos ICP (2)'!AJ81</f>
        <v>0.00365019312776771</v>
      </c>
      <c r="K34" s="96" t="n">
        <f aca="false">+'Datos ICP (2)'!AK81</f>
        <v>0.00363412607508162</v>
      </c>
      <c r="L34" s="96" t="n">
        <f aca="false">+'Datos ICP (2)'!AL81</f>
        <v>0.00362766941593184</v>
      </c>
      <c r="M34" s="96" t="n">
        <f aca="false">+'Datos ICP (2)'!AM81</f>
        <v>0.0033754452875443</v>
      </c>
      <c r="N34" s="96" t="n">
        <f aca="false">+'Datos ICP (2)'!AN81</f>
        <v>0.00341081299567914</v>
      </c>
      <c r="O34" s="96" t="n">
        <f aca="false">+'Datos ICP (2)'!AO81</f>
        <v>0.00322037460491331</v>
      </c>
      <c r="P34" s="96" t="n">
        <f aca="false">+'Datos ICP (2)'!AP81</f>
        <v>0.003229855901979</v>
      </c>
      <c r="Q34" s="96" t="n">
        <f aca="false">+'Datos ICP (2)'!AQ81</f>
        <v>0.0446995571155876</v>
      </c>
      <c r="R34" s="83"/>
    </row>
    <row r="35" customFormat="false" ht="16.5" hidden="false" customHeight="true" outlineLevel="0" collapsed="false">
      <c r="B35" s="83"/>
      <c r="C35" s="92"/>
      <c r="D35" s="93" t="s">
        <v>38</v>
      </c>
      <c r="E35" s="96"/>
      <c r="F35" s="96"/>
      <c r="G35" s="96"/>
      <c r="H35" s="96" t="n">
        <f aca="false">+'Datos ICP (2)'!AH82</f>
        <v>0.00584640000000003</v>
      </c>
      <c r="I35" s="96" t="n">
        <f aca="false">+'Datos ICP (2)'!AI82</f>
        <v>0.00699460673120655</v>
      </c>
      <c r="J35" s="96" t="n">
        <f aca="false">+'Datos ICP (2)'!AJ82</f>
        <v>0.00585339712359367</v>
      </c>
      <c r="K35" s="96" t="n">
        <f aca="false">+'Datos ICP (2)'!AK82</f>
        <v>0.00585751602333962</v>
      </c>
      <c r="L35" s="96" t="n">
        <f aca="false">+'Datos ICP (2)'!AL82</f>
        <v>0.00514277037845456</v>
      </c>
      <c r="M35" s="96" t="n">
        <f aca="false">+'Datos ICP (2)'!AM82</f>
        <v>0.00559672621272433</v>
      </c>
      <c r="N35" s="96" t="n">
        <f aca="false">+'Datos ICP (2)'!AN82</f>
        <v>0.00460710349884419</v>
      </c>
      <c r="O35" s="96" t="n">
        <f aca="false">+'Datos ICP (2)'!AO82</f>
        <v>0.00431977917049764</v>
      </c>
      <c r="P35" s="96" t="n">
        <f aca="false">+'Datos ICP (2)'!AP82</f>
        <v>0.00461198833735987</v>
      </c>
      <c r="Q35" s="96" t="n">
        <f aca="false">+'Datos ICP (2)'!AQ82</f>
        <v>0.0665341333333333</v>
      </c>
      <c r="R35" s="83"/>
    </row>
    <row r="36" customFormat="false" ht="16.5" hidden="false" customHeight="true" outlineLevel="0" collapsed="false">
      <c r="B36" s="83"/>
      <c r="C36" s="92" t="n">
        <v>2025</v>
      </c>
      <c r="D36" s="93" t="s">
        <v>3</v>
      </c>
      <c r="E36" s="96" t="n">
        <f aca="false">+'Datos ICP (2)'!AE83</f>
        <v>0.00445443017437541</v>
      </c>
      <c r="F36" s="96" t="n">
        <f aca="false">+'Datos ICP (2)'!AF83</f>
        <v>0.00389626305099444</v>
      </c>
      <c r="G36" s="96" t="n">
        <f aca="false">+'Datos ICP (2)'!AG83</f>
        <v>0.0043138020854181</v>
      </c>
      <c r="H36" s="96" t="n">
        <f aca="false">+'Datos ICP (2)'!AH83</f>
        <v>0.00417571644342774</v>
      </c>
      <c r="I36" s="96" t="n">
        <f aca="false">+'Datos ICP (2)'!AI83</f>
        <v>0.00417422694650416</v>
      </c>
      <c r="J36" s="96" t="n">
        <f aca="false">+'Datos ICP (2)'!AJ83</f>
        <v>0.00431456613652492</v>
      </c>
      <c r="K36" s="96" t="n">
        <f aca="false">+'Datos ICP (2)'!AK83</f>
        <v>0.00430626208344687</v>
      </c>
      <c r="L36" s="96" t="n">
        <f aca="false">+'Datos ICP (2)'!AL83</f>
        <v>0.00383327468941586</v>
      </c>
      <c r="M36" s="96" t="n">
        <f aca="false">+'Datos ICP (2)'!AM83</f>
        <v>0.00423004876441735</v>
      </c>
      <c r="N36" s="96" t="n">
        <f aca="false">+'Datos ICP (2)'!AN83</f>
        <v>0.00396619021077105</v>
      </c>
      <c r="O36" s="96" t="n">
        <f aca="false">+'Datos ICP (2)'!AO83</f>
        <v>0.00383243965233548</v>
      </c>
      <c r="P36" s="96" t="n">
        <f aca="false">+'Datos ICP (2)'!AP83</f>
        <v>0.00413946203577598</v>
      </c>
      <c r="Q36" s="96" t="n">
        <f aca="false">+'Datos ICP (2)'!AQ83</f>
        <v>0.0461215166375695</v>
      </c>
      <c r="R36" s="83"/>
    </row>
    <row r="37" customFormat="false" ht="16.5" hidden="false" customHeight="true" outlineLevel="0" collapsed="false">
      <c r="B37" s="83"/>
      <c r="C37" s="92"/>
      <c r="D37" s="93" t="s">
        <v>26</v>
      </c>
      <c r="E37" s="96" t="n">
        <f aca="false">+'Datos ICP (2)'!AE84</f>
        <v>0.00302021033404665</v>
      </c>
      <c r="F37" s="96" t="n">
        <f aca="false">+'Datos ICP (2)'!AF84</f>
        <v>0.00276213771028111</v>
      </c>
      <c r="G37" s="96" t="n">
        <f aca="false">+'Datos ICP (2)'!AG84</f>
        <v>0.00306282692323312</v>
      </c>
      <c r="H37" s="96" t="n">
        <f aca="false">+'Datos ICP (2)'!AH84</f>
        <v>0.00297594968581905</v>
      </c>
      <c r="I37" s="96" t="n">
        <f aca="false">+'Datos ICP (2)'!AI84</f>
        <v>0.00308976252279503</v>
      </c>
      <c r="J37" s="96" t="n">
        <f aca="false">+'Datos ICP (2)'!AJ84</f>
        <v>0.00299705245742721</v>
      </c>
      <c r="K37" s="96" t="n">
        <f aca="false">+'Datos ICP (2)'!AK84</f>
        <v>0.00295054952791363</v>
      </c>
      <c r="L37" s="96" t="n">
        <f aca="false">+'Datos ICP (2)'!AL84</f>
        <v>0.00300054219083834</v>
      </c>
      <c r="M37" s="96" t="n">
        <f aca="false">+'Datos ICP (2)'!AM84</f>
        <v>0.00276161496613736</v>
      </c>
      <c r="N37" s="96" t="n">
        <f aca="false">+'Datos ICP (2)'!AN84</f>
        <v>0.00286519472447866</v>
      </c>
      <c r="O37" s="96" t="n">
        <f aca="false">+'Datos ICP (2)'!AO84</f>
        <v>0.00279501576319907</v>
      </c>
      <c r="P37" s="96" t="n">
        <f aca="false">+'Datos ICP (2)'!AP84</f>
        <v>0.00283776649927603</v>
      </c>
      <c r="Q37" s="96" t="n">
        <f aca="false">+'Datos ICP (2)'!AQ84</f>
        <v>0.0325707862057447</v>
      </c>
      <c r="R37" s="83"/>
    </row>
    <row r="38" customFormat="false" ht="16.5" hidden="false" customHeight="true" outlineLevel="0" collapsed="false">
      <c r="B38" s="83"/>
      <c r="C38" s="92"/>
      <c r="D38" s="93" t="s">
        <v>38</v>
      </c>
      <c r="E38" s="96" t="n">
        <f aca="false">+'Datos ICP (2)'!AE85</f>
        <v>0.00370235048917977</v>
      </c>
      <c r="F38" s="96" t="n">
        <f aca="false">+'Datos ICP (2)'!AF85</f>
        <v>0.00428482890813786</v>
      </c>
      <c r="G38" s="96" t="n">
        <f aca="false">+'Datos ICP (2)'!AG85</f>
        <v>0.00501330904287323</v>
      </c>
      <c r="H38" s="96" t="n">
        <f aca="false">+'Datos ICP (2)'!AH85</f>
        <v>0.00694682235551691</v>
      </c>
      <c r="I38" s="96" t="n">
        <f aca="false">+'Datos ICP (2)'!AI85</f>
        <v>0.0060339087689576</v>
      </c>
      <c r="J38" s="96" t="n">
        <f aca="false">+'Datos ICP (2)'!AJ85</f>
        <v>0.00559092888494384</v>
      </c>
      <c r="K38" s="96" t="n">
        <f aca="false">+'Datos ICP (2)'!AK85</f>
        <v>0.00591213378771949</v>
      </c>
      <c r="L38" s="96" t="n">
        <f aca="false">+'Datos ICP (2)'!AL85</f>
        <v>0.00578820252662338</v>
      </c>
      <c r="M38" s="96" t="n">
        <f aca="false">+'Datos ICP (2)'!AM85</f>
        <v>0.00520033884395699</v>
      </c>
      <c r="N38" s="96" t="n">
        <f aca="false">+'Datos ICP (2)'!AN85</f>
        <v>0.00564090119379435</v>
      </c>
      <c r="O38" s="96" t="n">
        <f aca="false">+'Datos ICP (2)'!AO85</f>
        <v>0.00529602502125015</v>
      </c>
      <c r="P38" s="96" t="n">
        <f aca="false">+'Datos ICP (2)'!AP85</f>
        <v>0.00579578120916957</v>
      </c>
      <c r="Q38" s="96" t="n">
        <f aca="false">+'Datos ICP (2)'!AQ85</f>
        <v>0.063249362276671</v>
      </c>
      <c r="R38" s="83"/>
    </row>
    <row r="39" customFormat="false" ht="15" hidden="false" customHeight="false" outlineLevel="0" collapsed="false">
      <c r="C39" s="92" t="n">
        <v>2026</v>
      </c>
      <c r="D39" s="93" t="s">
        <v>3</v>
      </c>
      <c r="E39" s="96" t="n">
        <f aca="false">+'Datos ICP (2)'!AE86</f>
        <v>0.00388234363273376</v>
      </c>
      <c r="F39" s="96" t="n">
        <f aca="false">+'Datos ICP (2)'!AF86</f>
        <v>0.00363126461056962</v>
      </c>
      <c r="G39" s="96" t="n">
        <f aca="false">+'Datos ICP (2)'!AG86</f>
        <v>0.0038819280865483</v>
      </c>
      <c r="H39" s="96" t="n">
        <f aca="false">+'Datos ICP (2)'!AH86</f>
        <v>-0.243672722859896</v>
      </c>
      <c r="I39" s="96"/>
      <c r="J39" s="96"/>
      <c r="K39" s="96"/>
      <c r="L39" s="96"/>
      <c r="M39" s="96"/>
      <c r="N39" s="96"/>
      <c r="O39" s="96"/>
      <c r="P39" s="96"/>
      <c r="Q39" s="96" t="n">
        <f aca="false">+'Datos ICP (2)'!AQ86</f>
        <v>-0.71393888658704</v>
      </c>
    </row>
    <row r="40" customFormat="false" ht="15" hidden="false" customHeight="false" outlineLevel="0" collapsed="false">
      <c r="C40" s="92"/>
      <c r="D40" s="93" t="s">
        <v>26</v>
      </c>
      <c r="E40" s="96" t="n">
        <f aca="false">+'Datos ICP (2)'!AE87</f>
        <v>0.00272443815472734</v>
      </c>
      <c r="F40" s="96" t="n">
        <f aca="false">+'Datos ICP (2)'!AF87</f>
        <v>0.00244521636660222</v>
      </c>
      <c r="G40" s="96" t="n">
        <f aca="false">+'Datos ICP (2)'!AG87</f>
        <v>0.00268777625151762</v>
      </c>
      <c r="H40" s="96" t="n">
        <f aca="false">+'Datos ICP (2)'!AH87</f>
        <v>-1</v>
      </c>
      <c r="I40" s="96"/>
      <c r="J40" s="96"/>
      <c r="K40" s="96"/>
      <c r="L40" s="96"/>
      <c r="M40" s="96"/>
      <c r="N40" s="96"/>
      <c r="O40" s="96"/>
      <c r="P40" s="96"/>
      <c r="Q40" s="96" t="n">
        <f aca="false">+'Datos ICP (2)'!AQ87</f>
        <v>-3</v>
      </c>
    </row>
    <row r="41" customFormat="false" ht="15" hidden="false" customHeight="false" outlineLevel="0" collapsed="false">
      <c r="C41" s="92"/>
      <c r="D41" s="93" t="s">
        <v>38</v>
      </c>
      <c r="E41" s="96" t="n">
        <f aca="false">+'Datos ICP (2)'!AE88</f>
        <v>0.00532853592845872</v>
      </c>
      <c r="F41" s="96" t="n">
        <f aca="false">+'Datos ICP (2)'!AF88</f>
        <v>0.00530233501247412</v>
      </c>
      <c r="G41" s="96" t="n">
        <f aca="false">+'Datos ICP (2)'!AG88</f>
        <v>0.00557638676700956</v>
      </c>
      <c r="H41" s="96" t="n">
        <f aca="false">+'Datos ICP (2)'!AH88</f>
        <v>0.00565629158811931</v>
      </c>
      <c r="I41" s="96"/>
      <c r="J41" s="96"/>
      <c r="K41" s="96"/>
      <c r="L41" s="96"/>
      <c r="M41" s="96"/>
      <c r="N41" s="96"/>
      <c r="O41" s="96"/>
      <c r="P41" s="96"/>
      <c r="Q41" s="96" t="n">
        <f aca="false">+'Datos ICP (2)'!AQ88</f>
        <v>0.0498788451161718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7"/>
      <c r="C1" s="98"/>
      <c r="J1" s="99" t="s">
        <v>49</v>
      </c>
      <c r="K1" s="97"/>
      <c r="L1" s="100"/>
      <c r="N1" s="99" t="s">
        <v>50</v>
      </c>
      <c r="O1" s="97"/>
      <c r="P1" s="100"/>
      <c r="R1" s="99" t="s">
        <v>51</v>
      </c>
      <c r="S1" s="97"/>
      <c r="T1" s="100"/>
    </row>
    <row r="2" customFormat="false" ht="15" hidden="false" customHeight="false" outlineLevel="0" collapsed="false">
      <c r="C2" s="98"/>
      <c r="O2" s="101" t="s">
        <v>52</v>
      </c>
      <c r="P2" s="102" t="n">
        <v>0</v>
      </c>
    </row>
    <row r="3" customFormat="false" ht="15" hidden="false" customHeight="false" outlineLevel="0" collapsed="false">
      <c r="C3" s="98"/>
      <c r="K3" s="101" t="s">
        <v>53</v>
      </c>
      <c r="L3" s="102" t="n">
        <v>0.3815</v>
      </c>
      <c r="O3" s="101" t="s">
        <v>54</v>
      </c>
      <c r="P3" s="102" t="n">
        <v>0</v>
      </c>
      <c r="S3" s="101" t="s">
        <v>55</v>
      </c>
      <c r="T3" s="102" t="n">
        <v>0.9437743069653</v>
      </c>
    </row>
    <row r="4" customFormat="false" ht="15" hidden="false" customHeight="false" outlineLevel="0" collapsed="false">
      <c r="C4" s="98"/>
      <c r="K4" s="101" t="s">
        <v>56</v>
      </c>
      <c r="L4" s="102" t="n">
        <v>0.5445</v>
      </c>
      <c r="O4" s="101" t="s">
        <v>57</v>
      </c>
      <c r="P4" s="102" t="n">
        <v>0</v>
      </c>
      <c r="S4" s="101" t="s">
        <v>58</v>
      </c>
      <c r="T4" s="102" t="n">
        <v>0.0562256930346996</v>
      </c>
    </row>
    <row r="5" customFormat="false" ht="15" hidden="false" customHeight="false" outlineLevel="0" collapsed="false">
      <c r="A5" s="97"/>
      <c r="B5" s="97"/>
      <c r="C5" s="98"/>
      <c r="K5" s="101" t="s">
        <v>59</v>
      </c>
      <c r="L5" s="102" t="n">
        <v>0.074</v>
      </c>
      <c r="O5" s="101" t="s">
        <v>60</v>
      </c>
      <c r="P5" s="102" t="n">
        <v>0.0893</v>
      </c>
    </row>
    <row r="6" customFormat="false" ht="15" hidden="false" customHeight="false" outlineLevel="0" collapsed="false">
      <c r="A6" s="97"/>
      <c r="B6" s="97"/>
      <c r="C6" s="98"/>
      <c r="K6" s="101" t="s">
        <v>61</v>
      </c>
      <c r="L6" s="102" t="n">
        <v>0</v>
      </c>
      <c r="O6" s="101" t="s">
        <v>62</v>
      </c>
      <c r="P6" s="102" t="n">
        <v>0.7766</v>
      </c>
    </row>
    <row r="7" customFormat="false" ht="15" hidden="false" customHeight="false" outlineLevel="0" collapsed="false">
      <c r="B7" s="97"/>
      <c r="C7" s="98"/>
      <c r="L7" s="103" t="n">
        <f aca="false">SUM(L3:L6)</f>
        <v>1</v>
      </c>
      <c r="O7" s="101" t="s">
        <v>63</v>
      </c>
      <c r="P7" s="102" t="n">
        <v>0</v>
      </c>
      <c r="Q7" s="103"/>
    </row>
    <row r="8" customFormat="false" ht="15" hidden="false" customHeight="false" outlineLevel="0" collapsed="false">
      <c r="C8" s="98"/>
      <c r="O8" s="101" t="s">
        <v>64</v>
      </c>
      <c r="P8" s="104" t="n">
        <v>0.134</v>
      </c>
    </row>
    <row r="9" customFormat="false" ht="15" hidden="false" customHeight="false" outlineLevel="0" collapsed="false">
      <c r="C9" s="98"/>
      <c r="O9" s="101" t="s">
        <v>65</v>
      </c>
      <c r="P9" s="102" t="n">
        <v>0</v>
      </c>
    </row>
    <row r="10" customFormat="false" ht="15" hidden="false" customHeight="false" outlineLevel="0" collapsed="false">
      <c r="C10" s="98"/>
      <c r="O10" s="101" t="s">
        <v>66</v>
      </c>
      <c r="P10" s="102" t="n">
        <v>0</v>
      </c>
    </row>
    <row r="11" customFormat="false" ht="15" hidden="false" customHeight="false" outlineLevel="0" collapsed="false">
      <c r="C11" s="98"/>
      <c r="O11" s="101" t="s">
        <v>67</v>
      </c>
      <c r="P11" s="102" t="n">
        <v>0</v>
      </c>
    </row>
    <row r="12" customFormat="false" ht="15" hidden="true" customHeight="false" outlineLevel="0" collapsed="false">
      <c r="C12" s="98"/>
      <c r="O12" s="101"/>
      <c r="P12" s="102" t="n">
        <v>0</v>
      </c>
    </row>
    <row r="13" customFormat="false" ht="15" hidden="false" customHeight="false" outlineLevel="0" collapsed="false">
      <c r="C13" s="98"/>
      <c r="O13" s="101" t="s">
        <v>68</v>
      </c>
      <c r="P13" s="102" t="n">
        <v>0</v>
      </c>
    </row>
    <row r="14" customFormat="false" ht="15" hidden="true" customHeight="false" outlineLevel="0" collapsed="false">
      <c r="A14" s="97" t="s">
        <v>69</v>
      </c>
      <c r="B14" s="105" t="n">
        <v>0</v>
      </c>
      <c r="C14" s="98"/>
    </row>
    <row r="15" customFormat="false" ht="15" hidden="false" customHeight="false" outlineLevel="0" collapsed="false">
      <c r="A15" s="97"/>
      <c r="B15" s="105"/>
      <c r="C15" s="98"/>
      <c r="P15" s="103" t="n">
        <f aca="false">SUM(P2:P14)</f>
        <v>0.9999</v>
      </c>
    </row>
    <row r="16" customFormat="false" ht="15" hidden="false" customHeight="false" outlineLevel="0" collapsed="false">
      <c r="B16" s="97"/>
      <c r="C16" s="98"/>
    </row>
    <row r="17" customFormat="false" ht="15" hidden="false" customHeight="false" outlineLevel="0" collapsed="false">
      <c r="C17" s="98"/>
    </row>
    <row r="18" customFormat="false" ht="15" hidden="false" customHeight="false" outlineLevel="0" collapsed="false">
      <c r="C18" s="98"/>
    </row>
    <row r="19" customFormat="false" ht="15" hidden="false" customHeight="false" outlineLevel="0" collapsed="false">
      <c r="C19" s="98"/>
    </row>
    <row r="20" customFormat="false" ht="15" hidden="false" customHeight="false" outlineLevel="0" collapsed="false">
      <c r="C20" s="98"/>
    </row>
    <row r="21" customFormat="false" ht="15" hidden="false" customHeight="false" outlineLevel="0" collapsed="false">
      <c r="C21" s="98"/>
      <c r="N21" s="106"/>
      <c r="O21" s="107"/>
    </row>
    <row r="22" customFormat="false" ht="15" hidden="false" customHeight="false" outlineLevel="0" collapsed="false">
      <c r="A22" s="98"/>
      <c r="B22" s="98"/>
      <c r="C22" s="98"/>
    </row>
    <row r="23" customFormat="false" ht="15" hidden="false" customHeight="false" outlineLevel="0" collapsed="false">
      <c r="A23" s="98"/>
      <c r="B23" s="98"/>
      <c r="C23" s="98"/>
    </row>
    <row r="24" customFormat="false" ht="15" hidden="false" customHeight="false" outlineLevel="0" collapsed="false">
      <c r="A24" s="98"/>
      <c r="B24" s="98"/>
      <c r="C24" s="98"/>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