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<sst xmlns="http://schemas.openxmlformats.org/spreadsheetml/2006/main" count="245" uniqueCount="71">
  <si>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</si>
  <si>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</si>
  <si>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</si>
  <si>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</si>
  <si>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</si>
  <si>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</si>
  <si>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</si>
  <si>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</si>
  <si>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</si>
  <si>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</si>
  <si>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</si>
  <si>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</si>
  <si>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</si>
  <si>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</si>
  <si>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</si>
  <si>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</si>
  <si>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</si>
  <si>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</si>
  <si>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</si>
  <si>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Corriente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</si>
  <si>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</si>
  <si>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</si>
  <si>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</si>
  <si>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</si>
  <si>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</si>
  <si>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</si>
  <si>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</si>
  <si>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Corriente</t>
  </si>
  <si>
    <t xml:space="preserve">(*) Acum a Mar</t>
  </si>
  <si>
    <t xml:space="preserve">FONDO LIQUIDEZ CORRIENTE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</si>
  <si>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</si>
  <si>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</si>
  <si>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</si>
  <si>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</si>
  <si>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</si>
  <si>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</si>
  <si>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</si>
  <si>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</si>
  <si>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</si>
  <si>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</si>
  <si>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</si>
  <si>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</si>
  <si>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</si>
  <si>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</si>
  <si>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</si>
  <si>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</si>
  <si>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</si>
  <si>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</si>
  <si>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FIP LIQUIDEZ CORRIENTE</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</si>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</sst>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7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74" applyFont="true" applyBorder="false" applyAlignment="false" applyProtection="false">
      <alignment horizontal="general" vertical="bottom" textRotation="0" wrapText="false" indent="0" shrinkToFit="false"/>
      <protection locked="true" hidden="false"/>
    </xf>
    <xf numFmtId="168" fontId="8" fillId="0" borderId="0" xfId="74" applyFont="true" applyBorder="false" applyAlignment="false" applyProtection="false">
      <alignment horizontal="general" vertical="bottom" textRotation="0" wrapText="false" indent="0" shrinkToFit="false"/>
      <protection locked="true" hidden="false"/>
    </xf>
    <xf numFmtId="169" fontId="8" fillId="0"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false" applyProtection="false">
      <alignment horizontal="general" vertical="bottom" textRotation="0" wrapText="false" indent="0" shrinkToFit="false"/>
      <protection locked="true" hidden="false"/>
    </xf>
    <xf numFmtId="164" fontId="10" fillId="3" borderId="0" xfId="74" applyFont="true" applyBorder="false" applyAlignment="true" applyProtection="false">
      <alignment horizontal="center" vertical="bottom" textRotation="0" wrapText="false" indent="0" shrinkToFit="false"/>
      <protection locked="true" hidden="false"/>
    </xf>
    <xf numFmtId="164" fontId="8" fillId="4"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center" vertical="bottom" textRotation="0" wrapText="false" indent="0" shrinkToFit="false"/>
      <protection locked="true" hidden="false"/>
    </xf>
    <xf numFmtId="168" fontId="8" fillId="0" borderId="0" xfId="74" applyFont="true" applyBorder="false" applyAlignment="true" applyProtection="false">
      <alignment horizontal="center" vertical="bottom" textRotation="0" wrapText="false" indent="0" shrinkToFit="false"/>
      <protection locked="true" hidden="false"/>
    </xf>
    <xf numFmtId="164" fontId="8" fillId="0" borderId="2" xfId="75" applyFont="true" applyBorder="true" applyAlignment="false" applyProtection="false">
      <alignment horizontal="general" vertical="bottom" textRotation="0" wrapText="false" indent="0" shrinkToFit="false"/>
      <protection locked="true" hidden="false"/>
    </xf>
    <xf numFmtId="170" fontId="8" fillId="0" borderId="0" xfId="77" applyFont="true" applyBorder="false" applyAlignment="false" applyProtection="false">
      <alignment horizontal="general" vertical="bottom" textRotation="0" wrapText="false" indent="0" shrinkToFit="false"/>
      <protection locked="true" hidden="false"/>
    </xf>
    <xf numFmtId="164" fontId="10" fillId="2" borderId="0" xfId="74" applyFont="true" applyBorder="false" applyAlignment="true" applyProtection="false">
      <alignment horizontal="center" vertical="bottom" textRotation="0" wrapText="false" indent="0" shrinkToFit="false"/>
      <protection locked="true" hidden="false"/>
    </xf>
    <xf numFmtId="170" fontId="11" fillId="2" borderId="0" xfId="76" applyFont="true" applyBorder="false" applyAlignment="true" applyProtection="false">
      <alignment horizontal="center" vertical="bottom" textRotation="0" wrapText="false" indent="0" shrinkToFit="false"/>
      <protection locked="true" hidden="false"/>
    </xf>
    <xf numFmtId="170" fontId="12" fillId="2" borderId="0" xfId="76" applyFont="true" applyBorder="false" applyAlignment="true" applyProtection="false">
      <alignment horizontal="center" vertical="bottom" textRotation="0" wrapText="false" indent="0" shrinkToFit="false"/>
      <protection locked="true" hidden="false"/>
    </xf>
    <xf numFmtId="171" fontId="8" fillId="0" borderId="0" xfId="74" applyFont="true" applyBorder="false" applyAlignment="false" applyProtection="false">
      <alignment horizontal="general" vertical="bottom" textRotation="0" wrapText="false" indent="0" shrinkToFit="false"/>
      <protection locked="true" hidden="false"/>
    </xf>
    <xf numFmtId="172" fontId="8" fillId="0" borderId="0" xfId="74" applyFont="true" applyBorder="false" applyAlignment="false" applyProtection="false">
      <alignment horizontal="general" vertical="bottom" textRotation="0" wrapText="false" indent="0" shrinkToFit="false"/>
      <protection locked="true" hidden="false"/>
    </xf>
    <xf numFmtId="173" fontId="8" fillId="0" borderId="0" xfId="74" applyFont="true" applyBorder="false" applyAlignment="false" applyProtection="false">
      <alignment horizontal="general" vertical="bottom" textRotation="0" wrapText="false" indent="0" shrinkToFit="false"/>
      <protection locked="true" hidden="false"/>
    </xf>
    <xf numFmtId="174" fontId="8" fillId="0" borderId="0" xfId="74"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false" applyAlignment="true" applyProtection="false">
      <alignment horizontal="center" vertical="bottom" textRotation="0" wrapText="false" indent="0" shrinkToFit="false"/>
      <protection locked="true" hidden="false"/>
    </xf>
    <xf numFmtId="170" fontId="11" fillId="4" borderId="0" xfId="76" applyFont="true" applyBorder="false" applyAlignment="true" applyProtection="false">
      <alignment horizontal="center" vertical="bottom" textRotation="0" wrapText="false" indent="0" shrinkToFit="false"/>
      <protection locked="true" hidden="false"/>
    </xf>
    <xf numFmtId="170" fontId="12" fillId="4" borderId="0" xfId="76" applyFont="true" applyBorder="false" applyAlignment="true" applyProtection="false">
      <alignment horizontal="center" vertical="bottom" textRotation="0" wrapText="false" indent="0" shrinkToFit="false"/>
      <protection locked="true" hidden="false"/>
    </xf>
    <xf numFmtId="175" fontId="8" fillId="0" borderId="0" xfId="74" applyFont="true" applyBorder="false" applyAlignment="false" applyProtection="false">
      <alignment horizontal="general" vertical="bottom" textRotation="0" wrapText="false" indent="0" shrinkToFit="false"/>
      <protection locked="true" hidden="false"/>
    </xf>
    <xf numFmtId="170" fontId="8" fillId="0" borderId="0" xfId="76" applyFont="true" applyBorder="false" applyAlignment="false" applyProtection="false">
      <alignment horizontal="general" vertical="bottom" textRotation="0" wrapText="false" indent="0" shrinkToFit="false"/>
      <protection locked="true" hidden="false"/>
    </xf>
    <xf numFmtId="164" fontId="11" fillId="4" borderId="0" xfId="74" applyFont="true" applyBorder="false" applyAlignment="true" applyProtection="false">
      <alignment horizontal="left" vertical="bottom" textRotation="0" wrapText="false" indent="0" shrinkToFit="false"/>
      <protection locked="true" hidden="false"/>
    </xf>
    <xf numFmtId="170" fontId="11" fillId="0" borderId="0" xfId="76" applyFont="true" applyBorder="false" applyAlignment="true" applyProtection="false">
      <alignment horizontal="center" vertical="bottom" textRotation="0" wrapText="false" indent="0" shrinkToFit="false"/>
      <protection locked="true" hidden="false"/>
    </xf>
    <xf numFmtId="176" fontId="8" fillId="2" borderId="0" xfId="74" applyFont="true" applyBorder="false" applyAlignment="false" applyProtection="false">
      <alignment horizontal="general" vertical="bottom" textRotation="0" wrapText="false" indent="0" shrinkToFit="false"/>
      <protection locked="true" hidden="false"/>
    </xf>
    <xf numFmtId="173" fontId="8" fillId="2"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true" applyProtection="false">
      <alignment horizontal="right" vertical="bottom" textRotation="0" wrapText="false" indent="0" shrinkToFit="false"/>
      <protection locked="true" hidden="false"/>
    </xf>
    <xf numFmtId="171" fontId="8" fillId="5" borderId="0" xfId="74" applyFont="true" applyBorder="false" applyAlignment="false" applyProtection="false">
      <alignment horizontal="general" vertical="bottom" textRotation="0" wrapText="false" indent="0" shrinkToFit="false"/>
      <protection locked="true" hidden="false"/>
    </xf>
    <xf numFmtId="171" fontId="8" fillId="2" borderId="0" xfId="74" applyFont="true" applyBorder="false" applyAlignment="false" applyProtection="false">
      <alignment horizontal="general" vertical="bottom" textRotation="0" wrapText="false" indent="0" shrinkToFit="false"/>
      <protection locked="true" hidden="false"/>
    </xf>
    <xf numFmtId="172" fontId="8" fillId="2"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right" vertical="bottom" textRotation="0" wrapText="false" indent="0" shrinkToFit="false"/>
      <protection locked="true" hidden="false"/>
    </xf>
    <xf numFmtId="177" fontId="8" fillId="0" borderId="0" xfId="22"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true" applyProtection="false">
      <alignment horizontal="right" vertical="bottom" textRotation="0" wrapText="false" indent="0" shrinkToFit="false"/>
      <protection locked="true" hidden="false"/>
    </xf>
    <xf numFmtId="164" fontId="13" fillId="4" borderId="0" xfId="74" applyFont="true" applyBorder="false" applyAlignment="true" applyProtection="false">
      <alignment horizontal="center" vertical="bottom" textRotation="0" wrapText="false" indent="0" shrinkToFit="false"/>
      <protection locked="true" hidden="false"/>
    </xf>
    <xf numFmtId="164" fontId="14" fillId="2" borderId="0" xfId="74" applyFont="true" applyBorder="false" applyAlignment="true" applyProtection="false">
      <alignment horizontal="center" vertical="bottom" textRotation="0" wrapText="false" indent="0" shrinkToFit="false"/>
      <protection locked="true" hidden="false"/>
    </xf>
    <xf numFmtId="164" fontId="14" fillId="4" borderId="0" xfId="74" applyFont="true" applyBorder="false" applyAlignment="true" applyProtection="false">
      <alignment horizontal="center" vertical="bottom" textRotation="0" wrapText="false" indent="0" shrinkToFit="false"/>
      <protection locked="true" hidden="false"/>
    </xf>
    <xf numFmtId="164" fontId="10" fillId="0" borderId="0" xfId="74" applyFont="true" applyBorder="false" applyAlignment="true" applyProtection="false">
      <alignment horizontal="center" vertical="bottom" textRotation="0" wrapText="false" indent="0" shrinkToFit="false"/>
      <protection locked="true" hidden="false"/>
    </xf>
    <xf numFmtId="177" fontId="8" fillId="2" borderId="0" xfId="22"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true" applyAlignment="true" applyProtection="false">
      <alignment horizontal="center" vertical="center" textRotation="0" wrapText="false" indent="0" shrinkToFit="false"/>
      <protection locked="true" hidden="false"/>
    </xf>
    <xf numFmtId="170" fontId="15" fillId="2" borderId="0" xfId="76" applyFont="true" applyBorder="false" applyAlignment="true" applyProtection="false">
      <alignment horizontal="center" vertical="bottom" textRotation="0" wrapText="false" indent="0" shrinkToFit="false"/>
      <protection locked="true" hidden="false"/>
    </xf>
    <xf numFmtId="170" fontId="15" fillId="4" borderId="0" xfId="76" applyFont="true" applyBorder="false" applyAlignment="true" applyProtection="false">
      <alignment horizontal="center" vertical="bottom" textRotation="0" wrapText="false" indent="0" shrinkToFit="false"/>
      <protection locked="true" hidden="false"/>
    </xf>
    <xf numFmtId="164" fontId="16" fillId="4" borderId="0" xfId="74"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76" applyFont="true" applyBorder="false" applyAlignment="true" applyProtection="false">
      <alignment horizontal="center" vertical="bottom" textRotation="0" wrapText="false" indent="0" shrinkToFit="false"/>
      <protection locked="true" hidden="false"/>
    </xf>
    <xf numFmtId="179" fontId="8" fillId="0" borderId="0" xfId="78" applyFont="true" applyBorder="false" applyAlignment="false" applyProtection="false">
      <alignment horizontal="general" vertical="bottom" textRotation="0" wrapText="false" indent="0" shrinkToFit="false"/>
      <protection locked="true" hidden="false"/>
    </xf>
    <xf numFmtId="164" fontId="11" fillId="0" borderId="0" xfId="74" applyFont="true" applyBorder="false" applyAlignment="true" applyProtection="false">
      <alignment horizontal="left" vertical="bottom" textRotation="0" wrapText="false" indent="0" shrinkToFit="false"/>
      <protection locked="true" hidden="false"/>
    </xf>
    <xf numFmtId="164" fontId="17" fillId="3" borderId="0" xfId="74" applyFont="true" applyBorder="false" applyAlignment="true" applyProtection="false">
      <alignment horizontal="center" vertical="bottom" textRotation="0" wrapText="false" indent="0" shrinkToFit="false"/>
      <protection locked="true" hidden="false"/>
    </xf>
    <xf numFmtId="164" fontId="18" fillId="3" borderId="0" xfId="74" applyFont="true" applyBorder="false" applyAlignment="true" applyProtection="false">
      <alignment horizontal="center" vertical="bottom" textRotation="0" wrapText="false" indent="0" shrinkToFit="false"/>
      <protection locked="true" hidden="false"/>
    </xf>
    <xf numFmtId="164" fontId="19" fillId="4" borderId="0" xfId="74" applyFont="true" applyBorder="false" applyAlignment="true" applyProtection="false">
      <alignment horizontal="left" vertical="bottom" textRotation="0" wrapText="false" indent="0" shrinkToFit="false"/>
      <protection locked="true" hidden="false"/>
    </xf>
    <xf numFmtId="164" fontId="18" fillId="6" borderId="0" xfId="74" applyFont="true" applyBorder="false" applyAlignment="true" applyProtection="false">
      <alignment horizontal="center" vertical="bottom" textRotation="0" wrapText="false" indent="0" shrinkToFit="false"/>
      <protection locked="true" hidden="false"/>
    </xf>
    <xf numFmtId="170" fontId="20" fillId="6" borderId="0" xfId="76" applyFont="true" applyBorder="false" applyAlignment="true" applyProtection="false">
      <alignment horizontal="center" vertical="bottom" textRotation="0" wrapText="false" indent="0" shrinkToFit="false"/>
      <protection locked="true" hidden="false"/>
    </xf>
    <xf numFmtId="170" fontId="18" fillId="2" borderId="0" xfId="76" applyFont="true" applyBorder="false" applyAlignment="true" applyProtection="false">
      <alignment horizontal="center" vertical="bottom" textRotation="0" wrapText="false" indent="0" shrinkToFit="false"/>
      <protection locked="true" hidden="false"/>
    </xf>
    <xf numFmtId="164" fontId="18" fillId="2" borderId="0" xfId="74" applyFont="true" applyBorder="false" applyAlignment="true" applyProtection="false">
      <alignment horizontal="center" vertical="bottom" textRotation="0" wrapText="false" indent="0" shrinkToFit="false"/>
      <protection locked="true" hidden="false"/>
    </xf>
    <xf numFmtId="170" fontId="20" fillId="2" borderId="0" xfId="76" applyFont="true" applyBorder="false" applyAlignment="true" applyProtection="false">
      <alignment horizontal="center" vertical="bottom" textRotation="0" wrapText="false" indent="0" shrinkToFit="false"/>
      <protection locked="true" hidden="false"/>
    </xf>
    <xf numFmtId="164" fontId="17" fillId="6" borderId="0" xfId="74" applyFont="true" applyBorder="false" applyAlignment="true" applyProtection="false">
      <alignment horizontal="center" vertical="center" textRotation="0" wrapText="false" indent="0" shrinkToFit="false"/>
      <protection locked="true" hidden="false"/>
    </xf>
    <xf numFmtId="164" fontId="17" fillId="2" borderId="0" xfId="74" applyFont="true" applyBorder="false" applyAlignment="true" applyProtection="false">
      <alignment horizontal="center" vertical="center" textRotation="0" wrapText="false" indent="0" shrinkToFit="false"/>
      <protection locked="true" hidden="false"/>
    </xf>
    <xf numFmtId="170" fontId="8" fillId="0" borderId="0" xfId="74" applyFont="true" applyBorder="false" applyAlignment="false" applyProtection="false">
      <alignment horizontal="general" vertical="bottom" textRotation="0" wrapText="false" indent="0" shrinkToFit="false"/>
      <protection locked="true" hidden="false"/>
    </xf>
    <xf numFmtId="164" fontId="17" fillId="2" borderId="0" xfId="74"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76" applyFont="true" applyBorder="false" applyAlignment="false" applyProtection="false">
      <alignment horizontal="general" vertical="bottom" textRotation="0" wrapText="false" indent="0" shrinkToFit="false"/>
      <protection locked="true" hidden="false"/>
    </xf>
    <xf numFmtId="174" fontId="8" fillId="5" borderId="0" xfId="74" applyFont="true" applyBorder="false" applyAlignment="false" applyProtection="false">
      <alignment horizontal="general" vertical="bottom" textRotation="0" wrapText="false" indent="0" shrinkToFit="false"/>
      <protection locked="true" hidden="false"/>
    </xf>
    <xf numFmtId="164" fontId="21" fillId="0" borderId="0" xfId="74"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66" fontId="8" fillId="0" borderId="0" xfId="74" applyFont="true" applyBorder="false" applyAlignment="false" applyProtection="false">
      <alignment horizontal="general" vertical="bottom" textRotation="0" wrapText="false" indent="0" shrinkToFit="false"/>
      <protection locked="true" hidden="false"/>
    </xf>
    <xf numFmtId="170" fontId="22" fillId="0" borderId="0" xfId="76"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78" fontId="7"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5">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2" xfId="22"/>
    <cellStyle name="Millares [0] 2 10" xfId="23"/>
    <cellStyle name="Millares [0] 2 11" xfId="24"/>
    <cellStyle name="Millares [0] 2 12" xfId="25"/>
    <cellStyle name="Millares [0] 2 2" xfId="26"/>
    <cellStyle name="Millares [0] 2 2 2" xfId="27"/>
    <cellStyle name="Millares [0] 2 2 2 2" xfId="28"/>
    <cellStyle name="Millares [0] 2 2 2 3" xfId="29"/>
    <cellStyle name="Millares [0] 2 2 3" xfId="30"/>
    <cellStyle name="Millares [0] 2 2 3 2" xfId="31"/>
    <cellStyle name="Millares [0] 2 2 3 3" xfId="32"/>
    <cellStyle name="Millares [0] 2 2 4" xfId="33"/>
    <cellStyle name="Millares [0] 2 2 5" xfId="34"/>
    <cellStyle name="Millares [0] 2 2 6" xfId="35"/>
    <cellStyle name="Millares [0] 2 2 7" xfId="36"/>
    <cellStyle name="Millares [0] 2 3" xfId="37"/>
    <cellStyle name="Millares [0] 2 3 2" xfId="38"/>
    <cellStyle name="Millares [0] 2 3 3" xfId="39"/>
    <cellStyle name="Millares [0] 2 3 4" xfId="40"/>
    <cellStyle name="Millares [0] 2 3 5" xfId="41"/>
    <cellStyle name="Millares [0] 2 4" xfId="42"/>
    <cellStyle name="Millares [0] 2 4 2" xfId="43"/>
    <cellStyle name="Millares [0] 2 4 3" xfId="44"/>
    <cellStyle name="Millares [0] 2 5" xfId="45"/>
    <cellStyle name="Millares [0] 2 5 2" xfId="46"/>
    <cellStyle name="Millares [0] 2 5 3" xfId="47"/>
    <cellStyle name="Millares [0] 2 6" xfId="48"/>
    <cellStyle name="Millares [0] 2 6 2" xfId="49"/>
    <cellStyle name="Millares [0] 2 6 3" xfId="50"/>
    <cellStyle name="Millares [0] 2 7" xfId="51"/>
    <cellStyle name="Millares [0] 2 7 2" xfId="52"/>
    <cellStyle name="Millares [0] 2 8" xfId="53"/>
    <cellStyle name="Millares [0] 2 9" xfId="54"/>
    <cellStyle name="Millares [0] 3" xfId="55"/>
    <cellStyle name="Millares [0] 3 2" xfId="56"/>
    <cellStyle name="Millares [0] 3 2 2" xfId="57"/>
    <cellStyle name="Millares [0] 3 2 3" xfId="58"/>
    <cellStyle name="Millares [0] 3 3" xfId="59"/>
    <cellStyle name="Millares [0] 3 4" xfId="60"/>
    <cellStyle name="Millares [0] 3 5" xfId="61"/>
    <cellStyle name="Millares [0] 3 6" xfId="62"/>
    <cellStyle name="Millares [0] 4" xfId="63"/>
    <cellStyle name="Millares [0] 4 2" xfId="64"/>
    <cellStyle name="Millares [0] 4 3" xfId="65"/>
    <cellStyle name="Millares [0] 4 4" xfId="66"/>
    <cellStyle name="Millares [0] 4 5" xfId="67"/>
    <cellStyle name="Millares [0] 5" xfId="68"/>
    <cellStyle name="Millares [0] 5 2" xfId="69"/>
    <cellStyle name="Millares [0] 6" xfId="70"/>
    <cellStyle name="Millares [0] 7" xfId="71"/>
    <cellStyle name="Millares [0] 8" xfId="72"/>
    <cellStyle name="Millares [0] 9" xfId="73"/>
    <cellStyle name="Normal 2" xfId="74"/>
    <cellStyle name="Normal 54" xfId="75"/>
    <cellStyle name="Porcentaje 2" xfId="76"/>
    <cellStyle name="Porcentaje 29" xfId="77"/>
    <cellStyle name="Excel Built-in Comma [0]" xfId="78"/>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Corriente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5178741"/>
        <c:axId val="4188506"/>
      </c:lineChart>
      <c:dateAx>
        <c:axId val="75178741"/>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188506"/>
        <c:crosses val="autoZero"/>
        <c:auto val="1"/>
        <c:lblOffset val="100"/>
        <c:baseTimeUnit val="months"/>
        <c:majorUnit val="6"/>
        <c:majorTimeUnit val="months"/>
        <c:minorUnit val="6"/>
        <c:minorTimeUnit val="months"/>
        <c:noMultiLvlLbl val="0"/>
      </c:dateAx>
      <c:valAx>
        <c:axId val="418850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517874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Corriente</a:t>
            </a:r>
          </a:p>
        </c:rich>
      </c:tx>
      <c:layout>
        <c:manualLayout>
          <c:xMode val="edge"/>
          <c:yMode val="edge"/>
          <c:x val="0.319538102164044"/>
          <c:y val="0.0364431486880467"/>
        </c:manualLayout>
      </c:layout>
      <c:overlay val="0"/>
      <c:spPr>
        <a:noFill/>
        <a:ln w="0">
          <a:noFill/>
        </a:ln>
      </c:spPr>
    </c:title>
    <c:autoTitleDeleted val="0"/>
    <c:plotArea>
      <c:layout>
        <c:manualLayout>
          <c:layoutTarget val="inner"/>
          <c:xMode val="edge"/>
          <c:yMode val="edge"/>
          <c:x val="0.132531182511349"/>
          <c:y val="0.202696793002915"/>
          <c:w val="0.864207325135528"/>
          <c:h val="0.692201166180758"/>
        </c:manualLayout>
      </c:layout>
      <c:lineChart>
        <c:grouping val="standard"/>
        <c:varyColors val="0"/>
        <c:ser>
          <c:idx val="0"/>
          <c:order val="0"/>
          <c:tx>
            <c:strRef>
              <c:f>"FIP Liquidez Corriente"</c:f>
              <c:strCache>
                <c:ptCount val="1"/>
                <c:pt idx="0">
                  <c:v>FIP Liquidez Corriente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(2)'!$J$234:$J$244</c:f>
              <c:numCache>
                <c:formatCode>#,##0.00</c:formatCode>
                <c:ptCount val="11"/>
                <c:pt idx="0">
                  <c:v>100</c:v>
                </c:pt>
                <c:pt idx="1">
                  <c:v>100.051890508147</c:v>
                </c:pt>
                <c:pt idx="2">
                  <c:v>100.662306185827</c:v>
                </c:pt>
                <c:pt idx="3">
                  <c:v>101.293161192295</c:v>
                </c:pt>
                <c:pt idx="4">
                  <c:v>101.955281262458</c:v>
                </c:pt>
                <c:pt idx="5">
                  <c:v>102.633834816143</c:v>
                </c:pt>
                <c:pt idx="6">
                  <c:v>103.25471571227</c:v>
                </c:pt>
                <c:pt idx="7">
                  <c:v>103.91596113206</c:v>
                </c:pt>
                <c:pt idx="8">
                  <c:v>104.565942674019</c:v>
                </c:pt>
                <c:pt idx="9">
                  <c:v>105.212489226233</c:v>
                </c:pt>
                <c:pt idx="10">
                  <c:v>105.877468268945</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(2)'!$M$234:$M$244</c:f>
              <c:numCache>
                <c:formatCode>0.00</c:formatCode>
                <c:ptCount val="11"/>
                <c:pt idx="0">
                  <c:v>100</c:v>
                </c:pt>
                <c:pt idx="1">
                  <c:v>100.068482753147</c:v>
                </c:pt>
                <c:pt idx="2">
                  <c:v>100.365088343286</c:v>
                </c:pt>
                <c:pt idx="3">
                  <c:v>100.663769796409</c:v>
                </c:pt>
                <c:pt idx="4">
                  <c:v>100.964763806073</c:v>
                </c:pt>
                <c:pt idx="5">
                  <c:v>101.267360499552</c:v>
                </c:pt>
                <c:pt idx="6">
                  <c:v>101.556516334437</c:v>
                </c:pt>
                <c:pt idx="7">
                  <c:v>101.851411120259</c:v>
                </c:pt>
                <c:pt idx="8">
                  <c:v>102.132685501531</c:v>
                </c:pt>
                <c:pt idx="9">
                  <c:v>102.415875854785</c:v>
                </c:pt>
                <c:pt idx="10">
                  <c:v>102.702129842201</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(2)'!$D$234:$D$2231</c:f>
              <c:numCache>
                <c:formatCode>0.00</c:formatCode>
                <c:ptCount val="1998"/>
                <c:pt idx="0">
                  <c:v>100</c:v>
                </c:pt>
                <c:pt idx="1">
                  <c:v>100.096601563248</c:v>
                </c:pt>
                <c:pt idx="2">
                  <c:v>100.514469558635</c:v>
                </c:pt>
                <c:pt idx="3">
                  <c:v>100.934189481973</c:v>
                </c:pt>
                <c:pt idx="4">
                  <c:v>101.341920656386</c:v>
                </c:pt>
                <c:pt idx="5">
                  <c:v>101.77916707546</c:v>
                </c:pt>
                <c:pt idx="6">
                  <c:v>102.203316528423</c:v>
                </c:pt>
                <c:pt idx="7">
                  <c:v>102.582452063671</c:v>
                </c:pt>
                <c:pt idx="8">
                  <c:v>103.016380838274</c:v>
                </c:pt>
                <c:pt idx="9">
                  <c:v>103.411783316883</c:v>
                </c:pt>
                <c:pt idx="10">
                  <c:v>103.808102735786</c:v>
                </c:pt>
                <c:pt idx="11">
                  <c:v>104.223950832832</c:v>
                </c:pt>
                <c:pt idx="12">
                  <c:v>104.615531341116</c:v>
                </c:pt>
                <c:pt idx="13">
                  <c:v>105.022552780411</c:v>
                </c:pt>
                <c:pt idx="14">
                  <c:v>105.417091487533</c:v>
                </c:pt>
                <c:pt idx="15">
                  <c:v>78.6028988674357</c:v>
                </c:pt>
              </c:numCache>
            </c:numRef>
          </c:val>
          <c:smooth val="0"/>
        </c:ser>
        <c:hiLowLines>
          <c:spPr>
            <a:ln w="0">
              <a:noFill/>
            </a:ln>
          </c:spPr>
        </c:hiLowLines>
        <c:marker val="1"/>
        <c:axId val="388860"/>
        <c:axId val="23151715"/>
      </c:lineChart>
      <c:dateAx>
        <c:axId val="38886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3151715"/>
        <c:auto val="1"/>
        <c:lblOffset val="100"/>
        <c:baseTimeUnit val="days"/>
        <c:noMultiLvlLbl val="0"/>
      </c:dateAx>
      <c:valAx>
        <c:axId val="23151715"/>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388860"/>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0.2228</c:v>
                </c:pt>
                <c:pt idx="1">
                  <c:v>0.4666</c:v>
                </c:pt>
                <c:pt idx="2">
                  <c:v>0.3106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0.2617</c:v>
                </c:pt>
                <c:pt idx="3">
                  <c:v>0.6388</c:v>
                </c:pt>
                <c:pt idx="4">
                  <c:v>0.0995</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4800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0560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8" colorId="64" zoomScale="78" zoomScaleNormal="78"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20"/>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c r="AP20" s="22"/>
      <c r="AQ20" s="23"/>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0</v>
      </c>
      <c r="Z21" s="3" t="n">
        <f aca="false">+B232</f>
        <v>0</v>
      </c>
      <c r="AA21" s="3" t="n">
        <f aca="false">+B233</f>
        <v>0</v>
      </c>
      <c r="AD21" s="21" t="n">
        <v>2025</v>
      </c>
      <c r="AE21" s="22"/>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0.0503143817864394</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1094.8104</v>
      </c>
      <c r="AX22" s="33" t="n">
        <f aca="false">LOOKUP(AX19,$F$2:$F$2972,$H$2:$H$2972)</f>
        <v>1088.2365</v>
      </c>
      <c r="AY22" s="33" t="n">
        <f aca="false">LOOKUP(AY19,$F$2:$F$2972,$H$2:$H$2972)</f>
        <v>1075.5288</v>
      </c>
      <c r="AZ22" s="33" t="n">
        <f aca="false">LOOKUP(AZ19,$F$2:$F$2972,$H$2:$H$2972)</f>
        <v>1054.8636</v>
      </c>
      <c r="BA22" s="33" t="n">
        <f aca="false">LOOKUP(BA19,$F$2:$F$2972,$H$2:$H$2972)</f>
        <v>1014.7219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0.00604087438713918</v>
      </c>
      <c r="AY31" s="43" t="n">
        <f aca="false">$AW22/AY22-1</f>
        <v>0.0179275534044276</v>
      </c>
      <c r="AZ31" s="43" t="n">
        <f aca="false">$AW22/AZ22-1</f>
        <v>0.0378691614726303</v>
      </c>
      <c r="BA31" s="43" t="n">
        <f aca="false">$AW22/BA22-1</f>
        <v>0.0789265512058033</v>
      </c>
      <c r="BB31" s="43" t="n">
        <f aca="false">+AQ88</f>
        <v>0.0537826602132829</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0</v>
      </c>
      <c r="Z35" s="20" t="n">
        <f aca="false">+H232</f>
        <v>0</v>
      </c>
      <c r="AA35" s="20" t="n">
        <f aca="false">+H233</f>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999.9918</v>
      </c>
      <c r="Q36" s="20" t="n">
        <f aca="false">+H235</f>
        <v>1002.0847</v>
      </c>
      <c r="R36" s="20" t="n">
        <f aca="false">+H236</f>
        <v>1008.4022</v>
      </c>
      <c r="S36" s="20" t="n">
        <f aca="false">+H237</f>
        <v>1014.7219</v>
      </c>
      <c r="T36" s="20" t="n">
        <f aca="false">+H238</f>
        <v>1021.5759</v>
      </c>
      <c r="U36" s="20" t="n">
        <f aca="false">+H239</f>
        <v>1028.3749</v>
      </c>
      <c r="V36" s="20" t="n">
        <f aca="false">+H240</f>
        <v>1034.8034</v>
      </c>
      <c r="W36" s="20" t="n">
        <f aca="false">+H241</f>
        <v>1041.6512</v>
      </c>
      <c r="X36" s="20" t="n">
        <f aca="false">+H242</f>
        <v>1048.1666</v>
      </c>
      <c r="Y36" s="20" t="n">
        <f aca="false">+H243</f>
        <v>1054.8636</v>
      </c>
      <c r="Z36" s="20" t="n">
        <f aca="false">+H244</f>
        <v>1061.5307</v>
      </c>
      <c r="AA36" s="20" t="n">
        <f aca="false">+H245</f>
        <v>1068.9431</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1075.5288</v>
      </c>
      <c r="Q37" s="20" t="n">
        <f aca="false">+H247</f>
        <v>1081.7699</v>
      </c>
      <c r="R37" s="20" t="n">
        <f aca="false">+H248</f>
        <v>1088.2365</v>
      </c>
      <c r="S37" s="20" t="n">
        <f aca="false">+H249</f>
        <v>1094.8104</v>
      </c>
      <c r="T37" s="20"/>
      <c r="U37" s="20"/>
      <c r="V37" s="20"/>
      <c r="W37" s="20"/>
      <c r="X37" s="20"/>
      <c r="Y37" s="20"/>
      <c r="Z37" s="20"/>
      <c r="AA37" s="20"/>
      <c r="AD37" s="21" t="n">
        <v>2025</v>
      </c>
      <c r="AE37" s="22"/>
      <c r="AF37" s="22" t="n">
        <f aca="false">+(Q36/P36-1)</f>
        <v>0.00209291716192062</v>
      </c>
      <c r="AG37" s="22" t="n">
        <f aca="false">+(R36/Q36-1)</f>
        <v>0.00630435730632351</v>
      </c>
      <c r="AH37" s="22" t="n">
        <f aca="false">+(S36/R36-1)</f>
        <v>0.006267043050878</v>
      </c>
      <c r="AI37" s="22" t="n">
        <f aca="false">+(T36/S36-1)</f>
        <v>0.00675456004251029</v>
      </c>
      <c r="AJ37" s="22" t="n">
        <f aca="false">+(U36/T36-1)</f>
        <v>0.00665540367583062</v>
      </c>
      <c r="AK37" s="22" t="n">
        <f aca="false">+(V36/U36-1)</f>
        <v>0.00625112495452784</v>
      </c>
      <c r="AL37" s="22" t="n">
        <f aca="false">+(W36/V36-1)</f>
        <v>0.00661748888726121</v>
      </c>
      <c r="AM37" s="22" t="n">
        <f aca="false">+(X36/W36-1)</f>
        <v>0.00625487687241177</v>
      </c>
      <c r="AN37" s="22" t="n">
        <f aca="false">+(Y36/X36-1)</f>
        <v>0.00638925147967884</v>
      </c>
      <c r="AO37" s="22" t="n">
        <f aca="false">+(Z36/Y36-1)</f>
        <v>0.00632034321783426</v>
      </c>
      <c r="AP37" s="22" t="n">
        <f aca="false">+(AA36/Z36-1)</f>
        <v>0.00698274670718413</v>
      </c>
      <c r="AQ37" s="23" t="n">
        <f aca="false">+(Z36/P36-1)/COUNTA(AE37:AP37)*12</f>
        <v>0.0671338959524923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0.00616094533001821</v>
      </c>
      <c r="AF38" s="22" t="n">
        <f aca="false">+(Q37/P37-1)</f>
        <v>0.00580281997097609</v>
      </c>
      <c r="AG38" s="22" t="n">
        <f aca="false">+(R37/Q37-1)</f>
        <v>0.0059777962023162</v>
      </c>
      <c r="AH38" s="22" t="n">
        <f aca="false">+(S37/R37-1)</f>
        <v>0.00604087438713918</v>
      </c>
      <c r="AQ38" s="23" t="n">
        <f aca="false">+(S37/P37-1)/COUNTA(AE38:AP38)*12</f>
        <v>0.0537826602132829</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e">
        <f aca="false">+AA35/Y35-1</f>
        <v>#DIV/0!</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0</v>
      </c>
      <c r="Z49" s="3" t="n">
        <f aca="false">+K232</f>
        <v>0</v>
      </c>
      <c r="AA49" s="3" t="n">
        <f aca="false">+K233</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0.0355317667699033</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c r="AP82" s="60"/>
      <c r="AQ82" s="60"/>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0.0503143817864394</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0.0355317667699033</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c r="AF85" s="60" t="n">
        <f aca="false">+AF37</f>
        <v>0.00209291716192062</v>
      </c>
      <c r="AG85" s="60" t="n">
        <f aca="false">+AG37</f>
        <v>0.00630435730632351</v>
      </c>
      <c r="AH85" s="60" t="n">
        <f aca="false">+AH37</f>
        <v>0.006267043050878</v>
      </c>
      <c r="AI85" s="60" t="n">
        <f aca="false">+AI37</f>
        <v>0.00675456004251029</v>
      </c>
      <c r="AJ85" s="60" t="n">
        <f aca="false">+AJ37</f>
        <v>0.00665540367583062</v>
      </c>
      <c r="AK85" s="60" t="n">
        <f aca="false">+AK37</f>
        <v>0.00625112495452784</v>
      </c>
      <c r="AL85" s="60" t="n">
        <f aca="false">+AL37</f>
        <v>0.00661748888726121</v>
      </c>
      <c r="AM85" s="60" t="n">
        <f aca="false">+AM37</f>
        <v>0.00625487687241177</v>
      </c>
      <c r="AN85" s="60" t="n">
        <f aca="false">+AN37</f>
        <v>0.00638925147967884</v>
      </c>
      <c r="AO85" s="60" t="n">
        <f aca="false">+AO37</f>
        <v>0.00632034321783426</v>
      </c>
      <c r="AP85" s="60" t="n">
        <f aca="false">+AP37</f>
        <v>0.00698274670718413</v>
      </c>
      <c r="AQ85" s="60" t="n">
        <f aca="false">+AQ37</f>
        <v>0.0671338959524923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0.00616094533001821</v>
      </c>
      <c r="AF88" s="60" t="n">
        <f aca="false">+AF38</f>
        <v>0.00580281997097609</v>
      </c>
      <c r="AG88" s="60" t="n">
        <f aca="false">+AG38</f>
        <v>0.0059777962023162</v>
      </c>
      <c r="AH88" s="60" t="n">
        <f aca="false">+AH38</f>
        <v>0.00604087438713918</v>
      </c>
      <c r="AI88" s="60"/>
      <c r="AJ88" s="60"/>
      <c r="AK88" s="60"/>
      <c r="AL88" s="60"/>
      <c r="AM88" s="60"/>
      <c r="AN88" s="60"/>
      <c r="AO88" s="60"/>
      <c r="AP88" s="60"/>
      <c r="AQ88" s="60" t="n">
        <f aca="false">+AQ38</f>
        <v>0.0537826602132829</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43008</v>
      </c>
      <c r="AE93" s="62" t="n">
        <v>0.00311210000000006</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43039</v>
      </c>
      <c r="AE94" s="62" t="n">
        <v>0.00266354947734888</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43069</v>
      </c>
      <c r="AE95" s="62" t="n">
        <v>0.00270401929468234</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43100</v>
      </c>
      <c r="AE96" s="62" t="n">
        <v>0.00300965446914445</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43131</v>
      </c>
      <c r="AE97" s="62" t="n">
        <v>0.00473727239934226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43159</v>
      </c>
      <c r="AE98" s="62" t="n">
        <v>0.00378152301954046</v>
      </c>
    </row>
    <row r="99" s="4" customFormat="true" ht="15" hidden="false" customHeight="false" outlineLevel="0" collapsed="false">
      <c r="A99" s="17" t="n">
        <v>41578</v>
      </c>
      <c r="B99" s="20" t="n">
        <v>15554.36</v>
      </c>
      <c r="C99" s="25" t="n">
        <f aca="false">(B99/B98-1)/(A99-A98)*30</f>
        <v>0.00395880485699199</v>
      </c>
      <c r="D99" s="19"/>
      <c r="E99" s="19"/>
      <c r="F99" s="19"/>
      <c r="I99" s="5"/>
      <c r="AD99" s="17" t="n">
        <v>43190</v>
      </c>
      <c r="AE99" s="62" t="n">
        <v>0.00300527511908573</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43220</v>
      </c>
      <c r="AE100" s="62" t="n">
        <v>0.00316130254575997</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43251</v>
      </c>
      <c r="AE101" s="62" t="n">
        <v>0.00310067866389014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43281</v>
      </c>
      <c r="AE102" s="62" t="n">
        <v>0.00287709140845549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43312</v>
      </c>
      <c r="AE103" s="62" t="n">
        <v>0.00279025405786912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43343</v>
      </c>
      <c r="AE104" s="62" t="n">
        <v>0.00269722002207049</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43373</v>
      </c>
      <c r="AE105" s="62" t="n">
        <v>0.00294678677406712</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43404</v>
      </c>
      <c r="AE106" s="62" t="n">
        <v>0.00273411579812808</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43434</v>
      </c>
      <c r="AE107" s="62" t="n">
        <v>0.00284409288655185</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43465</v>
      </c>
      <c r="AE108" s="62" t="n">
        <v>0.00262659891580654</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43496</v>
      </c>
      <c r="AE109" s="62" t="n">
        <v>0.00281430328228941</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43524</v>
      </c>
      <c r="AE110" s="62" t="n">
        <v>0.00282360638687196</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43555</v>
      </c>
      <c r="AE111" s="62" t="n">
        <v>0.00286536279403882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43585</v>
      </c>
      <c r="AE112" s="62" t="n">
        <v>0.00293240905161363</v>
      </c>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0</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5"/>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6"/>
    </row>
    <row r="189" customFormat="false" ht="15" hidden="false" customHeight="false" outlineLevel="0" collapsed="false">
      <c r="A189" s="17" t="n">
        <v>44316</v>
      </c>
      <c r="C189" s="25"/>
      <c r="D189" s="19"/>
      <c r="F189" s="17" t="n">
        <v>44316</v>
      </c>
      <c r="I189" s="25"/>
      <c r="J189" s="18"/>
      <c r="L189" s="25"/>
      <c r="M189" s="19"/>
      <c r="Q189" s="67"/>
    </row>
    <row r="190" customFormat="false" ht="15" hidden="false" customHeight="false" outlineLevel="0" collapsed="false">
      <c r="A190" s="17" t="n">
        <v>44347</v>
      </c>
      <c r="C190" s="25"/>
      <c r="D190" s="19"/>
      <c r="F190" s="17" t="n">
        <v>44347</v>
      </c>
      <c r="I190" s="25"/>
      <c r="J190" s="18"/>
      <c r="L190" s="25"/>
      <c r="M190" s="19"/>
      <c r="Q190" s="67"/>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8"/>
      <c r="M203" s="19"/>
    </row>
    <row r="204" customFormat="false" ht="15" hidden="false" customHeight="false" outlineLevel="0" collapsed="false">
      <c r="A204" s="17" t="n">
        <v>44773</v>
      </c>
      <c r="C204" s="25"/>
      <c r="D204" s="19"/>
      <c r="F204" s="17" t="n">
        <v>44773</v>
      </c>
      <c r="I204" s="25"/>
      <c r="J204" s="18"/>
      <c r="L204" s="68"/>
      <c r="M204" s="19"/>
    </row>
    <row r="205" customFormat="false" ht="15" hidden="false" customHeight="false" outlineLevel="0" collapsed="false">
      <c r="A205" s="17" t="n">
        <v>44804</v>
      </c>
      <c r="C205" s="25"/>
      <c r="D205" s="19"/>
      <c r="F205" s="17" t="n">
        <v>44804</v>
      </c>
      <c r="I205" s="25"/>
      <c r="J205" s="18"/>
      <c r="K205" s="18"/>
      <c r="L205" s="68"/>
      <c r="M205" s="19"/>
    </row>
    <row r="206" customFormat="false" ht="15" hidden="false" customHeight="false" outlineLevel="0" collapsed="false">
      <c r="A206" s="17" t="n">
        <v>44834</v>
      </c>
      <c r="C206" s="25"/>
      <c r="D206" s="19"/>
      <c r="F206" s="17" t="n">
        <v>44834</v>
      </c>
      <c r="I206" s="25"/>
      <c r="J206" s="18"/>
      <c r="K206" s="18"/>
      <c r="L206" s="68"/>
      <c r="M206" s="19"/>
    </row>
    <row r="207" customFormat="false" ht="15" hidden="false" customHeight="false" outlineLevel="0" collapsed="false">
      <c r="A207" s="17" t="n">
        <v>44862</v>
      </c>
      <c r="C207" s="25"/>
      <c r="D207" s="19"/>
      <c r="F207" s="17" t="n">
        <v>44862</v>
      </c>
      <c r="I207" s="25"/>
      <c r="J207" s="18"/>
      <c r="K207" s="18"/>
      <c r="L207" s="68"/>
      <c r="M207" s="19"/>
    </row>
    <row r="208" customFormat="false" ht="15" hidden="false" customHeight="false" outlineLevel="0" collapsed="false">
      <c r="A208" s="17" t="n">
        <v>44895</v>
      </c>
      <c r="C208" s="25"/>
      <c r="D208" s="19"/>
      <c r="F208" s="17" t="n">
        <v>44895</v>
      </c>
      <c r="I208" s="25"/>
      <c r="J208" s="18"/>
      <c r="L208" s="68"/>
      <c r="M208" s="19"/>
    </row>
    <row r="209" customFormat="false" ht="15" hidden="false" customHeight="false" outlineLevel="0" collapsed="false">
      <c r="A209" s="17" t="n">
        <v>44925</v>
      </c>
      <c r="C209" s="25"/>
      <c r="D209" s="19"/>
      <c r="F209" s="17" t="n">
        <v>44925</v>
      </c>
      <c r="I209" s="25"/>
      <c r="J209" s="18"/>
      <c r="L209" s="68"/>
      <c r="M209" s="19"/>
    </row>
    <row r="210" customFormat="false" ht="15" hidden="false" customHeight="false" outlineLevel="0" collapsed="false">
      <c r="A210" s="17" t="n">
        <v>44957</v>
      </c>
      <c r="C210" s="25"/>
      <c r="D210" s="19"/>
      <c r="F210" s="17" t="n">
        <v>44957</v>
      </c>
      <c r="I210" s="25"/>
      <c r="J210" s="18"/>
      <c r="L210" s="68"/>
      <c r="M210" s="19"/>
    </row>
    <row r="211" customFormat="false" ht="15" hidden="false" customHeight="false" outlineLevel="0" collapsed="false">
      <c r="A211" s="17" t="n">
        <v>44985</v>
      </c>
      <c r="C211" s="25"/>
      <c r="D211" s="19"/>
      <c r="F211" s="17" t="n">
        <v>45014</v>
      </c>
      <c r="I211" s="25"/>
      <c r="J211" s="18"/>
      <c r="L211" s="68"/>
      <c r="M211" s="19"/>
    </row>
    <row r="212" customFormat="false" ht="15" hidden="false" customHeight="false" outlineLevel="0" collapsed="false">
      <c r="A212" s="17" t="n">
        <v>45016</v>
      </c>
      <c r="C212" s="25"/>
      <c r="D212" s="19"/>
      <c r="F212" s="17" t="n">
        <v>45016</v>
      </c>
      <c r="I212" s="25"/>
      <c r="J212" s="18"/>
      <c r="L212" s="68"/>
      <c r="M212" s="19"/>
    </row>
    <row r="213" customFormat="false" ht="15" hidden="false" customHeight="false" outlineLevel="0" collapsed="false">
      <c r="A213" s="17" t="n">
        <v>45044</v>
      </c>
      <c r="C213" s="25"/>
      <c r="D213" s="19"/>
      <c r="F213" s="17" t="n">
        <v>45044</v>
      </c>
      <c r="I213" s="25"/>
      <c r="J213" s="18"/>
      <c r="L213" s="68"/>
      <c r="M213" s="19"/>
    </row>
    <row r="214" customFormat="false" ht="15" hidden="false" customHeight="false" outlineLevel="0" collapsed="false">
      <c r="A214" s="17" t="n">
        <v>45077</v>
      </c>
      <c r="C214" s="25"/>
      <c r="D214" s="19"/>
      <c r="F214" s="17" t="n">
        <v>45077</v>
      </c>
      <c r="I214" s="25"/>
      <c r="J214" s="18"/>
      <c r="K214" s="18"/>
      <c r="L214" s="68"/>
      <c r="M214" s="19"/>
    </row>
    <row r="215" customFormat="false" ht="15" hidden="false" customHeight="false" outlineLevel="0" collapsed="false">
      <c r="A215" s="17" t="n">
        <v>45107</v>
      </c>
      <c r="C215" s="25"/>
      <c r="D215" s="19"/>
      <c r="F215" s="17" t="n">
        <v>45107</v>
      </c>
      <c r="I215" s="25"/>
      <c r="J215" s="18"/>
      <c r="L215" s="68"/>
      <c r="M215" s="19"/>
    </row>
    <row r="216" customFormat="false" ht="15" hidden="false" customHeight="false" outlineLevel="0" collapsed="false">
      <c r="A216" s="17" t="n">
        <v>45138</v>
      </c>
      <c r="C216" s="25"/>
      <c r="D216" s="19"/>
      <c r="F216" s="17" t="n">
        <v>45138</v>
      </c>
      <c r="I216" s="25"/>
      <c r="J216" s="18"/>
      <c r="L216" s="68"/>
      <c r="M216" s="19"/>
    </row>
    <row r="217" customFormat="false" ht="15" hidden="false" customHeight="false" outlineLevel="0" collapsed="false">
      <c r="A217" s="17" t="n">
        <v>45169</v>
      </c>
      <c r="C217" s="25"/>
      <c r="D217" s="19"/>
      <c r="F217" s="17" t="n">
        <v>45175</v>
      </c>
      <c r="I217" s="25"/>
      <c r="J217" s="18"/>
      <c r="K217" s="18"/>
      <c r="L217" s="68"/>
      <c r="M217" s="19"/>
    </row>
    <row r="218" customFormat="false" ht="15" hidden="false" customHeight="false" outlineLevel="0" collapsed="false">
      <c r="A218" s="17" t="n">
        <v>45199</v>
      </c>
      <c r="C218" s="25"/>
      <c r="D218" s="19"/>
      <c r="F218" s="17" t="n">
        <v>45199</v>
      </c>
      <c r="I218" s="25"/>
      <c r="J218" s="18"/>
      <c r="K218" s="18"/>
      <c r="L218" s="68"/>
      <c r="M218" s="19"/>
    </row>
    <row r="219" customFormat="false" ht="15" hidden="false" customHeight="false" outlineLevel="0" collapsed="false">
      <c r="A219" s="17" t="n">
        <v>45230</v>
      </c>
      <c r="B219" s="19"/>
      <c r="C219" s="25"/>
      <c r="D219" s="19"/>
      <c r="F219" s="17" t="n">
        <v>45230</v>
      </c>
      <c r="I219" s="25"/>
      <c r="J219" s="18"/>
      <c r="L219" s="68"/>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C231" s="25"/>
      <c r="D231" s="19"/>
      <c r="F231" s="17" t="n">
        <v>45625</v>
      </c>
      <c r="I231" s="25"/>
      <c r="J231" s="18"/>
      <c r="L231" s="25"/>
      <c r="M231" s="19"/>
    </row>
    <row r="232" customFormat="false" ht="15" hidden="false" customHeight="false" outlineLevel="0" collapsed="false">
      <c r="A232" s="17" t="n">
        <v>45626</v>
      </c>
      <c r="C232" s="25"/>
      <c r="D232" s="19"/>
      <c r="F232" s="17" t="n">
        <v>45626</v>
      </c>
      <c r="I232" s="25"/>
      <c r="J232" s="18"/>
      <c r="L232" s="25"/>
      <c r="M232" s="19"/>
    </row>
    <row r="233" customFormat="false" ht="15" hidden="false" customHeight="false" outlineLevel="0" collapsed="false">
      <c r="A233" s="17" t="n">
        <v>45657</v>
      </c>
      <c r="C233" s="25"/>
      <c r="D233" s="19"/>
      <c r="F233" s="17" t="n">
        <v>45657</v>
      </c>
      <c r="I233" s="25"/>
      <c r="J233" s="18"/>
      <c r="L233" s="25"/>
      <c r="M233" s="19"/>
    </row>
    <row r="234" customFormat="false" ht="15" hidden="false" customHeight="false" outlineLevel="0" collapsed="false">
      <c r="A234" s="17" t="n">
        <v>45705</v>
      </c>
      <c r="B234" s="3" t="n">
        <v>24887.95</v>
      </c>
      <c r="C234" s="25" t="n">
        <f aca="false">IFERROR((B234/B233-1)/(A234-A233)*30,0)</f>
        <v>0</v>
      </c>
      <c r="D234" s="19" t="n">
        <v>100</v>
      </c>
      <c r="F234" s="17" t="n">
        <v>45705</v>
      </c>
      <c r="G234" s="4" t="n">
        <v>999.9918</v>
      </c>
      <c r="H234" s="4" t="n">
        <f aca="false">+G234+$S$148+$S$150+$S$152+$S$154+$S$156+$S$158</f>
        <v>999.9918</v>
      </c>
      <c r="I234" s="25" t="n">
        <f aca="false">+IFERROR((H234/H233-1)/(F234-F233)*30,0)</f>
        <v>0</v>
      </c>
      <c r="J234" s="18" t="n">
        <v>100</v>
      </c>
      <c r="K234" s="3" t="n">
        <v>6087.6762</v>
      </c>
      <c r="L234" s="25" t="n">
        <f aca="false">+IFERROR((K234/K233-1)/(F234-F233)*30,0)</f>
        <v>0</v>
      </c>
      <c r="M234" s="19" t="n">
        <v>100</v>
      </c>
    </row>
    <row r="235" customFormat="false" ht="15" hidden="false" customHeight="false" outlineLevel="0" collapsed="false">
      <c r="A235" s="17" t="n">
        <v>45716</v>
      </c>
      <c r="B235" s="3" t="n">
        <v>24984.92</v>
      </c>
      <c r="C235" s="25" t="n">
        <f aca="false">(B235/B234-1)/(A235-A234)*30/11</f>
        <v>0.000966015632477961</v>
      </c>
      <c r="D235" s="19" t="n">
        <f aca="false">+D234*(1+C235)</f>
        <v>100.096601563248</v>
      </c>
      <c r="F235" s="17" t="n">
        <v>45716</v>
      </c>
      <c r="G235" s="4" t="n">
        <v>1002.0847</v>
      </c>
      <c r="H235" s="4" t="n">
        <f aca="false">+G235+$S$148+$S$150+$S$152+$S$154+$S$156+$S$158</f>
        <v>1002.0847</v>
      </c>
      <c r="I235" s="25" t="n">
        <f aca="false">+(H235/H234-1)/(F235-F234)*30/11</f>
        <v>0.000518905081467921</v>
      </c>
      <c r="J235" s="18" t="n">
        <f aca="false">+J234*(1+I235)</f>
        <v>100.051890508147</v>
      </c>
      <c r="K235" s="3" t="n">
        <v>6104.4912</v>
      </c>
      <c r="L235" s="25" t="n">
        <f aca="false">+(K235/K234-1)/(F235-F234)*30/11</f>
        <v>0.000684827531474655</v>
      </c>
      <c r="M235" s="19" t="n">
        <f aca="false">+M234*(1+L235)</f>
        <v>100.068482753147</v>
      </c>
    </row>
    <row r="236" customFormat="false" ht="15" hidden="false" customHeight="false" outlineLevel="0" collapsed="false">
      <c r="A236" s="17" t="n">
        <v>45747</v>
      </c>
      <c r="B236" s="3" t="n">
        <v>25092.7</v>
      </c>
      <c r="C236" s="25" t="n">
        <f aca="false">(B236/B235-1)/(A236-A235)*30</f>
        <v>0.00417464717943687</v>
      </c>
      <c r="D236" s="19" t="n">
        <f aca="false">+D235*(1+C236)</f>
        <v>100.514469558635</v>
      </c>
      <c r="F236" s="17" t="n">
        <v>45747</v>
      </c>
      <c r="G236" s="4" t="n">
        <v>1008.4022</v>
      </c>
      <c r="H236" s="4" t="n">
        <f aca="false">+G236+$S$148+$S$150+$S$152+$S$154+$S$156+$S$158</f>
        <v>1008.4022</v>
      </c>
      <c r="I236" s="25" t="n">
        <f aca="false">+(H236/H235-1)/(F236-F235)*30</f>
        <v>0.00610099094160339</v>
      </c>
      <c r="J236" s="18" t="n">
        <f aca="false">+J235*(1+I236)</f>
        <v>100.662306185827</v>
      </c>
      <c r="K236" s="3" t="n">
        <v>6123.1882</v>
      </c>
      <c r="L236" s="25" t="n">
        <f aca="false">+(K236/K235-1)/(F236-F235)*30</f>
        <v>0.00296402605474173</v>
      </c>
      <c r="M236" s="19" t="n">
        <f aca="false">+M235*(1+L236)</f>
        <v>100.365088343286</v>
      </c>
    </row>
    <row r="237" customFormat="false" ht="15" hidden="false" customHeight="false" outlineLevel="0" collapsed="false">
      <c r="A237" s="17" t="n">
        <v>45777</v>
      </c>
      <c r="B237" s="3" t="n">
        <v>25197.48</v>
      </c>
      <c r="C237" s="25" t="n">
        <f aca="false">(B237/B236-1)/(A237-A236)*30</f>
        <v>0.00417571644342774</v>
      </c>
      <c r="D237" s="19" t="n">
        <f aca="false">+D236*(1+C237)</f>
        <v>100.934189481973</v>
      </c>
      <c r="F237" s="17" t="n">
        <v>45777</v>
      </c>
      <c r="G237" s="4" t="n">
        <v>1014.7219</v>
      </c>
      <c r="H237" s="4" t="n">
        <f aca="false">+G237+$S$148+$S$150+$S$152+$S$154+$S$156+$S$158</f>
        <v>1014.7219</v>
      </c>
      <c r="I237" s="25" t="n">
        <f aca="false">+(H237/H236-1)/(F237-F236)*30</f>
        <v>0.006267043050878</v>
      </c>
      <c r="J237" s="18" t="n">
        <f aca="false">+J236*(1+I237)</f>
        <v>101.293161192295</v>
      </c>
      <c r="K237" s="3" t="n">
        <v>6141.4105</v>
      </c>
      <c r="L237" s="25" t="n">
        <f aca="false">+(K237/K236-1)/(F237-F236)*30</f>
        <v>0.00297594968581905</v>
      </c>
      <c r="M237" s="19" t="n">
        <f aca="false">+M236*(1+L237)</f>
        <v>100.663769796409</v>
      </c>
    </row>
    <row r="238" customFormat="false" ht="15" hidden="false" customHeight="false" outlineLevel="0" collapsed="false">
      <c r="A238" s="17" t="n">
        <v>45808</v>
      </c>
      <c r="B238" s="3" t="n">
        <v>25302.66</v>
      </c>
      <c r="C238" s="25" t="n">
        <f aca="false">(B238/B237-1)/(A238-A237)*30</f>
        <v>0.00403957446435886</v>
      </c>
      <c r="D238" s="19" t="n">
        <f aca="false">+D237*(1+C238)</f>
        <v>101.341920656386</v>
      </c>
      <c r="F238" s="17" t="n">
        <v>45808</v>
      </c>
      <c r="G238" s="4" t="n">
        <v>1021.5759</v>
      </c>
      <c r="H238" s="4" t="n">
        <f aca="false">+G238+$S$148+$S$150+$S$152+$S$154+$S$156+$S$158</f>
        <v>1021.5759</v>
      </c>
      <c r="I238" s="25" t="n">
        <f aca="false">+(H238/H237-1)/(F238-F237)*30</f>
        <v>0.00653667100888093</v>
      </c>
      <c r="J238" s="18" t="n">
        <f aca="false">+J237*(1+I238)</f>
        <v>101.955281262458</v>
      </c>
      <c r="K238" s="3" t="n">
        <v>6160.386</v>
      </c>
      <c r="L238" s="25" t="n">
        <f aca="false">+(K238/K237-1)/(F238-F237)*30</f>
        <v>0.00299009276399519</v>
      </c>
      <c r="M238" s="19" t="n">
        <f aca="false">+M237*(1+L238)</f>
        <v>100.964763806073</v>
      </c>
    </row>
    <row r="239" customFormat="false" ht="15" hidden="false" customHeight="false" outlineLevel="0" collapsed="false">
      <c r="A239" s="17" t="n">
        <v>45838</v>
      </c>
      <c r="B239" s="3" t="n">
        <v>25411.83</v>
      </c>
      <c r="C239" s="25" t="n">
        <f aca="false">(B239/B238-1)/(A239-A238)*30</f>
        <v>0.00431456613652492</v>
      </c>
      <c r="D239" s="19" t="n">
        <f aca="false">+D238*(1+C239)</f>
        <v>101.77916707546</v>
      </c>
      <c r="F239" s="17" t="n">
        <v>45838</v>
      </c>
      <c r="G239" s="4" t="n">
        <v>1028.3749</v>
      </c>
      <c r="H239" s="4" t="n">
        <f aca="false">+G239+$S$148+$S$150+$S$152+$S$154+$S$156+$S$158</f>
        <v>1028.3749</v>
      </c>
      <c r="I239" s="25" t="n">
        <f aca="false">+(H239/H238-1)/(F239-F238)*30</f>
        <v>0.00665540367583062</v>
      </c>
      <c r="J239" s="18" t="n">
        <f aca="false">+J238*(1+I239)</f>
        <v>102.633834816143</v>
      </c>
      <c r="K239" s="3" t="n">
        <v>6178.849</v>
      </c>
      <c r="L239" s="25" t="n">
        <f aca="false">+(K239/K238-1)/(F239-F238)*30</f>
        <v>0.00299705245742721</v>
      </c>
      <c r="M239" s="19" t="n">
        <f aca="false">+M238*(1+L239)</f>
        <v>101.267360499552</v>
      </c>
    </row>
    <row r="240" customFormat="false" ht="15" hidden="false" customHeight="false" outlineLevel="0" collapsed="false">
      <c r="A240" s="17" t="n">
        <v>45869</v>
      </c>
      <c r="B240" s="3" t="n">
        <v>25521.26</v>
      </c>
      <c r="C240" s="25" t="n">
        <f aca="false">(B240/B239-1)/(A240-A239)*30</f>
        <v>0.00416735040333568</v>
      </c>
      <c r="D240" s="19" t="n">
        <f aca="false">+D239*(1+C240)</f>
        <v>102.203316528423</v>
      </c>
      <c r="F240" s="17" t="n">
        <v>45869</v>
      </c>
      <c r="G240" s="4" t="n">
        <v>1034.8034</v>
      </c>
      <c r="H240" s="4" t="n">
        <f aca="false">+G240+$S$148+$S$150+$S$152+$S$154+$S$156+$S$158</f>
        <v>1034.8034</v>
      </c>
      <c r="I240" s="25" t="n">
        <f aca="false">+(H240/H239-1)/(F240-F239)*30</f>
        <v>0.0060494757624463</v>
      </c>
      <c r="J240" s="18" t="n">
        <f aca="false">+J239*(1+I240)</f>
        <v>103.25471571227</v>
      </c>
      <c r="K240" s="3" t="n">
        <v>6197.08</v>
      </c>
      <c r="L240" s="25" t="n">
        <f aca="false">+(K240/K239-1)/(F240-F239)*30</f>
        <v>0.00285537051088415</v>
      </c>
      <c r="M240" s="19" t="n">
        <f aca="false">+M239*(1+L240)</f>
        <v>101.556516334437</v>
      </c>
    </row>
    <row r="241" customFormat="false" ht="15" hidden="false" customHeight="false" outlineLevel="0" collapsed="false">
      <c r="A241" s="17" t="n">
        <v>45900</v>
      </c>
      <c r="B241" s="3" t="n">
        <v>25619.09</v>
      </c>
      <c r="C241" s="25" t="n">
        <f aca="false">(B241/B240-1)/(A241-A240)*30</f>
        <v>0.00370962066717663</v>
      </c>
      <c r="D241" s="19" t="n">
        <f aca="false">+D240*(1+C241)</f>
        <v>102.582452063671</v>
      </c>
      <c r="F241" s="17" t="n">
        <v>45900</v>
      </c>
      <c r="G241" s="4" t="n">
        <v>1041.6512</v>
      </c>
      <c r="H241" s="4" t="n">
        <f aca="false">+G241+$S$148+$S$150+$S$152+$S$154+$S$156+$S$158</f>
        <v>1041.6512</v>
      </c>
      <c r="I241" s="25" t="n">
        <f aca="false">+(H241/H240-1)/(F241-F240)*30</f>
        <v>0.00640402150380118</v>
      </c>
      <c r="J241" s="18" t="n">
        <f aca="false">+J240*(1+I241)</f>
        <v>103.91596113206</v>
      </c>
      <c r="K241" s="3" t="n">
        <v>6215.6746</v>
      </c>
      <c r="L241" s="25" t="n">
        <f aca="false">+(K241/K240-1)/(F241-F240)*30</f>
        <v>0.00290375050726291</v>
      </c>
      <c r="M241" s="19" t="n">
        <f aca="false">+M240*(1+L241)</f>
        <v>101.851411120259</v>
      </c>
    </row>
    <row r="242" customFormat="false" ht="15" hidden="false" customHeight="false" outlineLevel="0" collapsed="false">
      <c r="A242" s="17" t="n">
        <v>45930</v>
      </c>
      <c r="B242" s="3" t="n">
        <v>25727.46</v>
      </c>
      <c r="C242" s="25" t="n">
        <f aca="false">(B242/B241-1)/(A242-A241)*30</f>
        <v>0.00423004876441735</v>
      </c>
      <c r="D242" s="19" t="n">
        <f aca="false">+D241*(1+C242)</f>
        <v>103.016380838274</v>
      </c>
      <c r="F242" s="17" t="n">
        <v>45930</v>
      </c>
      <c r="G242" s="4" t="n">
        <v>1048.1666</v>
      </c>
      <c r="H242" s="4" t="n">
        <f aca="false">+G242+$S$148+$S$150+$S$152+$S$154+$S$156+$S$158</f>
        <v>1048.1666</v>
      </c>
      <c r="I242" s="25" t="n">
        <f aca="false">+(H242/H241-1)/(F242-F241)*30</f>
        <v>0.00625487687241177</v>
      </c>
      <c r="J242" s="18" t="n">
        <f aca="false">+J241*(1+I242)</f>
        <v>104.565942674019</v>
      </c>
      <c r="K242" s="3" t="n">
        <v>6232.8399</v>
      </c>
      <c r="L242" s="25" t="n">
        <f aca="false">+(K242/K241-1)/(F242-F241)*30</f>
        <v>0.00276161496613736</v>
      </c>
      <c r="M242" s="19" t="n">
        <f aca="false">+M241*(1+L242)</f>
        <v>102.132685501531</v>
      </c>
    </row>
    <row r="243" customFormat="false" ht="15" hidden="false" customHeight="false" outlineLevel="0" collapsed="false">
      <c r="A243" s="17" t="n">
        <v>45961</v>
      </c>
      <c r="B243" s="3" t="n">
        <v>25829.5</v>
      </c>
      <c r="C243" s="25" t="n">
        <f aca="false">(B243/B242-1)/(A243-A242)*30</f>
        <v>0.00383824859106876</v>
      </c>
      <c r="D243" s="19" t="n">
        <f aca="false">+D242*(1+C243)</f>
        <v>103.411783316883</v>
      </c>
      <c r="F243" s="17" t="n">
        <v>45961</v>
      </c>
      <c r="G243" s="4" t="n">
        <v>1054.8636</v>
      </c>
      <c r="H243" s="4" t="n">
        <f aca="false">+G243+$S$148+$S$150+$S$152+$S$154+$S$156+$S$158</f>
        <v>1054.8636</v>
      </c>
      <c r="I243" s="25" t="n">
        <f aca="false">+(H243/H242-1)/(F243-F242)*30</f>
        <v>0.00618314659323758</v>
      </c>
      <c r="J243" s="18" t="n">
        <f aca="false">+J242*(1+I243)</f>
        <v>105.212489226233</v>
      </c>
      <c r="K243" s="3" t="n">
        <v>6250.6982</v>
      </c>
      <c r="L243" s="25" t="n">
        <f aca="false">+(K243/K242-1)/(F243-F242)*30</f>
        <v>0.00277276908820515</v>
      </c>
      <c r="M243" s="19" t="n">
        <f aca="false">+M242*(1+L243)</f>
        <v>102.415875854785</v>
      </c>
    </row>
    <row r="244" customFormat="false" ht="15" hidden="false" customHeight="false" outlineLevel="0" collapsed="false">
      <c r="A244" s="17" t="n">
        <v>45991</v>
      </c>
      <c r="B244" s="3" t="n">
        <v>25928.49</v>
      </c>
      <c r="C244" s="25" t="n">
        <f aca="false">(B244/B243-1)/(A244-A243)*30</f>
        <v>0.00383243965233548</v>
      </c>
      <c r="D244" s="19" t="n">
        <f aca="false">+D243*(1+C244)</f>
        <v>103.808102735786</v>
      </c>
      <c r="F244" s="17" t="n">
        <v>45991</v>
      </c>
      <c r="G244" s="4" t="n">
        <v>1061.5307</v>
      </c>
      <c r="H244" s="4" t="n">
        <f aca="false">+G244+$S$148+$S$150+$S$152+$S$154+$S$156+$S$158</f>
        <v>1061.5307</v>
      </c>
      <c r="I244" s="25" t="n">
        <f aca="false">+(H244/H243-1)/(F244-F243)*30</f>
        <v>0.00632034321783426</v>
      </c>
      <c r="J244" s="18" t="n">
        <f aca="false">+J243*(1+I244)</f>
        <v>105.877468268945</v>
      </c>
      <c r="K244" s="3" t="n">
        <v>6268.169</v>
      </c>
      <c r="L244" s="25" t="n">
        <f aca="false">+(K244/K243-1)/(F244-F243)*30</f>
        <v>0.00279501576319907</v>
      </c>
      <c r="M244" s="19" t="n">
        <f aca="false">+M243*(1+L244)</f>
        <v>102.702129842201</v>
      </c>
    </row>
    <row r="245" customFormat="false" ht="15" hidden="false" customHeight="false" outlineLevel="0" collapsed="false">
      <c r="A245" s="17" t="n">
        <v>46022</v>
      </c>
      <c r="B245" s="3" t="n">
        <v>26035.82</v>
      </c>
      <c r="C245" s="25" t="n">
        <f aca="false">(B245/B244-1)/(A245-A244)*30</f>
        <v>0.00400593100236385</v>
      </c>
      <c r="D245" s="19" t="n">
        <f aca="false">+D244*(1+C245)</f>
        <v>104.223950832832</v>
      </c>
      <c r="F245" s="17" t="n">
        <v>46022</v>
      </c>
      <c r="G245" s="69" t="n">
        <v>1068.9431</v>
      </c>
      <c r="H245" s="4" t="n">
        <f aca="false">+G245+$S$148+$S$150+$S$152+$S$154+$S$156+$S$158</f>
        <v>1068.9431</v>
      </c>
      <c r="I245" s="25" t="n">
        <f aca="false">+(H245/H244-1)/(F245-F244)*30</f>
        <v>0.006757496813404</v>
      </c>
      <c r="J245" s="18" t="n">
        <f aca="false">+J244*(1+I245)</f>
        <v>106.592934923384</v>
      </c>
      <c r="K245" s="70" t="n">
        <v>6285.9566</v>
      </c>
      <c r="L245" s="25" t="n">
        <f aca="false">+(K245/K244-1)/(F245-F244)*30</f>
        <v>0.00274622564446067</v>
      </c>
      <c r="M245" s="19" t="n">
        <f aca="false">+M244*(1+L245)</f>
        <v>102.984173064915</v>
      </c>
    </row>
    <row r="246" customFormat="false" ht="15" hidden="false" customHeight="false" outlineLevel="0" collapsed="false">
      <c r="A246" s="17" t="n">
        <v>46053</v>
      </c>
      <c r="B246" s="3" t="n">
        <v>26136.9</v>
      </c>
      <c r="C246" s="25" t="n">
        <f aca="false">(B246/B245-1)/(A246-A245)*30</f>
        <v>0.00375710674135526</v>
      </c>
      <c r="D246" s="19" t="n">
        <f aca="false">+D245*(1+C246)</f>
        <v>104.615531341116</v>
      </c>
      <c r="F246" s="17" t="n">
        <v>46053</v>
      </c>
      <c r="G246" s="69" t="n">
        <v>1075.5288</v>
      </c>
      <c r="H246" s="4" t="n">
        <f aca="false">+G246+$S$148+$S$150+$S$152+$S$154+$S$156+$S$158</f>
        <v>1075.5288</v>
      </c>
      <c r="I246" s="25" t="n">
        <f aca="false">+(H246/H245-1)/(F246-F245)*30</f>
        <v>0.00596220515808214</v>
      </c>
      <c r="J246" s="18" t="n">
        <f aca="false">+J245*(1+I246)</f>
        <v>107.228463869799</v>
      </c>
      <c r="K246" s="70" t="n">
        <v>6303.0823</v>
      </c>
      <c r="L246" s="25" t="n">
        <f aca="false">+(K246/K245-1)/(F246-F245)*30</f>
        <v>0.00263655305296194</v>
      </c>
      <c r="M246" s="19" t="n">
        <f aca="false">+M245*(1+L246)</f>
        <v>103.255696300816</v>
      </c>
    </row>
    <row r="247" customFormat="false" ht="14.25" hidden="false" customHeight="true" outlineLevel="0" collapsed="false">
      <c r="A247" s="71" t="n">
        <v>46081</v>
      </c>
      <c r="B247" s="72" t="n">
        <v>26231.81</v>
      </c>
      <c r="C247" s="25" t="n">
        <f aca="false">(B247/B246-1)/(A247-A246)*30</f>
        <v>0.00389064065418173</v>
      </c>
      <c r="D247" s="19" t="n">
        <f aca="false">+D246*(1+C247)</f>
        <v>105.022552780411</v>
      </c>
      <c r="F247" s="71" t="n">
        <v>46081</v>
      </c>
      <c r="G247" s="69" t="n">
        <v>1081.7699</v>
      </c>
      <c r="H247" s="4" t="n">
        <f aca="false">+G247+$S$148+$S$150+$S$152+$S$154+$S$156+$S$158</f>
        <v>1081.7699</v>
      </c>
      <c r="I247" s="25" t="n">
        <f aca="false">+(H247/H246-1)/(F247-F246)*30</f>
        <v>0.0062173071117601</v>
      </c>
      <c r="J247" s="18" t="n">
        <f aca="false">+J246*(1+I247)</f>
        <v>107.8951361608</v>
      </c>
      <c r="K247" s="73" t="n">
        <v>6318.4947</v>
      </c>
      <c r="L247" s="25" t="n">
        <f aca="false">+(K247/K246-1)/(F247-F246)*30</f>
        <v>0.00261987467850238</v>
      </c>
      <c r="M247" s="19" t="n">
        <f aca="false">+M246*(1+L247)</f>
        <v>103.526213284965</v>
      </c>
    </row>
    <row r="248" customFormat="false" ht="15" hidden="false" customHeight="false" outlineLevel="0" collapsed="false">
      <c r="A248" s="71" t="n">
        <v>46112</v>
      </c>
      <c r="B248" s="72" t="n">
        <v>26333.64</v>
      </c>
      <c r="C248" s="25" t="n">
        <f aca="false">(B248/B247-1)/(A248-A247)*30</f>
        <v>0.00375670459988545</v>
      </c>
      <c r="D248" s="19" t="n">
        <f aca="false">+D247*(1+C248)</f>
        <v>105.417091487533</v>
      </c>
      <c r="F248" s="71" t="n">
        <v>46112</v>
      </c>
      <c r="G248" s="74" t="n">
        <v>1088.2365</v>
      </c>
      <c r="H248" s="4" t="n">
        <f aca="false">+G248+$S$148+$S$150+$S$152+$S$154+$S$156+$S$158</f>
        <v>1088.2365</v>
      </c>
      <c r="I248" s="25" t="n">
        <f aca="false">+(H248/H247-1)/(F248-F247)*30</f>
        <v>0.00578496406675761</v>
      </c>
      <c r="J248" s="18" t="n">
        <f aca="false">+J247*(1+I248)</f>
        <v>108.519305646468</v>
      </c>
      <c r="K248" s="75" t="n">
        <v>6335.4774</v>
      </c>
      <c r="L248" s="25" t="n">
        <f aca="false">+(K248/K247-1)/(F248-F247)*30</f>
        <v>0.00260107379179124</v>
      </c>
      <c r="M248" s="19" t="n">
        <f aca="false">+M247*(1+L248)</f>
        <v>103.795492605104</v>
      </c>
    </row>
    <row r="249" customFormat="false" ht="15" hidden="false" customHeight="false" outlineLevel="0" collapsed="false">
      <c r="A249" s="17" t="n">
        <v>46142</v>
      </c>
      <c r="B249" s="3" t="n">
        <v>19635.3400812264</v>
      </c>
      <c r="C249" s="25" t="n">
        <f aca="false">(B249/B248-1)/(A249-A248)*30</f>
        <v>-0.254362857499898</v>
      </c>
      <c r="D249" s="19" t="n">
        <f aca="false">+D248*(1+C249)</f>
        <v>78.6028988674357</v>
      </c>
      <c r="F249" s="17" t="n">
        <v>46142</v>
      </c>
      <c r="G249" s="76" t="n">
        <v>1094.8104</v>
      </c>
      <c r="H249" s="4" t="n">
        <f aca="false">+G249+$S$148+$S$150+$S$152+$S$154+$S$156+$S$158</f>
        <v>1094.8104</v>
      </c>
      <c r="I249" s="25" t="n">
        <f aca="false">+(H249/H248-1)/(F249-F248)*30</f>
        <v>0.00604087438713918</v>
      </c>
      <c r="J249" s="18" t="n">
        <f aca="false">+J248*(1+I249)</f>
        <v>109.174857140458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60" zoomScaleNormal="60" zoomScalePageLayoutView="100" workbookViewId="0">
      <selection pane="topLeft" activeCell="H47" activeCellId="0" sqref="H47"/>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46</v>
      </c>
    </row>
    <row r="2" customFormat="false" ht="15" hidden="false" customHeight="false" outlineLevel="0" collapsed="false">
      <c r="C2" s="78"/>
      <c r="D2" s="79"/>
      <c r="E2" s="79"/>
      <c r="F2" s="79"/>
      <c r="G2" s="79"/>
      <c r="H2" s="79"/>
      <c r="I2" s="79"/>
      <c r="J2" s="79"/>
      <c r="K2" s="79"/>
      <c r="L2" s="79"/>
      <c r="M2" s="79"/>
      <c r="N2" s="79"/>
      <c r="O2" s="79"/>
      <c r="P2" s="79"/>
      <c r="Q2" s="79"/>
      <c r="R2" s="79"/>
      <c r="S2" s="78" t="s">
        <v>47</v>
      </c>
      <c r="T2" s="83" t="n">
        <f aca="false">+'Datos ICP (2)'!AX29</f>
        <v>-0.254362857499898</v>
      </c>
      <c r="U2" s="83" t="n">
        <f aca="false">+'Datos ICP (2)'!AY29</f>
        <v>-0.248750231235289</v>
      </c>
      <c r="V2" s="83" t="n">
        <f aca="false">+'Datos ICP (2)'!AZ29</f>
        <v>-0.239809516977627</v>
      </c>
      <c r="W2" s="83" t="n">
        <f aca="false">+Q33</f>
        <v>0</v>
      </c>
      <c r="X2" s="83" t="n">
        <f aca="false">+'Datos ICP (2)'!BB29</f>
        <v>-0.746250693705866</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+'Datos ICP (2)'!AX30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79" t="s">
        <v>48</v>
      </c>
      <c r="T4" s="83" t="n">
        <f aca="false">+'Datos ICP (2)'!AX31</f>
        <v>0.00604087438713918</v>
      </c>
      <c r="U4" s="83" t="n">
        <f aca="false">+'Datos ICP (2)'!AY31</f>
        <v>0.0179275534044276</v>
      </c>
      <c r="V4" s="83" t="n">
        <f aca="false">+'Datos ICP (2)'!AZ31</f>
        <v>0.0378691614726303</v>
      </c>
      <c r="W4" s="83" t="n">
        <f aca="false">+Q35</f>
        <v>0</v>
      </c>
      <c r="X4" s="83" t="n">
        <f aca="false">+'Datos ICP (2)'!BB31</f>
        <v>0.0537826602132829</v>
      </c>
    </row>
    <row r="5" customFormat="false" ht="15" hidden="false" customHeight="false" outlineLevel="0" collapsed="false">
      <c r="B5" s="84"/>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4"/>
      <c r="C6" s="80" t="s">
        <v>39</v>
      </c>
      <c r="D6" s="85" t="s">
        <v>40</v>
      </c>
      <c r="E6" s="81" t="s">
        <v>4</v>
      </c>
      <c r="F6" s="81" t="s">
        <v>5</v>
      </c>
      <c r="G6" s="81" t="s">
        <v>6</v>
      </c>
      <c r="H6" s="81" t="s">
        <v>7</v>
      </c>
      <c r="I6" s="81" t="s">
        <v>8</v>
      </c>
      <c r="J6" s="81" t="s">
        <v>9</v>
      </c>
      <c r="K6" s="81" t="s">
        <v>10</v>
      </c>
      <c r="L6" s="81" t="s">
        <v>11</v>
      </c>
      <c r="M6" s="81" t="s">
        <v>12</v>
      </c>
      <c r="N6" s="81" t="s">
        <v>13</v>
      </c>
      <c r="O6" s="81" t="s">
        <v>14</v>
      </c>
      <c r="P6" s="81" t="s">
        <v>15</v>
      </c>
      <c r="Q6" s="82" t="s">
        <v>49</v>
      </c>
      <c r="R6" s="86"/>
      <c r="S6" s="79"/>
      <c r="T6" s="79"/>
      <c r="U6" s="79"/>
      <c r="V6" s="79"/>
      <c r="W6" s="79"/>
      <c r="X6" s="79"/>
    </row>
    <row r="7" customFormat="false" ht="15" hidden="false" customHeight="true" outlineLevel="0" collapsed="false">
      <c r="B7" s="84"/>
      <c r="C7" s="78"/>
      <c r="D7" s="79"/>
      <c r="E7" s="87"/>
      <c r="F7" s="87"/>
      <c r="G7" s="87"/>
      <c r="H7" s="87"/>
      <c r="I7" s="87"/>
      <c r="J7" s="87"/>
      <c r="K7" s="87"/>
      <c r="L7" s="87"/>
      <c r="M7" s="87"/>
      <c r="N7" s="87"/>
      <c r="O7" s="87"/>
      <c r="P7" s="87"/>
      <c r="Q7" s="87"/>
      <c r="R7" s="86"/>
      <c r="S7" s="79"/>
      <c r="T7" s="79"/>
      <c r="U7" s="79"/>
      <c r="V7" s="79"/>
      <c r="W7" s="79"/>
      <c r="X7" s="79"/>
    </row>
    <row r="8" customFormat="false" ht="15" hidden="true" customHeight="true" outlineLevel="0" collapsed="false">
      <c r="B8" s="84"/>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4"/>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4"/>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4"/>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4"/>
      <c r="C12" s="78" t="n">
        <v>2017</v>
      </c>
      <c r="D12" s="79" t="s">
        <v>3</v>
      </c>
      <c r="E12" s="83"/>
      <c r="F12" s="83"/>
      <c r="G12" s="83"/>
      <c r="H12" s="83"/>
      <c r="I12" s="83"/>
      <c r="J12" s="83"/>
      <c r="K12" s="83"/>
      <c r="L12" s="83"/>
      <c r="M12" s="83"/>
      <c r="N12" s="83"/>
      <c r="O12" s="83"/>
      <c r="P12" s="83"/>
      <c r="Q12" s="83"/>
      <c r="R12" s="79"/>
      <c r="S12" s="79"/>
      <c r="T12" s="88"/>
      <c r="U12" s="79"/>
      <c r="V12" s="79"/>
      <c r="W12" s="79"/>
      <c r="X12" s="79"/>
    </row>
    <row r="13" customFormat="false" ht="15" hidden="true" customHeight="true" outlineLevel="0" collapsed="false">
      <c r="B13" s="84"/>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4"/>
      <c r="C14" s="78"/>
      <c r="D14" s="79" t="s">
        <v>38</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4"/>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4"/>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4"/>
      <c r="C17" s="78"/>
      <c r="D17" s="79" t="s">
        <v>38</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38</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38</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89"/>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38</v>
      </c>
      <c r="E26" s="89"/>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89"/>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38</v>
      </c>
      <c r="E29" s="89"/>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89"/>
      <c r="F31" s="89"/>
      <c r="G31" s="89"/>
      <c r="H31" s="89"/>
      <c r="I31" s="89"/>
      <c r="J31" s="89"/>
      <c r="K31" s="89"/>
      <c r="L31" s="89"/>
      <c r="M31" s="89"/>
      <c r="N31" s="89"/>
      <c r="O31" s="89"/>
      <c r="P31" s="89"/>
      <c r="Q31" s="83"/>
      <c r="R31" s="79"/>
      <c r="S31" s="79"/>
      <c r="T31" s="79"/>
      <c r="U31" s="79"/>
      <c r="V31" s="79"/>
      <c r="W31" s="79"/>
      <c r="X31" s="79"/>
    </row>
    <row r="32" customFormat="false" ht="15" hidden="true" customHeight="true" outlineLevel="0" collapsed="false">
      <c r="C32" s="78"/>
      <c r="D32" s="79" t="s">
        <v>38</v>
      </c>
      <c r="E32" s="89"/>
      <c r="F32" s="89"/>
      <c r="G32" s="89"/>
      <c r="H32" s="89"/>
      <c r="I32" s="89"/>
      <c r="J32" s="89"/>
      <c r="K32" s="89"/>
      <c r="L32" s="89"/>
      <c r="M32" s="89"/>
      <c r="N32" s="89"/>
      <c r="O32" s="89"/>
      <c r="P32" s="89"/>
      <c r="Q32" s="83"/>
      <c r="R32" s="79"/>
      <c r="S32" s="79"/>
      <c r="T32" s="79"/>
      <c r="U32" s="79"/>
      <c r="V32" s="79"/>
      <c r="W32" s="79"/>
      <c r="X32" s="79"/>
    </row>
    <row r="33" customFormat="false" ht="15" hidden="false" customHeight="true" outlineLevel="0" collapsed="false">
      <c r="C33" s="78" t="n">
        <v>2024</v>
      </c>
      <c r="D33" s="79" t="s">
        <v>3</v>
      </c>
      <c r="E33" s="83"/>
      <c r="F33" s="83"/>
      <c r="G33" s="83"/>
      <c r="H33" s="83"/>
      <c r="I33" s="83"/>
      <c r="J33" s="83"/>
      <c r="K33" s="83"/>
      <c r="L33" s="83"/>
      <c r="M33" s="83"/>
      <c r="N33" s="83"/>
      <c r="O33" s="83" t="n">
        <f aca="false">+'Datos ICP (2)'!AO80</f>
        <v>0</v>
      </c>
      <c r="P33" s="83" t="n">
        <f aca="false">+'Datos ICP (2)'!AP80</f>
        <v>0</v>
      </c>
      <c r="Q33" s="83" t="n">
        <f aca="false">+'Datos ICP (2)'!$AQ$80</f>
        <v>0</v>
      </c>
      <c r="R33" s="79"/>
      <c r="S33" s="79"/>
      <c r="T33" s="79"/>
      <c r="U33" s="79"/>
      <c r="V33" s="79"/>
      <c r="W33" s="79"/>
      <c r="X33" s="79"/>
    </row>
    <row r="34" customFormat="false" ht="15" hidden="false" customHeight="true" outlineLevel="0" collapsed="false">
      <c r="C34" s="78"/>
      <c r="D34" s="79" t="s">
        <v>26</v>
      </c>
      <c r="E34" s="89"/>
      <c r="F34" s="89"/>
      <c r="G34" s="89"/>
      <c r="H34" s="89"/>
      <c r="I34" s="89"/>
      <c r="J34" s="89"/>
      <c r="K34" s="89"/>
      <c r="L34" s="89"/>
      <c r="M34" s="89"/>
      <c r="N34" s="89"/>
      <c r="O34" s="89" t="n">
        <f aca="false">+'Datos ICP (2)'!AO81</f>
        <v>0</v>
      </c>
      <c r="P34" s="89" t="n">
        <f aca="false">+'Datos ICP (2)'!AP81</f>
        <v>0</v>
      </c>
      <c r="Q34" s="83" t="n">
        <f aca="false">+'Datos ICP (2)'!$AQ$81</f>
        <v>0</v>
      </c>
      <c r="R34" s="79"/>
      <c r="S34" s="79"/>
      <c r="T34" s="79"/>
      <c r="U34" s="79"/>
      <c r="V34" s="79"/>
      <c r="W34" s="79"/>
      <c r="X34" s="79"/>
    </row>
    <row r="35" customFormat="false" ht="15" hidden="false" customHeight="true" outlineLevel="0" collapsed="false">
      <c r="C35" s="78"/>
      <c r="D35" s="79" t="s">
        <v>48</v>
      </c>
      <c r="E35" s="89"/>
      <c r="F35" s="89"/>
      <c r="G35" s="89"/>
      <c r="H35" s="89"/>
      <c r="I35" s="89"/>
      <c r="J35" s="89"/>
      <c r="K35" s="89"/>
      <c r="L35" s="89"/>
      <c r="M35" s="89"/>
      <c r="N35" s="89"/>
      <c r="O35" s="89" t="n">
        <f aca="false">+'Datos ICP (2)'!AO82</f>
        <v>0</v>
      </c>
      <c r="P35" s="89" t="n">
        <f aca="false">+'Datos ICP (2)'!AP82</f>
        <v>0</v>
      </c>
      <c r="Q35" s="83" t="n">
        <f aca="false">+'Datos ICP (2)'!$AQ$82</f>
        <v>0</v>
      </c>
      <c r="R35" s="79"/>
      <c r="S35" s="79"/>
      <c r="T35" s="79"/>
      <c r="U35" s="79"/>
      <c r="V35" s="79"/>
      <c r="W35" s="79"/>
      <c r="X35" s="79"/>
    </row>
    <row r="36" customFormat="false" ht="15" hidden="false" customHeight="true" outlineLevel="0" collapsed="false">
      <c r="C36" s="78" t="n">
        <v>2025</v>
      </c>
      <c r="D36" s="79"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3" t="n">
        <f aca="false">+'Datos ICP (2)'!AQ83</f>
        <v>0.0503143817864394</v>
      </c>
      <c r="R36" s="79"/>
      <c r="S36" s="79"/>
      <c r="T36" s="79"/>
      <c r="U36" s="79"/>
      <c r="V36" s="79"/>
      <c r="W36" s="79"/>
      <c r="X36" s="79"/>
    </row>
    <row r="37" customFormat="false" ht="15" hidden="false" customHeight="true" outlineLevel="0" collapsed="false">
      <c r="C37" s="78"/>
      <c r="D37" s="79" t="s">
        <v>26</v>
      </c>
      <c r="E37" s="89" t="n">
        <f aca="false">+'Datos ICP (2)'!AE84</f>
        <v>0</v>
      </c>
      <c r="F37" s="89" t="n">
        <f aca="false">+'Datos ICP (2)'!AF84</f>
        <v>0.00276213771028111</v>
      </c>
      <c r="G37" s="89" t="n">
        <f aca="false">+'Datos ICP (2)'!AG84</f>
        <v>0.00306282692323312</v>
      </c>
      <c r="H37" s="89" t="n">
        <f aca="false">+'Datos ICP (2)'!AH84</f>
        <v>0.00297594968581905</v>
      </c>
      <c r="I37" s="89" t="n">
        <f aca="false">+'Datos ICP (2)'!AI84</f>
        <v>0.00308976252279503</v>
      </c>
      <c r="J37" s="89" t="n">
        <f aca="false">+'Datos ICP (2)'!AJ84</f>
        <v>0.00299705245742721</v>
      </c>
      <c r="K37" s="89" t="n">
        <f aca="false">+'Datos ICP (2)'!AK84</f>
        <v>0.00295054952791363</v>
      </c>
      <c r="L37" s="89" t="n">
        <f aca="false">+'Datos ICP (2)'!AL84</f>
        <v>0.00300054219083834</v>
      </c>
      <c r="M37" s="89" t="n">
        <f aca="false">+'Datos ICP (2)'!AM84</f>
        <v>0.00276161496613736</v>
      </c>
      <c r="N37" s="89" t="n">
        <f aca="false">+'Datos ICP (2)'!AN84</f>
        <v>0.00286519472447866</v>
      </c>
      <c r="O37" s="89" t="n">
        <f aca="false">+'Datos ICP (2)'!AO84</f>
        <v>0.00279501576319907</v>
      </c>
      <c r="P37" s="89" t="n">
        <f aca="false">+'Datos ICP (2)'!AP84</f>
        <v>0.00283776649927603</v>
      </c>
      <c r="Q37" s="83" t="n">
        <f aca="false">+'Datos ICP (2)'!AQ84</f>
        <v>0.0355317667699033</v>
      </c>
      <c r="R37" s="79"/>
      <c r="S37" s="79"/>
      <c r="T37" s="79"/>
      <c r="U37" s="79"/>
      <c r="V37" s="79"/>
      <c r="W37" s="79"/>
      <c r="X37" s="79"/>
    </row>
    <row r="38" customFormat="false" ht="15" hidden="false" customHeight="true" outlineLevel="0" collapsed="false">
      <c r="C38" s="78"/>
      <c r="D38" s="79" t="s">
        <v>48</v>
      </c>
      <c r="E38" s="89" t="n">
        <f aca="false">+'Datos ICP (2)'!AE85</f>
        <v>0</v>
      </c>
      <c r="F38" s="89" t="n">
        <f aca="false">+'Datos ICP (2)'!AF85</f>
        <v>0.00209291716192062</v>
      </c>
      <c r="G38" s="89" t="n">
        <f aca="false">+'Datos ICP (2)'!AG85</f>
        <v>0.00630435730632351</v>
      </c>
      <c r="H38" s="89" t="n">
        <f aca="false">+'Datos ICP (2)'!AH85</f>
        <v>0.006267043050878</v>
      </c>
      <c r="I38" s="89" t="n">
        <f aca="false">+'Datos ICP (2)'!AI85</f>
        <v>0.00675456004251029</v>
      </c>
      <c r="J38" s="89" t="n">
        <f aca="false">+'Datos ICP (2)'!AJ85</f>
        <v>0.00665540367583062</v>
      </c>
      <c r="K38" s="89" t="n">
        <f aca="false">+'Datos ICP (2)'!AK85</f>
        <v>0.00625112495452784</v>
      </c>
      <c r="L38" s="89" t="n">
        <f aca="false">+'Datos ICP (2)'!AL85</f>
        <v>0.00661748888726121</v>
      </c>
      <c r="M38" s="89" t="n">
        <f aca="false">+'Datos ICP (2)'!AM85</f>
        <v>0.00625487687241177</v>
      </c>
      <c r="N38" s="89" t="n">
        <f aca="false">+'Datos ICP (2)'!AN85</f>
        <v>0.00638925147967884</v>
      </c>
      <c r="O38" s="89" t="n">
        <f aca="false">+'Datos ICP (2)'!AO85</f>
        <v>0.00632034321783426</v>
      </c>
      <c r="P38" s="89" t="n">
        <f aca="false">+'Datos ICP (2)'!AP85</f>
        <v>0.00698274670718413</v>
      </c>
      <c r="Q38" s="83" t="n">
        <f aca="false">+'Datos ICP (2)'!AQ85</f>
        <v>0.0671338959524923</v>
      </c>
      <c r="R38" s="79"/>
      <c r="S38" s="79"/>
      <c r="T38" s="79"/>
      <c r="U38" s="79"/>
      <c r="V38" s="79"/>
      <c r="W38" s="79"/>
      <c r="X38" s="79"/>
    </row>
    <row r="39" customFormat="false" ht="15" hidden="false" customHeight="false" outlineLevel="0" collapsed="false">
      <c r="C39" s="78" t="n">
        <v>2026</v>
      </c>
      <c r="D39" s="79" t="s">
        <v>3</v>
      </c>
      <c r="E39" s="89" t="n">
        <f aca="false">+'Datos ICP (2)'!AE86</f>
        <v>0.00388234363273376</v>
      </c>
      <c r="F39" s="89" t="n">
        <f aca="false">+'Datos ICP (2)'!AF86</f>
        <v>0.00363126461056962</v>
      </c>
      <c r="G39" s="89" t="n">
        <f aca="false">+'Datos ICP (2)'!AG86</f>
        <v>0.0038819280865483</v>
      </c>
      <c r="H39" s="89" t="n">
        <f aca="false">+'Datos ICP (2)'!AH86</f>
        <v>-0.254362857499898</v>
      </c>
      <c r="I39" s="89"/>
      <c r="J39" s="89"/>
      <c r="K39" s="89"/>
      <c r="L39" s="89"/>
      <c r="M39" s="89"/>
      <c r="N39" s="89"/>
      <c r="O39" s="89"/>
      <c r="P39" s="89"/>
      <c r="Q39" s="89" t="n">
        <f aca="false">+'Datos ICP (2)'!AQ86</f>
        <v>-0.746250693705866</v>
      </c>
    </row>
    <row r="40" customFormat="false" ht="15" hidden="false" customHeight="false" outlineLevel="0" collapsed="false">
      <c r="C40" s="78"/>
      <c r="D40" s="79"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78"/>
      <c r="D41" s="79" t="s">
        <v>48</v>
      </c>
      <c r="E41" s="89" t="n">
        <f aca="false">+'Datos ICP (2)'!AE88</f>
        <v>0.00616094533001821</v>
      </c>
      <c r="F41" s="89" t="n">
        <f aca="false">+'Datos ICP (2)'!AF88</f>
        <v>0.00580281997097609</v>
      </c>
      <c r="G41" s="89" t="n">
        <f aca="false">+'Datos ICP (2)'!AG88</f>
        <v>0.0059777962023162</v>
      </c>
      <c r="H41" s="89" t="n">
        <f aca="false">+'Datos ICP (2)'!AH88</f>
        <v>0.00604087438713918</v>
      </c>
      <c r="I41" s="89"/>
      <c r="J41" s="89"/>
      <c r="K41" s="89"/>
      <c r="L41" s="89"/>
      <c r="M41" s="89"/>
      <c r="N41" s="89"/>
      <c r="O41" s="89"/>
      <c r="P41" s="89"/>
      <c r="Q41" s="89" t="n">
        <f aca="false">+'Datos ICP (2)'!AQ88</f>
        <v>0.0537826602132829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0"/>
      <c r="C1" s="91"/>
      <c r="J1" s="92" t="s">
        <v>50</v>
      </c>
      <c r="K1" s="90"/>
      <c r="L1" s="93"/>
      <c r="N1" s="92" t="s">
        <v>51</v>
      </c>
      <c r="O1" s="90"/>
      <c r="P1" s="93"/>
      <c r="R1" s="92" t="s">
        <v>52</v>
      </c>
      <c r="S1" s="90"/>
      <c r="T1" s="93"/>
    </row>
    <row r="2" customFormat="false" ht="15" hidden="false" customHeight="false" outlineLevel="0" collapsed="false">
      <c r="C2" s="91"/>
      <c r="O2" s="94" t="s">
        <v>53</v>
      </c>
      <c r="P2" s="95" t="n">
        <v>0</v>
      </c>
    </row>
    <row r="3" customFormat="false" ht="15" hidden="false" customHeight="false" outlineLevel="0" collapsed="false">
      <c r="C3" s="91"/>
      <c r="K3" s="94" t="s">
        <v>54</v>
      </c>
      <c r="L3" s="95" t="n">
        <v>0.2228</v>
      </c>
      <c r="O3" s="94" t="s">
        <v>55</v>
      </c>
      <c r="P3" s="95" t="n">
        <v>0</v>
      </c>
      <c r="S3" s="94" t="s">
        <v>56</v>
      </c>
      <c r="T3" s="95" t="n">
        <v>1</v>
      </c>
    </row>
    <row r="4" customFormat="false" ht="15" hidden="false" customHeight="false" outlineLevel="0" collapsed="false">
      <c r="C4" s="91"/>
      <c r="K4" s="94" t="s">
        <v>57</v>
      </c>
      <c r="L4" s="95" t="n">
        <v>0.4666</v>
      </c>
      <c r="O4" s="94" t="s">
        <v>58</v>
      </c>
      <c r="P4" s="95" t="n">
        <v>0</v>
      </c>
      <c r="S4" s="94" t="s">
        <v>59</v>
      </c>
      <c r="T4" s="95" t="n">
        <v>0</v>
      </c>
    </row>
    <row r="5" customFormat="false" ht="15" hidden="false" customHeight="false" outlineLevel="0" collapsed="false">
      <c r="A5" s="90"/>
      <c r="B5" s="90"/>
      <c r="C5" s="91"/>
      <c r="K5" s="94" t="s">
        <v>60</v>
      </c>
      <c r="L5" s="95" t="n">
        <v>0.3106</v>
      </c>
      <c r="O5" s="94" t="s">
        <v>61</v>
      </c>
      <c r="P5" s="95" t="n">
        <v>0.2617</v>
      </c>
    </row>
    <row r="6" customFormat="false" ht="15" hidden="false" customHeight="false" outlineLevel="0" collapsed="false">
      <c r="A6" s="90"/>
      <c r="B6" s="90"/>
      <c r="C6" s="91"/>
      <c r="K6" s="94" t="s">
        <v>62</v>
      </c>
      <c r="L6" s="95" t="n">
        <v>0</v>
      </c>
      <c r="O6" s="94" t="s">
        <v>63</v>
      </c>
      <c r="P6" s="95" t="n">
        <v>0.6388</v>
      </c>
    </row>
    <row r="7" customFormat="false" ht="15" hidden="false" customHeight="false" outlineLevel="0" collapsed="false">
      <c r="B7" s="90"/>
      <c r="C7" s="91"/>
      <c r="L7" s="96" t="n">
        <f aca="false">SUM(L3:L6)</f>
        <v>1</v>
      </c>
      <c r="O7" s="94" t="s">
        <v>64</v>
      </c>
      <c r="P7" s="95" t="n">
        <v>0.0995</v>
      </c>
      <c r="Q7" s="96"/>
    </row>
    <row r="8" customFormat="false" ht="15" hidden="false" customHeight="false" outlineLevel="0" collapsed="false">
      <c r="C8" s="91"/>
      <c r="O8" s="94" t="s">
        <v>65</v>
      </c>
      <c r="P8" s="95" t="n">
        <v>0</v>
      </c>
    </row>
    <row r="9" customFormat="false" ht="15" hidden="false" customHeight="false" outlineLevel="0" collapsed="false">
      <c r="C9" s="91"/>
      <c r="O9" s="94" t="s">
        <v>66</v>
      </c>
      <c r="P9" s="95" t="n">
        <v>0</v>
      </c>
    </row>
    <row r="10" customFormat="false" ht="15" hidden="false" customHeight="false" outlineLevel="0" collapsed="false">
      <c r="C10" s="91"/>
      <c r="O10" s="94" t="s">
        <v>67</v>
      </c>
      <c r="P10" s="95" t="n">
        <v>0</v>
      </c>
    </row>
    <row r="11" customFormat="false" ht="15" hidden="false" customHeight="false" outlineLevel="0" collapsed="false">
      <c r="C11" s="91"/>
      <c r="O11" s="94" t="s">
        <v>68</v>
      </c>
      <c r="P11" s="95" t="n">
        <v>0</v>
      </c>
    </row>
    <row r="12" customFormat="false" ht="15" hidden="true" customHeight="false" outlineLevel="0" collapsed="false">
      <c r="C12" s="91"/>
      <c r="O12" s="94"/>
      <c r="P12" s="95"/>
    </row>
    <row r="13" customFormat="false" ht="15" hidden="false" customHeight="false" outlineLevel="0" collapsed="false">
      <c r="C13" s="91"/>
      <c r="O13" s="94" t="s">
        <v>69</v>
      </c>
      <c r="P13" s="95" t="n">
        <v>0</v>
      </c>
    </row>
    <row r="14" customFormat="false" ht="15" hidden="true" customHeight="false" outlineLevel="0" collapsed="false">
      <c r="A14" s="90" t="s">
        <v>70</v>
      </c>
      <c r="B14" s="97" t="n">
        <v>0</v>
      </c>
      <c r="C14" s="91"/>
    </row>
    <row r="15" customFormat="false" ht="15" hidden="false" customHeight="false" outlineLevel="0" collapsed="false">
      <c r="A15" s="90"/>
      <c r="B15" s="97"/>
      <c r="C15" s="91"/>
      <c r="P15" s="96" t="n">
        <f aca="false">SUM(P2:P14)</f>
        <v>1</v>
      </c>
    </row>
    <row r="16" customFormat="false" ht="15" hidden="false" customHeight="false" outlineLevel="0" collapsed="false">
      <c r="B16" s="90"/>
      <c r="C16" s="91"/>
    </row>
    <row r="18" customFormat="false" ht="15" hidden="false" customHeight="false" outlineLevel="0" collapsed="false">
      <c r="C18" s="91"/>
    </row>
    <row r="19" customFormat="false" ht="15" hidden="false" customHeight="false" outlineLevel="0" collapsed="false">
      <c r="C19" s="91"/>
    </row>
    <row r="20" customFormat="false" ht="15" hidden="false" customHeight="false" outlineLevel="0" collapsed="false">
      <c r="C20" s="91"/>
    </row>
    <row r="21" customFormat="false" ht="15" hidden="false" customHeight="false" outlineLevel="0" collapsed="false">
      <c r="C21" s="91"/>
      <c r="N21" s="98"/>
      <c r="O21" s="99"/>
    </row>
    <row r="22" customFormat="false" ht="15" hidden="false" customHeight="false" outlineLevel="0" collapsed="false">
      <c r="A22" s="91"/>
      <c r="B22" s="91"/>
      <c r="C22" s="91"/>
    </row>
    <row r="23" customFormat="false" ht="15" hidden="false" customHeight="false" outlineLevel="0" collapsed="false">
      <c r="A23" s="91"/>
      <c r="B23" s="91"/>
      <c r="C23" s="91"/>
    </row>
    <row r="24" customFormat="false" ht="15" hidden="false" customHeight="false" outlineLevel="0" collapsed="false">
      <c r="A24" s="91"/>
      <c r="B24" s="91"/>
      <c r="C24" s="9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