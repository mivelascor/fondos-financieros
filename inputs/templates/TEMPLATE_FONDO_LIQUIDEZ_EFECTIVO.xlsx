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<sst xmlns="http://schemas.openxmlformats.org/spreadsheetml/2006/main" count="246" uniqueCount="71">
  <si>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</si>
  <si>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</si>
  <si>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</si>
  <si>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</si>
  <si>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</si>
  <si>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</si>
  <si>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</si>
  <si>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</si>
  <si>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</si>
  <si>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</si>
  <si>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</si>
  <si>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</si>
  <si>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</si>
  <si>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</si>
  <si>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</si>
  <si>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</si>
  <si>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</si>
  <si>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</si>
  <si>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</si>
  <si>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Efectivo</t>
  </si>
  <si>
    <t xml:space="preserve">8730-0</t>
  </si>
  <si>
    <t xml:space="preserve">Competencia Relevante</t>
  </si>
  <si>
    <t xml:space="preserve">SERIE E</t>
  </si>
  <si>
    <t xml:space="preserve">BCI EFICIENTE</t>
  </si>
  <si>
    <t xml:space="preserve">(*)</t>
  </si>
  <si>
    <t xml:space="preserve">Ingresar mes actual==&gt;</t>
  </si>
  <si>
    <t xml:space="preserve">Competencia</t>
  </si>
  <si>
    <t xml:space="preserve">FIP Liquidez Efectivo</t>
  </si>
  <si>
    <t xml:space="preserve">(*) Acum a Mar</t>
  </si>
  <si>
    <t xml:space="preserve">FONDO LIQUIDEZ EFECTIVO</t>
  </si>
  <si>
    <t xml:space="preserve">Alto Apo.</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</si>
  <si>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</si>
  <si>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</si>
  <si>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</si>
  <si>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</si>
  <si>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</si>
  <si>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</si>
  <si>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</si>
  <si>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EFECTIVO</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</si>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</sst>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7">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 numFmtId="180" formatCode="0"/>
  </numFmts>
  <fonts count="42">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b val="true"/>
      <sz val="18"/>
      <color rgb="FF000000"/>
      <name val="Be Vietnam Pro Light"/>
      <family val="2"/>
    </font>
    <font>
      <sz val="12"/>
      <color rgb="FF000000"/>
      <name val="Aileron"/>
      <family val="2"/>
    </font>
    <font>
      <b val="true"/>
      <sz val="10"/>
      <color rgb="FF000000"/>
      <name val="Calibri"/>
      <family val="2"/>
    </font>
    <font>
      <sz val="14"/>
      <color rgb="FF000000"/>
      <name val="Aileron"/>
      <family val="2"/>
    </font>
    <font>
      <sz val="9"/>
      <color theme="1"/>
      <name val="Be Vietnam Pro Medium"/>
      <family val="0"/>
      <charset val="1"/>
    </font>
    <font>
      <sz val="10"/>
      <color theme="1"/>
      <name val="Be Vietnam Pro Medium"/>
      <family val="0"/>
      <charset val="1"/>
    </font>
    <font>
      <sz val="11"/>
      <color theme="1"/>
      <name val="Be Vietnam Pro Light"/>
      <family val="0"/>
      <charset val="1"/>
    </font>
    <font>
      <sz val="11"/>
      <name val="Acumin Pro Extra Light"/>
      <family val="2"/>
      <charset val="1"/>
    </font>
    <font>
      <sz val="11"/>
      <name val="Calibri"/>
      <family val="2"/>
      <charset val="1"/>
    </font>
    <font>
      <b val="true"/>
      <sz val="11"/>
      <name val="Be Vietnam Pro Light"/>
      <family val="0"/>
      <charset val="1"/>
    </font>
    <font>
      <sz val="11"/>
      <name val="Be Vietnam Pro Light"/>
      <family val="0"/>
      <charset val="1"/>
    </font>
    <font>
      <b val="true"/>
      <sz val="11"/>
      <name val="Acumin Pro Extra Light"/>
      <family val="2"/>
      <charset val="1"/>
    </font>
    <font>
      <sz val="10"/>
      <color theme="0"/>
      <name val="Be Vietnam Pro Light"/>
      <family val="0"/>
      <charset val="1"/>
    </font>
    <font>
      <u val="single"/>
      <sz val="11"/>
      <color theme="1"/>
      <name val="Be Vietnam Pro Light"/>
      <family val="0"/>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4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41" applyFont="true" applyBorder="false" applyAlignment="false" applyProtection="false">
      <alignment horizontal="general" vertical="bottom" textRotation="0" wrapText="false" indent="0" shrinkToFit="false"/>
      <protection locked="true" hidden="false"/>
    </xf>
    <xf numFmtId="167" fontId="7" fillId="0" borderId="0" xfId="41" applyFont="true" applyBorder="false" applyAlignment="false" applyProtection="false">
      <alignment horizontal="general" vertical="bottom" textRotation="0" wrapText="false" indent="0" shrinkToFit="false"/>
      <protection locked="true" hidden="false"/>
    </xf>
    <xf numFmtId="168" fontId="7" fillId="0" borderId="0" xfId="41" applyFont="true" applyBorder="false" applyAlignment="false" applyProtection="false">
      <alignment horizontal="general" vertical="bottom" textRotation="0" wrapText="false" indent="0" shrinkToFit="false"/>
      <protection locked="true" hidden="false"/>
    </xf>
    <xf numFmtId="164" fontId="7" fillId="2" borderId="0" xfId="41" applyFont="true" applyBorder="false" applyAlignment="false" applyProtection="false">
      <alignment horizontal="general" vertical="bottom" textRotation="0" wrapText="false" indent="0" shrinkToFit="false"/>
      <protection locked="true" hidden="false"/>
    </xf>
    <xf numFmtId="164" fontId="8" fillId="3" borderId="0" xfId="41" applyFont="true" applyBorder="false" applyAlignment="false" applyProtection="false">
      <alignment horizontal="general" vertical="bottom" textRotation="0" wrapText="false" indent="0" shrinkToFit="false"/>
      <protection locked="true" hidden="false"/>
    </xf>
    <xf numFmtId="164" fontId="9" fillId="3" borderId="0" xfId="41" applyFont="true" applyBorder="false" applyAlignment="true" applyProtection="false">
      <alignment horizontal="center" vertical="bottom" textRotation="0" wrapText="false" indent="0" shrinkToFit="false"/>
      <protection locked="true" hidden="false"/>
    </xf>
    <xf numFmtId="164" fontId="7" fillId="4" borderId="0" xfId="41" applyFont="true" applyBorder="false" applyAlignment="false" applyProtection="false">
      <alignment horizontal="general" vertical="bottom" textRotation="0" wrapText="false" indent="0" shrinkToFit="false"/>
      <protection locked="true" hidden="false"/>
    </xf>
    <xf numFmtId="164" fontId="7" fillId="0" borderId="0" xfId="41" applyFont="true" applyBorder="false" applyAlignment="true" applyProtection="false">
      <alignment horizontal="center" vertical="bottom" textRotation="0" wrapText="false" indent="0" shrinkToFit="false"/>
      <protection locked="true" hidden="false"/>
    </xf>
    <xf numFmtId="167" fontId="7" fillId="0" borderId="0" xfId="41" applyFont="true" applyBorder="false" applyAlignment="true" applyProtection="false">
      <alignment horizontal="center" vertical="bottom" textRotation="0" wrapText="false" indent="0" shrinkToFit="false"/>
      <protection locked="true" hidden="false"/>
    </xf>
    <xf numFmtId="164" fontId="7" fillId="0" borderId="1" xfId="42" applyFont="true" applyBorder="true" applyAlignment="false" applyProtection="false">
      <alignment horizontal="general" vertical="bottom" textRotation="0" wrapText="false" indent="0" shrinkToFit="false"/>
      <protection locked="true" hidden="false"/>
    </xf>
    <xf numFmtId="169" fontId="7" fillId="0" borderId="0" xfId="44" applyFont="true" applyBorder="false" applyAlignment="false" applyProtection="false">
      <alignment horizontal="general" vertical="bottom" textRotation="0" wrapText="false" indent="0" shrinkToFit="false"/>
      <protection locked="true" hidden="false"/>
    </xf>
    <xf numFmtId="164" fontId="9" fillId="2" borderId="0" xfId="41" applyFont="true" applyBorder="false" applyAlignment="true" applyProtection="false">
      <alignment horizontal="center" vertical="bottom" textRotation="0" wrapText="false" indent="0" shrinkToFit="false"/>
      <protection locked="true" hidden="false"/>
    </xf>
    <xf numFmtId="169" fontId="10" fillId="2" borderId="0" xfId="43" applyFont="true" applyBorder="false" applyAlignment="true" applyProtection="false">
      <alignment horizontal="center" vertical="bottom" textRotation="0" wrapText="false" indent="0" shrinkToFit="false"/>
      <protection locked="true" hidden="false"/>
    </xf>
    <xf numFmtId="169" fontId="11" fillId="2" borderId="0" xfId="43" applyFont="true" applyBorder="false" applyAlignment="true" applyProtection="false">
      <alignment horizontal="center" vertical="bottom" textRotation="0" wrapText="false" indent="0" shrinkToFit="false"/>
      <protection locked="true" hidden="false"/>
    </xf>
    <xf numFmtId="170" fontId="7" fillId="0" borderId="0" xfId="41" applyFont="true" applyBorder="false" applyAlignment="false" applyProtection="false">
      <alignment horizontal="general" vertical="bottom" textRotation="0" wrapText="false" indent="0" shrinkToFit="false"/>
      <protection locked="true" hidden="false"/>
    </xf>
    <xf numFmtId="171" fontId="7" fillId="0" borderId="0" xfId="41" applyFont="true" applyBorder="false" applyAlignment="false" applyProtection="false">
      <alignment horizontal="general" vertical="bottom" textRotation="0" wrapText="false" indent="0" shrinkToFit="false"/>
      <protection locked="true" hidden="false"/>
    </xf>
    <xf numFmtId="172" fontId="7" fillId="0" borderId="0" xfId="41" applyFont="true" applyBorder="false" applyAlignment="false" applyProtection="false">
      <alignment horizontal="general" vertical="bottom" textRotation="0" wrapText="false" indent="0" shrinkToFit="false"/>
      <protection locked="true" hidden="false"/>
    </xf>
    <xf numFmtId="173" fontId="7" fillId="0" borderId="0" xfId="41" applyFont="true" applyBorder="false" applyAlignment="false" applyProtection="false">
      <alignment horizontal="general" vertical="bottom" textRotation="0" wrapText="false" indent="0" shrinkToFit="false"/>
      <protection locked="true" hidden="false"/>
    </xf>
    <xf numFmtId="164" fontId="9" fillId="4" borderId="0" xfId="41" applyFont="true" applyBorder="false" applyAlignment="true" applyProtection="false">
      <alignment horizontal="center" vertical="bottom" textRotation="0" wrapText="false" indent="0" shrinkToFit="false"/>
      <protection locked="true" hidden="false"/>
    </xf>
    <xf numFmtId="169" fontId="10" fillId="4" borderId="0" xfId="43" applyFont="true" applyBorder="false" applyAlignment="true" applyProtection="false">
      <alignment horizontal="center" vertical="bottom" textRotation="0" wrapText="false" indent="0" shrinkToFit="false"/>
      <protection locked="true" hidden="false"/>
    </xf>
    <xf numFmtId="169" fontId="11" fillId="4" borderId="0" xfId="43" applyFont="true" applyBorder="false" applyAlignment="true" applyProtection="false">
      <alignment horizontal="center" vertical="bottom" textRotation="0" wrapText="false" indent="0" shrinkToFit="false"/>
      <protection locked="true" hidden="false"/>
    </xf>
    <xf numFmtId="174" fontId="7" fillId="0" borderId="0" xfId="41" applyFont="true" applyBorder="false" applyAlignment="false" applyProtection="false">
      <alignment horizontal="general" vertical="bottom" textRotation="0" wrapText="false" indent="0" shrinkToFit="false"/>
      <protection locked="true" hidden="false"/>
    </xf>
    <xf numFmtId="169" fontId="7" fillId="0" borderId="0" xfId="43" applyFont="true" applyBorder="false" applyAlignment="false" applyProtection="false">
      <alignment horizontal="general" vertical="bottom" textRotation="0" wrapText="false" indent="0" shrinkToFit="false"/>
      <protection locked="true" hidden="false"/>
    </xf>
    <xf numFmtId="164" fontId="10" fillId="4" borderId="0" xfId="41" applyFont="true" applyBorder="false" applyAlignment="true" applyProtection="false">
      <alignment horizontal="left" vertical="bottom" textRotation="0" wrapText="false" indent="0" shrinkToFit="false"/>
      <protection locked="true" hidden="false"/>
    </xf>
    <xf numFmtId="169" fontId="10" fillId="0" borderId="0" xfId="43" applyFont="true" applyBorder="false" applyAlignment="true" applyProtection="false">
      <alignment horizontal="center" vertical="bottom" textRotation="0" wrapText="false" indent="0" shrinkToFit="false"/>
      <protection locked="true" hidden="false"/>
    </xf>
    <xf numFmtId="175" fontId="7" fillId="2" borderId="0" xfId="41" applyFont="true" applyBorder="false" applyAlignment="false" applyProtection="false">
      <alignment horizontal="general" vertical="bottom" textRotation="0" wrapText="false" indent="0" shrinkToFit="false"/>
      <protection locked="true" hidden="false"/>
    </xf>
    <xf numFmtId="172" fontId="7" fillId="2" borderId="0" xfId="41" applyFont="true" applyBorder="false" applyAlignment="false" applyProtection="false">
      <alignment horizontal="general" vertical="bottom" textRotation="0" wrapText="false" indent="0" shrinkToFit="false"/>
      <protection locked="true" hidden="false"/>
    </xf>
    <xf numFmtId="164" fontId="7" fillId="2" borderId="0" xfId="41" applyFont="true" applyBorder="false" applyAlignment="true" applyProtection="false">
      <alignment horizontal="right" vertical="bottom" textRotation="0" wrapText="false" indent="0" shrinkToFit="false"/>
      <protection locked="true" hidden="false"/>
    </xf>
    <xf numFmtId="170" fontId="7" fillId="5" borderId="0" xfId="41" applyFont="true" applyBorder="false" applyAlignment="false" applyProtection="false">
      <alignment horizontal="general" vertical="bottom" textRotation="0" wrapText="false" indent="0" shrinkToFit="false"/>
      <protection locked="true" hidden="false"/>
    </xf>
    <xf numFmtId="170" fontId="7" fillId="2" borderId="0" xfId="41" applyFont="true" applyBorder="false" applyAlignment="false" applyProtection="false">
      <alignment horizontal="general" vertical="bottom" textRotation="0" wrapText="false" indent="0" shrinkToFit="false"/>
      <protection locked="true" hidden="false"/>
    </xf>
    <xf numFmtId="171" fontId="7" fillId="2" borderId="0" xfId="41" applyFont="true" applyBorder="false" applyAlignment="false" applyProtection="false">
      <alignment horizontal="general" vertical="bottom" textRotation="0" wrapText="false" indent="0" shrinkToFit="false"/>
      <protection locked="true" hidden="false"/>
    </xf>
    <xf numFmtId="164" fontId="7" fillId="0" borderId="0" xfId="41" applyFont="true" applyBorder="false" applyAlignment="true" applyProtection="false">
      <alignment horizontal="right"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41" applyFont="true" applyBorder="false" applyAlignment="true" applyProtection="false">
      <alignment horizontal="right" vertical="bottom" textRotation="0" wrapText="false" indent="0" shrinkToFit="false"/>
      <protection locked="true" hidden="false"/>
    </xf>
    <xf numFmtId="164" fontId="12" fillId="4" borderId="0" xfId="41" applyFont="true" applyBorder="false" applyAlignment="true" applyProtection="false">
      <alignment horizontal="center" vertical="bottom" textRotation="0" wrapText="false" indent="0" shrinkToFit="false"/>
      <protection locked="true" hidden="false"/>
    </xf>
    <xf numFmtId="164" fontId="13" fillId="2" borderId="0" xfId="41" applyFont="true" applyBorder="false" applyAlignment="true" applyProtection="false">
      <alignment horizontal="center" vertical="bottom" textRotation="0" wrapText="false" indent="0" shrinkToFit="false"/>
      <protection locked="true" hidden="false"/>
    </xf>
    <xf numFmtId="164" fontId="13" fillId="4" borderId="0" xfId="41" applyFont="true" applyBorder="false" applyAlignment="true" applyProtection="false">
      <alignment horizontal="center" vertical="bottom" textRotation="0" wrapText="false" indent="0" shrinkToFit="false"/>
      <protection locked="true" hidden="false"/>
    </xf>
    <xf numFmtId="164" fontId="9" fillId="0" borderId="0" xfId="41"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41" applyFont="true" applyBorder="true" applyAlignment="true" applyProtection="false">
      <alignment horizontal="center" vertical="center" textRotation="0" wrapText="false" indent="0" shrinkToFit="false"/>
      <protection locked="true" hidden="false"/>
    </xf>
    <xf numFmtId="169" fontId="14" fillId="2" borderId="0" xfId="43" applyFont="true" applyBorder="false" applyAlignment="true" applyProtection="false">
      <alignment horizontal="center" vertical="bottom" textRotation="0" wrapText="false" indent="0" shrinkToFit="false"/>
      <protection locked="true" hidden="false"/>
    </xf>
    <xf numFmtId="169" fontId="14" fillId="4" borderId="0" xfId="43" applyFont="true" applyBorder="false" applyAlignment="true" applyProtection="false">
      <alignment horizontal="center" vertical="bottom" textRotation="0" wrapText="false" indent="0" shrinkToFit="false"/>
      <protection locked="true" hidden="false"/>
    </xf>
    <xf numFmtId="164" fontId="15" fillId="4" borderId="0" xfId="41"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43" applyFont="true" applyBorder="false" applyAlignment="true" applyProtection="false">
      <alignment horizontal="center" vertical="bottom" textRotation="0" wrapText="false" indent="0" shrinkToFit="false"/>
      <protection locked="true" hidden="false"/>
    </xf>
    <xf numFmtId="178" fontId="7" fillId="0" borderId="0" xfId="45" applyFont="true" applyBorder="false" applyAlignment="false" applyProtection="false">
      <alignment horizontal="general" vertical="bottom" textRotation="0" wrapText="false" indent="0" shrinkToFit="false"/>
      <protection locked="true" hidden="false"/>
    </xf>
    <xf numFmtId="164" fontId="10" fillId="0" borderId="0" xfId="41" applyFont="true" applyBorder="false" applyAlignment="true" applyProtection="false">
      <alignment horizontal="left" vertical="bottom" textRotation="0" wrapText="false" indent="0" shrinkToFit="false"/>
      <protection locked="true" hidden="false"/>
    </xf>
    <xf numFmtId="164" fontId="16" fillId="3" borderId="0" xfId="41" applyFont="true" applyBorder="false" applyAlignment="true" applyProtection="false">
      <alignment horizontal="center" vertical="bottom" textRotation="0" wrapText="false" indent="0" shrinkToFit="false"/>
      <protection locked="true" hidden="false"/>
    </xf>
    <xf numFmtId="164" fontId="17" fillId="3" borderId="0" xfId="41" applyFont="true" applyBorder="false" applyAlignment="true" applyProtection="false">
      <alignment horizontal="center" vertical="bottom" textRotation="0" wrapText="false" indent="0" shrinkToFit="false"/>
      <protection locked="true" hidden="false"/>
    </xf>
    <xf numFmtId="164" fontId="18" fillId="4" borderId="0" xfId="41" applyFont="true" applyBorder="false" applyAlignment="true" applyProtection="false">
      <alignment horizontal="left" vertical="bottom" textRotation="0" wrapText="false" indent="0" shrinkToFit="false"/>
      <protection locked="true" hidden="false"/>
    </xf>
    <xf numFmtId="164" fontId="17" fillId="6" borderId="0" xfId="41" applyFont="true" applyBorder="false" applyAlignment="true" applyProtection="false">
      <alignment horizontal="center" vertical="bottom" textRotation="0" wrapText="false" indent="0" shrinkToFit="false"/>
      <protection locked="true" hidden="false"/>
    </xf>
    <xf numFmtId="169" fontId="19" fillId="6" borderId="0" xfId="43" applyFont="true" applyBorder="false" applyAlignment="true" applyProtection="false">
      <alignment horizontal="center" vertical="bottom" textRotation="0" wrapText="false" indent="0" shrinkToFit="false"/>
      <protection locked="true" hidden="false"/>
    </xf>
    <xf numFmtId="169" fontId="17" fillId="2" borderId="0" xfId="43" applyFont="true" applyBorder="false" applyAlignment="true" applyProtection="false">
      <alignment horizontal="center" vertical="bottom" textRotation="0" wrapText="false" indent="0" shrinkToFit="false"/>
      <protection locked="true" hidden="false"/>
    </xf>
    <xf numFmtId="164" fontId="17" fillId="2" borderId="0" xfId="41" applyFont="true" applyBorder="false" applyAlignment="true" applyProtection="false">
      <alignment horizontal="center" vertical="bottom" textRotation="0" wrapText="false" indent="0" shrinkToFit="false"/>
      <protection locked="true" hidden="false"/>
    </xf>
    <xf numFmtId="169" fontId="19" fillId="2" borderId="0" xfId="43" applyFont="true" applyBorder="false" applyAlignment="true" applyProtection="false">
      <alignment horizontal="center" vertical="bottom" textRotation="0" wrapText="false" indent="0" shrinkToFit="false"/>
      <protection locked="true" hidden="false"/>
    </xf>
    <xf numFmtId="164" fontId="16" fillId="6" borderId="0" xfId="41" applyFont="true" applyBorder="false" applyAlignment="true" applyProtection="false">
      <alignment horizontal="center" vertical="center" textRotation="0" wrapText="false" indent="0" shrinkToFit="false"/>
      <protection locked="true" hidden="false"/>
    </xf>
    <xf numFmtId="164" fontId="16" fillId="2" borderId="0" xfId="41" applyFont="true" applyBorder="false" applyAlignment="true" applyProtection="false">
      <alignment horizontal="center" vertical="center" textRotation="0" wrapText="false" indent="0" shrinkToFit="false"/>
      <protection locked="true" hidden="false"/>
    </xf>
    <xf numFmtId="169" fontId="7" fillId="0" borderId="0" xfId="41" applyFont="true" applyBorder="false" applyAlignment="false" applyProtection="false">
      <alignment horizontal="general" vertical="bottom" textRotation="0" wrapText="false" indent="0" shrinkToFit="false"/>
      <protection locked="true" hidden="false"/>
    </xf>
    <xf numFmtId="164" fontId="16" fillId="2" borderId="0" xfId="41"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43" applyFont="true" applyBorder="false" applyAlignment="false" applyProtection="false">
      <alignment horizontal="general" vertical="bottom" textRotation="0" wrapText="false" indent="0" shrinkToFit="false"/>
      <protection locked="true" hidden="false"/>
    </xf>
    <xf numFmtId="173" fontId="7" fillId="5" borderId="0" xfId="41" applyFont="true" applyBorder="false" applyAlignment="false" applyProtection="false">
      <alignment horizontal="general" vertical="bottom" textRotation="0" wrapText="false" indent="0" shrinkToFit="false"/>
      <protection locked="true" hidden="false"/>
    </xf>
    <xf numFmtId="164" fontId="20" fillId="0" borderId="0" xfId="41" applyFont="true" applyBorder="false" applyAlignment="false" applyProtection="false">
      <alignment horizontal="general" vertical="bottom" textRotation="0" wrapText="false" indent="0" shrinkToFit="false"/>
      <protection locked="true" hidden="false"/>
    </xf>
    <xf numFmtId="165" fontId="7" fillId="0" borderId="0" xfId="45" applyFont="true" applyBorder="false" applyAlignment="false" applyProtection="false">
      <alignment horizontal="general" vertical="bottom" textRotation="0" wrapText="false" indent="0" shrinkToFit="false"/>
      <protection locked="true" hidden="false"/>
    </xf>
    <xf numFmtId="165" fontId="7" fillId="0" borderId="0" xfId="41" applyFont="true" applyBorder="false" applyAlignment="false" applyProtection="false">
      <alignment horizontal="general" vertical="bottom" textRotation="0" wrapText="false" indent="0" shrinkToFit="false"/>
      <protection locked="true" hidden="false"/>
    </xf>
    <xf numFmtId="167" fontId="21" fillId="7" borderId="2" xfId="0" applyFont="true" applyBorder="tru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64" fontId="22" fillId="8" borderId="3" xfId="0" applyFont="true" applyBorder="true" applyAlignment="true" applyProtection="false">
      <alignment horizontal="general" vertical="bottom" textRotation="0" wrapText="true" indent="0" shrinkToFit="false"/>
      <protection locked="true" hidden="false"/>
    </xf>
    <xf numFmtId="167" fontId="21" fillId="0" borderId="2" xfId="0" applyFont="true" applyBorder="true" applyAlignment="false" applyProtection="false">
      <alignment horizontal="general" vertical="bottom" textRotation="0" wrapText="false" indent="0" shrinkToFit="false"/>
      <protection locked="true" hidden="false"/>
    </xf>
    <xf numFmtId="164" fontId="22" fillId="8" borderId="3" xfId="0" applyFont="true" applyBorder="true" applyAlignment="false" applyProtection="false">
      <alignment horizontal="general" vertical="bottom" textRotation="0" wrapText="false" indent="0" shrinkToFit="false"/>
      <protection locked="true" hidden="false"/>
    </xf>
    <xf numFmtId="179" fontId="23" fillId="7"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77" fontId="6" fillId="0" borderId="0" xfId="19" applyFont="true" applyBorder="false" applyAlignment="false" applyProtection="false">
      <alignment horizontal="general" vertical="bottom" textRotation="0" wrapText="false" indent="0" shrinkToFit="false"/>
      <protection locked="true" hidden="false"/>
    </xf>
    <xf numFmtId="169" fontId="6" fillId="0" borderId="0" xfId="19" applyFont="tru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40" fillId="9" borderId="0" xfId="0" applyFont="true" applyBorder="false" applyAlignment="true" applyProtection="false">
      <alignment horizontal="general" vertical="center" textRotation="0" wrapText="false" indent="0" shrinkToFit="false"/>
      <protection locked="true" hidden="false"/>
    </xf>
    <xf numFmtId="169" fontId="40" fillId="9" borderId="0" xfId="0" applyFont="true" applyBorder="false" applyAlignment="true" applyProtection="false">
      <alignment horizontal="general" vertical="center" textRotation="0" wrapText="false" indent="0" shrinkToFit="false"/>
      <protection locked="true" hidden="false"/>
    </xf>
    <xf numFmtId="169" fontId="34"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5"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70" fontId="34" fillId="0" borderId="0" xfId="0" applyFont="true" applyBorder="false" applyAlignment="false" applyProtection="false">
      <alignment horizontal="general" vertical="bottom" textRotation="0" wrapText="false" indent="0" shrinkToFit="false"/>
      <protection locked="true" hidden="false"/>
    </xf>
  </cellXfs>
  <cellStyles count="3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2" xfId="21"/>
    <cellStyle name="Millares [0] 2 2 2" xfId="22"/>
    <cellStyle name="Millares [0] 2 2 3" xfId="23"/>
    <cellStyle name="Millares [0] 2 2 4" xfId="24"/>
    <cellStyle name="Millares [0] 2 3" xfId="25"/>
    <cellStyle name="Millares [0] 2 3 2" xfId="26"/>
    <cellStyle name="Millares [0] 2 4" xfId="27"/>
    <cellStyle name="Millares [0] 2 5" xfId="28"/>
    <cellStyle name="Millares [0] 2 6" xfId="29"/>
    <cellStyle name="Millares [0] 2 7" xfId="30"/>
    <cellStyle name="Millares [0] 2 8" xfId="31"/>
    <cellStyle name="Millares [0] 2 9" xfId="32"/>
    <cellStyle name="Millares [0] 3" xfId="33"/>
    <cellStyle name="Millares [0] 3 2" xfId="34"/>
    <cellStyle name="Millares [0] 3 3" xfId="35"/>
    <cellStyle name="Millares [0] 4" xfId="36"/>
    <cellStyle name="Millares [0] 4 2" xfId="37"/>
    <cellStyle name="Millares [0] 5" xfId="38"/>
    <cellStyle name="Millares [0] 6" xfId="39"/>
    <cellStyle name="Millares [0] 7" xfId="40"/>
    <cellStyle name="Normal 2" xfId="41"/>
    <cellStyle name="Normal 54" xfId="42"/>
    <cellStyle name="Porcentaje 2" xfId="43"/>
    <cellStyle name="Porcentaje 29" xfId="44"/>
    <cellStyle name="Excel Built-in Comma [0]" xfId="4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Efectivo</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34582867"/>
        <c:axId val="29806757"/>
      </c:lineChart>
      <c:dateAx>
        <c:axId val="34582867"/>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29806757"/>
        <c:crosses val="autoZero"/>
        <c:auto val="1"/>
        <c:lblOffset val="100"/>
        <c:baseTimeUnit val="months"/>
        <c:majorUnit val="6"/>
        <c:majorTimeUnit val="months"/>
        <c:minorUnit val="6"/>
        <c:minorTimeUnit val="months"/>
        <c:noMultiLvlLbl val="0"/>
      </c:dateAx>
      <c:valAx>
        <c:axId val="29806757"/>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34582867"/>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Be Vietnam Pro Light"/>
              </a:defRPr>
            </a:pPr>
            <a:r>
              <a:rPr b="1" lang="en-US" sz="1800" spc="-1" strike="noStrike">
                <a:solidFill>
                  <a:srgbClr val="000000"/>
                </a:solidFill>
                <a:latin typeface="Be Vietnam Pro Light"/>
              </a:rPr>
              <a:t>FIP Liquidez Efectivo</a:t>
            </a:r>
          </a:p>
        </c:rich>
      </c:tx>
      <c:layout>
        <c:manualLayout>
          <c:xMode val="edge"/>
          <c:yMode val="edge"/>
          <c:x val="0.368627913374995"/>
          <c:y val="0.0418157246203991"/>
        </c:manualLayout>
      </c:layout>
      <c:overlay val="0"/>
      <c:spPr>
        <a:noFill/>
        <a:ln w="0">
          <a:noFill/>
        </a:ln>
      </c:spPr>
    </c:title>
    <c:autoTitleDeleted val="0"/>
    <c:plotArea>
      <c:layout>
        <c:manualLayout>
          <c:layoutTarget val="inner"/>
          <c:xMode val="edge"/>
          <c:yMode val="edge"/>
          <c:x val="0.0934638210902802"/>
          <c:y val="0.167262898481596"/>
          <c:w val="0.869355028888103"/>
          <c:h val="0.783369107242229"/>
        </c:manualLayout>
      </c:layout>
      <c:lineChart>
        <c:grouping val="standard"/>
        <c:varyColors val="0"/>
        <c:ser>
          <c:idx val="0"/>
          <c:order val="0"/>
          <c:tx>
            <c:strRef>
              <c:f>'Datos ICP (2)'!$D$2</c:f>
              <c:strCache>
                <c:ptCount val="1"/>
                <c:pt idx="0">
                  <c:v>ICP Norm.</c:v>
                </c:pt>
              </c:strCache>
            </c:strRef>
          </c:tx>
          <c:spPr>
            <a:solidFill>
              <a:srgbClr val="bfbfbf"/>
            </a:solidFill>
            <a:ln w="38160">
              <a:solidFill>
                <a:srgbClr val="bfbfbf"/>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(2)'!$A$186:$A$244</c:f>
              <c:numCache>
                <c:formatCode>m/d/yyyy</c:formatCode>
                <c:ptCount val="59"/>
                <c:pt idx="0">
                  <c:v>2/19/2021</c:v>
                </c:pt>
                <c:pt idx="1">
                  <c:v>2/28/2021</c:v>
                </c:pt>
                <c:pt idx="2">
                  <c:v>3/31/2021</c:v>
                </c:pt>
                <c:pt idx="3">
                  <c:v>4/30/2021</c:v>
                </c:pt>
                <c:pt idx="4">
                  <c:v>5/31/2021</c:v>
                </c:pt>
                <c:pt idx="5">
                  <c:v>6/30/2021</c:v>
                </c:pt>
                <c:pt idx="6">
                  <c:v>7/31/2021</c:v>
                </c:pt>
                <c:pt idx="7">
                  <c:v>8/31/2021</c:v>
                </c:pt>
                <c:pt idx="8">
                  <c:v>9/30/2021</c:v>
                </c:pt>
                <c:pt idx="9">
                  <c:v>10/31/2021</c:v>
                </c:pt>
                <c:pt idx="10">
                  <c:v>11/30/2021</c:v>
                </c:pt>
                <c:pt idx="11">
                  <c:v>12/31/2021</c:v>
                </c:pt>
                <c:pt idx="12">
                  <c:v>1/31/2022</c:v>
                </c:pt>
                <c:pt idx="13">
                  <c:v>2/28/2022</c:v>
                </c:pt>
                <c:pt idx="14">
                  <c:v>3/31/2022</c:v>
                </c:pt>
                <c:pt idx="15">
                  <c:v>4/30/2022</c:v>
                </c:pt>
                <c:pt idx="16">
                  <c:v>5/31/2022</c:v>
                </c:pt>
                <c:pt idx="17">
                  <c:v>6/30/2022</c:v>
                </c:pt>
                <c:pt idx="18">
                  <c:v>7/31/2022</c:v>
                </c:pt>
                <c:pt idx="19">
                  <c:v>8/31/2022</c:v>
                </c:pt>
                <c:pt idx="20">
                  <c:v>9/30/2022</c:v>
                </c:pt>
                <c:pt idx="21">
                  <c:v>10/28/2022</c:v>
                </c:pt>
                <c:pt idx="22">
                  <c:v>11/30/2022</c:v>
                </c:pt>
                <c:pt idx="23">
                  <c:v>12/30/2022</c:v>
                </c:pt>
                <c:pt idx="24">
                  <c:v>1/31/2023</c:v>
                </c:pt>
                <c:pt idx="25">
                  <c:v>2/28/2023</c:v>
                </c:pt>
                <c:pt idx="26">
                  <c:v>3/31/2023</c:v>
                </c:pt>
                <c:pt idx="27">
                  <c:v>4/28/2023</c:v>
                </c:pt>
                <c:pt idx="28">
                  <c:v>5/31/2023</c:v>
                </c:pt>
                <c:pt idx="29">
                  <c:v>6/30/2023</c:v>
                </c:pt>
                <c:pt idx="30">
                  <c:v>7/31/2023</c:v>
                </c:pt>
                <c:pt idx="31">
                  <c:v>8/31/2023</c:v>
                </c:pt>
                <c:pt idx="32">
                  <c:v>9/30/2023</c:v>
                </c:pt>
                <c:pt idx="33">
                  <c:v>10/31/2023</c:v>
                </c:pt>
                <c:pt idx="34">
                  <c:v>11/30/2023</c:v>
                </c:pt>
                <c:pt idx="35">
                  <c:v>12/31/2023</c:v>
                </c:pt>
                <c:pt idx="36">
                  <c:v>1/31/2024</c:v>
                </c:pt>
                <c:pt idx="37">
                  <c:v>2/29/2024</c:v>
                </c:pt>
                <c:pt idx="38">
                  <c:v>3/28/2024</c:v>
                </c:pt>
                <c:pt idx="39">
                  <c:v>4/30/2024</c:v>
                </c:pt>
                <c:pt idx="40">
                  <c:v>5/31/2024</c:v>
                </c:pt>
                <c:pt idx="41">
                  <c:v>6/30/2024</c:v>
                </c:pt>
                <c:pt idx="42">
                  <c:v>7/31/2024</c:v>
                </c:pt>
                <c:pt idx="43">
                  <c:v>8/31/2024</c:v>
                </c:pt>
                <c:pt idx="44">
                  <c:v>9/30/2024</c:v>
                </c:pt>
                <c:pt idx="45">
                  <c:v>10/31/2024</c:v>
                </c:pt>
                <c:pt idx="46">
                  <c:v>11/30/2024</c:v>
                </c:pt>
                <c:pt idx="47">
                  <c:v>12/31/2024</c:v>
                </c:pt>
                <c:pt idx="48">
                  <c:v>1/31/2025</c:v>
                </c:pt>
                <c:pt idx="49">
                  <c:v>2/28/2025</c:v>
                </c:pt>
                <c:pt idx="50">
                  <c:v>3/31/2025</c:v>
                </c:pt>
                <c:pt idx="51">
                  <c:v>4/30/2025</c:v>
                </c:pt>
                <c:pt idx="52">
                  <c:v>5/31/2025</c:v>
                </c:pt>
                <c:pt idx="53">
                  <c:v>6/30/2025</c:v>
                </c:pt>
                <c:pt idx="54">
                  <c:v>7/31/2025</c:v>
                </c:pt>
                <c:pt idx="55">
                  <c:v>8/31/2025</c:v>
                </c:pt>
                <c:pt idx="56">
                  <c:v>9/30/2025</c:v>
                </c:pt>
                <c:pt idx="57">
                  <c:v>10/31/2025</c:v>
                </c:pt>
                <c:pt idx="58">
                  <c:v>11/30/2025</c:v>
                </c:pt>
              </c:numCache>
            </c:numRef>
          </c:cat>
          <c:val>
            <c:numRef>
              <c:f>'Datos ICP (2)'!$D$186:$D$244</c:f>
              <c:numCache>
                <c:formatCode>0.00</c:formatCode>
                <c:ptCount val="59"/>
                <c:pt idx="0">
                  <c:v>100</c:v>
                </c:pt>
                <c:pt idx="1">
                  <c:v>100.029232310589</c:v>
                </c:pt>
                <c:pt idx="2">
                  <c:v>100.054316776342</c:v>
                </c:pt>
                <c:pt idx="3">
                  <c:v>100.083766984634</c:v>
                </c:pt>
                <c:pt idx="4">
                  <c:v>100.107270728686</c:v>
                </c:pt>
                <c:pt idx="5">
                  <c:v>100.134560690235</c:v>
                </c:pt>
                <c:pt idx="6">
                  <c:v>100.183199294018</c:v>
                </c:pt>
                <c:pt idx="7">
                  <c:v>100.244175005479</c:v>
                </c:pt>
                <c:pt idx="8">
                  <c:v>100.369240655557</c:v>
                </c:pt>
                <c:pt idx="9">
                  <c:v>100.570466619979</c:v>
                </c:pt>
                <c:pt idx="10">
                  <c:v>100.785813831784</c:v>
                </c:pt>
                <c:pt idx="11">
                  <c:v>101.096477436214</c:v>
                </c:pt>
                <c:pt idx="12">
                  <c:v>101.432595912874</c:v>
                </c:pt>
                <c:pt idx="13">
                  <c:v>101.898413858403</c:v>
                </c:pt>
                <c:pt idx="14">
                  <c:v>102.37485269652</c:v>
                </c:pt>
                <c:pt idx="15">
                  <c:v>102.933045018256</c:v>
                </c:pt>
                <c:pt idx="16">
                  <c:v>103.641602821176</c:v>
                </c:pt>
                <c:pt idx="17">
                  <c:v>104.404367336825</c:v>
                </c:pt>
                <c:pt idx="18">
                  <c:v>105.171168182861</c:v>
                </c:pt>
                <c:pt idx="19">
                  <c:v>106.084726509906</c:v>
                </c:pt>
                <c:pt idx="20">
                  <c:v>107.018254754811</c:v>
                </c:pt>
                <c:pt idx="21">
                  <c:v>108.004703385917</c:v>
                </c:pt>
                <c:pt idx="22">
                  <c:v>109.02203297018</c:v>
                </c:pt>
                <c:pt idx="23">
                  <c:v>110.048655430219</c:v>
                </c:pt>
                <c:pt idx="24">
                  <c:v>111.085206178168</c:v>
                </c:pt>
                <c:pt idx="25">
                  <c:v>112.130838375386</c:v>
                </c:pt>
                <c:pt idx="26">
                  <c:v>113.186874071478</c:v>
                </c:pt>
                <c:pt idx="27">
                  <c:v>114.252275103434</c:v>
                </c:pt>
                <c:pt idx="28">
                  <c:v>115.328496546323</c:v>
                </c:pt>
                <c:pt idx="29">
                  <c:v>116.414322429392</c:v>
                </c:pt>
                <c:pt idx="30">
                  <c:v>117.51066699149</c:v>
                </c:pt>
                <c:pt idx="31">
                  <c:v>118.518609880024</c:v>
                </c:pt>
                <c:pt idx="32">
                  <c:v>119.442503349711</c:v>
                </c:pt>
                <c:pt idx="33">
                  <c:v>120.420408427061</c:v>
                </c:pt>
                <c:pt idx="34">
                  <c:v>121.326766396422</c:v>
                </c:pt>
                <c:pt idx="35">
                  <c:v>122.158279383846</c:v>
                </c:pt>
                <c:pt idx="36">
                  <c:v>123.028033564465</c:v>
                </c:pt>
                <c:pt idx="37">
                  <c:v>123.805927830207</c:v>
                </c:pt>
                <c:pt idx="38">
                  <c:v>124.555044564574</c:v>
                </c:pt>
                <c:pt idx="39">
                  <c:v>125.2449418172</c:v>
                </c:pt>
                <c:pt idx="40">
                  <c:v>125.913279445931</c:v>
                </c:pt>
                <c:pt idx="41">
                  <c:v>126.494186538365</c:v>
                </c:pt>
                <c:pt idx="42">
                  <c:v>127.141063569914</c:v>
                </c:pt>
                <c:pt idx="43">
                  <c:v>127.73194371091</c:v>
                </c:pt>
                <c:pt idx="44">
                  <c:v>128.342635689546</c:v>
                </c:pt>
                <c:pt idx="45">
                  <c:v>128.902843906318</c:v>
                </c:pt>
                <c:pt idx="46">
                  <c:v>129.467995938012</c:v>
                </c:pt>
                <c:pt idx="47">
                  <c:v>130.025075530197</c:v>
                </c:pt>
                <c:pt idx="48">
                  <c:v>130.585579678456</c:v>
                </c:pt>
                <c:pt idx="49">
                  <c:v>131.130718002485</c:v>
                </c:pt>
                <c:pt idx="50">
                  <c:v>131.678142484532</c:v>
                </c:pt>
                <c:pt idx="51">
                  <c:v>132.227993069344</c:v>
                </c:pt>
                <c:pt idx="52">
                  <c:v>132.762137893621</c:v>
                </c:pt>
                <c:pt idx="53">
                  <c:v>133.334948917989</c:v>
                </c:pt>
                <c:pt idx="54">
                  <c:v>133.890602371141</c:v>
                </c:pt>
                <c:pt idx="55">
                  <c:v>134.387285716838</c:v>
                </c:pt>
                <c:pt idx="56">
                  <c:v>134.955750488738</c:v>
                </c:pt>
                <c:pt idx="57">
                  <c:v>135.473744207908</c:v>
                </c:pt>
                <c:pt idx="58">
                  <c:v>135.992939157061</c:v>
                </c:pt>
              </c:numCache>
            </c:numRef>
          </c:val>
          <c:smooth val="0"/>
        </c:ser>
        <c:ser>
          <c:idx val="1"/>
          <c:order val="1"/>
          <c:tx>
            <c:strRef>
              <c:f>'Datos ICP (2)'!$J$2</c:f>
              <c:strCache>
                <c:ptCount val="1"/>
                <c:pt idx="0">
                  <c:v>Fondo Liquidez Efectivo</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(2)'!$A$186:$A$244</c:f>
              <c:numCache>
                <c:formatCode>m/d/yyyy</c:formatCode>
                <c:ptCount val="59"/>
                <c:pt idx="0">
                  <c:v>2/19/2021</c:v>
                </c:pt>
                <c:pt idx="1">
                  <c:v>2/28/2021</c:v>
                </c:pt>
                <c:pt idx="2">
                  <c:v>3/31/2021</c:v>
                </c:pt>
                <c:pt idx="3">
                  <c:v>4/30/2021</c:v>
                </c:pt>
                <c:pt idx="4">
                  <c:v>5/31/2021</c:v>
                </c:pt>
                <c:pt idx="5">
                  <c:v>6/30/2021</c:v>
                </c:pt>
                <c:pt idx="6">
                  <c:v>7/31/2021</c:v>
                </c:pt>
                <c:pt idx="7">
                  <c:v>8/31/2021</c:v>
                </c:pt>
                <c:pt idx="8">
                  <c:v>9/30/2021</c:v>
                </c:pt>
                <c:pt idx="9">
                  <c:v>10/31/2021</c:v>
                </c:pt>
                <c:pt idx="10">
                  <c:v>11/30/2021</c:v>
                </c:pt>
                <c:pt idx="11">
                  <c:v>12/31/2021</c:v>
                </c:pt>
                <c:pt idx="12">
                  <c:v>1/31/2022</c:v>
                </c:pt>
                <c:pt idx="13">
                  <c:v>2/28/2022</c:v>
                </c:pt>
                <c:pt idx="14">
                  <c:v>3/31/2022</c:v>
                </c:pt>
                <c:pt idx="15">
                  <c:v>4/30/2022</c:v>
                </c:pt>
                <c:pt idx="16">
                  <c:v>5/31/2022</c:v>
                </c:pt>
                <c:pt idx="17">
                  <c:v>6/30/2022</c:v>
                </c:pt>
                <c:pt idx="18">
                  <c:v>7/31/2022</c:v>
                </c:pt>
                <c:pt idx="19">
                  <c:v>8/31/2022</c:v>
                </c:pt>
                <c:pt idx="20">
                  <c:v>9/30/2022</c:v>
                </c:pt>
                <c:pt idx="21">
                  <c:v>10/28/2022</c:v>
                </c:pt>
                <c:pt idx="22">
                  <c:v>11/30/2022</c:v>
                </c:pt>
                <c:pt idx="23">
                  <c:v>12/30/2022</c:v>
                </c:pt>
                <c:pt idx="24">
                  <c:v>1/31/2023</c:v>
                </c:pt>
                <c:pt idx="25">
                  <c:v>2/28/2023</c:v>
                </c:pt>
                <c:pt idx="26">
                  <c:v>3/31/2023</c:v>
                </c:pt>
                <c:pt idx="27">
                  <c:v>4/28/2023</c:v>
                </c:pt>
                <c:pt idx="28">
                  <c:v>5/31/2023</c:v>
                </c:pt>
                <c:pt idx="29">
                  <c:v>6/30/2023</c:v>
                </c:pt>
                <c:pt idx="30">
                  <c:v>7/31/2023</c:v>
                </c:pt>
                <c:pt idx="31">
                  <c:v>8/31/2023</c:v>
                </c:pt>
                <c:pt idx="32">
                  <c:v>9/30/2023</c:v>
                </c:pt>
                <c:pt idx="33">
                  <c:v>10/31/2023</c:v>
                </c:pt>
                <c:pt idx="34">
                  <c:v>11/30/2023</c:v>
                </c:pt>
                <c:pt idx="35">
                  <c:v>12/31/2023</c:v>
                </c:pt>
                <c:pt idx="36">
                  <c:v>1/31/2024</c:v>
                </c:pt>
                <c:pt idx="37">
                  <c:v>2/29/2024</c:v>
                </c:pt>
                <c:pt idx="38">
                  <c:v>3/28/2024</c:v>
                </c:pt>
                <c:pt idx="39">
                  <c:v>4/30/2024</c:v>
                </c:pt>
                <c:pt idx="40">
                  <c:v>5/31/2024</c:v>
                </c:pt>
                <c:pt idx="41">
                  <c:v>6/30/2024</c:v>
                </c:pt>
                <c:pt idx="42">
                  <c:v>7/31/2024</c:v>
                </c:pt>
                <c:pt idx="43">
                  <c:v>8/31/2024</c:v>
                </c:pt>
                <c:pt idx="44">
                  <c:v>9/30/2024</c:v>
                </c:pt>
                <c:pt idx="45">
                  <c:v>10/31/2024</c:v>
                </c:pt>
                <c:pt idx="46">
                  <c:v>11/30/2024</c:v>
                </c:pt>
                <c:pt idx="47">
                  <c:v>12/31/2024</c:v>
                </c:pt>
                <c:pt idx="48">
                  <c:v>1/31/2025</c:v>
                </c:pt>
                <c:pt idx="49">
                  <c:v>2/28/2025</c:v>
                </c:pt>
                <c:pt idx="50">
                  <c:v>3/31/2025</c:v>
                </c:pt>
                <c:pt idx="51">
                  <c:v>4/30/2025</c:v>
                </c:pt>
                <c:pt idx="52">
                  <c:v>5/31/2025</c:v>
                </c:pt>
                <c:pt idx="53">
                  <c:v>6/30/2025</c:v>
                </c:pt>
                <c:pt idx="54">
                  <c:v>7/31/2025</c:v>
                </c:pt>
                <c:pt idx="55">
                  <c:v>8/31/2025</c:v>
                </c:pt>
                <c:pt idx="56">
                  <c:v>9/30/2025</c:v>
                </c:pt>
                <c:pt idx="57">
                  <c:v>10/31/2025</c:v>
                </c:pt>
                <c:pt idx="58">
                  <c:v>11/30/2025</c:v>
                </c:pt>
              </c:numCache>
            </c:numRef>
          </c:cat>
          <c:val>
            <c:numRef>
              <c:f>'Datos ICP (2)'!$J$186:$J$244</c:f>
              <c:numCache>
                <c:formatCode>#,##0.00</c:formatCode>
                <c:ptCount val="59"/>
                <c:pt idx="0">
                  <c:v>100</c:v>
                </c:pt>
                <c:pt idx="1">
                  <c:v>100.140593375088</c:v>
                </c:pt>
                <c:pt idx="2">
                  <c:v>100.273354159139</c:v>
                </c:pt>
                <c:pt idx="3">
                  <c:v>100.472647872623</c:v>
                </c:pt>
                <c:pt idx="4">
                  <c:v>100.676440960105</c:v>
                </c:pt>
                <c:pt idx="5">
                  <c:v>100.845516639693</c:v>
                </c:pt>
                <c:pt idx="6">
                  <c:v>101.00376648148</c:v>
                </c:pt>
                <c:pt idx="7">
                  <c:v>101.117245533239</c:v>
                </c:pt>
                <c:pt idx="8">
                  <c:v>101.249633775696</c:v>
                </c:pt>
                <c:pt idx="9">
                  <c:v>101.41082123054</c:v>
                </c:pt>
                <c:pt idx="10">
                  <c:v>101.601382999212</c:v>
                </c:pt>
                <c:pt idx="11">
                  <c:v>101.873560832161</c:v>
                </c:pt>
                <c:pt idx="12">
                  <c:v>102.235177145433</c:v>
                </c:pt>
                <c:pt idx="13">
                  <c:v>102.706480402988</c:v>
                </c:pt>
                <c:pt idx="14">
                  <c:v>103.188022874153</c:v>
                </c:pt>
                <c:pt idx="15">
                  <c:v>103.848881653003</c:v>
                </c:pt>
                <c:pt idx="16">
                  <c:v>104.693206280449</c:v>
                </c:pt>
                <c:pt idx="17">
                  <c:v>105.715783063326</c:v>
                </c:pt>
                <c:pt idx="18">
                  <c:v>106.412811133072</c:v>
                </c:pt>
                <c:pt idx="19">
                  <c:v>107.399535350816</c:v>
                </c:pt>
                <c:pt idx="20">
                  <c:v>108.402182223223</c:v>
                </c:pt>
                <c:pt idx="21">
                  <c:v>109.469680990124</c:v>
                </c:pt>
                <c:pt idx="22">
                  <c:v>110.608500691023</c:v>
                </c:pt>
                <c:pt idx="23">
                  <c:v>111.762892283652</c:v>
                </c:pt>
                <c:pt idx="24">
                  <c:v>112.988321294115</c:v>
                </c:pt>
                <c:pt idx="25">
                  <c:v>114.32613135003</c:v>
                </c:pt>
                <c:pt idx="26">
                  <c:v>115.637619861633</c:v>
                </c:pt>
                <c:pt idx="27">
                  <c:v>116.95014392434</c:v>
                </c:pt>
                <c:pt idx="28">
                  <c:v>118.263831448446</c:v>
                </c:pt>
                <c:pt idx="29">
                  <c:v>119.51008961553</c:v>
                </c:pt>
                <c:pt idx="30">
                  <c:v>120.777635333442</c:v>
                </c:pt>
                <c:pt idx="31">
                  <c:v>122.036878075862</c:v>
                </c:pt>
                <c:pt idx="32">
                  <c:v>123.231444133597</c:v>
                </c:pt>
                <c:pt idx="33">
                  <c:v>124.364754196686</c:v>
                </c:pt>
                <c:pt idx="34">
                  <c:v>125.490625865786</c:v>
                </c:pt>
                <c:pt idx="35">
                  <c:v>126.649288152347</c:v>
                </c:pt>
                <c:pt idx="36">
                  <c:v>127.696016536385</c:v>
                </c:pt>
                <c:pt idx="37">
                  <c:v>128.612335449497</c:v>
                </c:pt>
                <c:pt idx="38">
                  <c:v>129.491365520028</c:v>
                </c:pt>
                <c:pt idx="39">
                  <c:v>130.333859956975</c:v>
                </c:pt>
                <c:pt idx="40">
                  <c:v>131.050389532004</c:v>
                </c:pt>
                <c:pt idx="41">
                  <c:v>131.839621219089</c:v>
                </c:pt>
                <c:pt idx="42">
                  <c:v>132.584687373955</c:v>
                </c:pt>
                <c:pt idx="43">
                  <c:v>133.320464973892</c:v>
                </c:pt>
                <c:pt idx="44">
                  <c:v>134.058009002137</c:v>
                </c:pt>
                <c:pt idx="45">
                  <c:v>134.758845136575</c:v>
                </c:pt>
                <c:pt idx="46">
                  <c:v>135.419561043025</c:v>
                </c:pt>
                <c:pt idx="47">
                  <c:v>135.902258377927</c:v>
                </c:pt>
                <c:pt idx="48">
                  <c:v>136.414716189906</c:v>
                </c:pt>
                <c:pt idx="49">
                  <c:v>136.996921920818</c:v>
                </c:pt>
                <c:pt idx="50">
                  <c:v>137.566881788438</c:v>
                </c:pt>
                <c:pt idx="51">
                  <c:v>138.265271690018</c:v>
                </c:pt>
                <c:pt idx="52">
                  <c:v>138.97048505585</c:v>
                </c:pt>
                <c:pt idx="53">
                  <c:v>139.642393815495</c:v>
                </c:pt>
                <c:pt idx="54">
                  <c:v>140.274466744957</c:v>
                </c:pt>
                <c:pt idx="55">
                  <c:v>140.957953598966</c:v>
                </c:pt>
                <c:pt idx="56">
                  <c:v>141.601606115589</c:v>
                </c:pt>
                <c:pt idx="57">
                  <c:v>142.367785956765</c:v>
                </c:pt>
                <c:pt idx="58">
                  <c:v>143.066968671348</c:v>
                </c:pt>
              </c:numCache>
            </c:numRef>
          </c:val>
          <c:smooth val="0"/>
        </c:ser>
        <c:ser>
          <c:idx val="2"/>
          <c:order val="2"/>
          <c:tx>
            <c:strRef>
              <c:f>'Datos ICP (2)'!$M$2</c:f>
              <c:strCache>
                <c:ptCount val="1"/>
                <c:pt idx="0">
                  <c:v>Competencia Relevante</c:v>
                </c:pt>
              </c:strCache>
            </c:strRef>
          </c:tx>
          <c:spPr>
            <a:solidFill>
              <a:srgbClr val="a6a6a6"/>
            </a:solidFill>
            <a:ln w="38160">
              <a:solidFill>
                <a:srgbClr val="a6a6a6"/>
              </a:solidFill>
              <a:round/>
            </a:ln>
          </c:spPr>
          <c:marker>
            <c:symbol val="none"/>
          </c:marker>
          <c:dPt>
            <c:idx val="2"/>
            <c:marker>
              <c:symbol val="none"/>
            </c:marker>
          </c:dPt>
          <c:dPt>
            <c:idx val="3"/>
            <c:marker>
              <c:symbol val="none"/>
            </c:marker>
          </c:dPt>
          <c:dPt>
            <c:idx val="4"/>
            <c:marker>
              <c:symbol val="none"/>
            </c:marker>
          </c:dPt>
          <c:dPt>
            <c:idx val="5"/>
            <c:marker>
              <c:symbol val="none"/>
            </c:marker>
          </c:dPt>
          <c:dPt>
            <c:idx val="6"/>
            <c:marker>
              <c:symbol val="none"/>
            </c:marker>
          </c:dPt>
          <c:dPt>
            <c:idx val="7"/>
            <c:marker>
              <c:symbol val="none"/>
            </c:marker>
          </c:dPt>
          <c:dPt>
            <c:idx val="8"/>
            <c:marker>
              <c:symbol val="none"/>
            </c:marker>
          </c:dPt>
          <c:dLbls>
            <c:dLbl>
              <c:idx val="2"/>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(2)'!$A$186:$A$244</c:f>
              <c:numCache>
                <c:formatCode>m/d/yyyy</c:formatCode>
                <c:ptCount val="59"/>
                <c:pt idx="0">
                  <c:v>2/19/2021</c:v>
                </c:pt>
                <c:pt idx="1">
                  <c:v>2/28/2021</c:v>
                </c:pt>
                <c:pt idx="2">
                  <c:v>3/31/2021</c:v>
                </c:pt>
                <c:pt idx="3">
                  <c:v>4/30/2021</c:v>
                </c:pt>
                <c:pt idx="4">
                  <c:v>5/31/2021</c:v>
                </c:pt>
                <c:pt idx="5">
                  <c:v>6/30/2021</c:v>
                </c:pt>
                <c:pt idx="6">
                  <c:v>7/31/2021</c:v>
                </c:pt>
                <c:pt idx="7">
                  <c:v>8/31/2021</c:v>
                </c:pt>
                <c:pt idx="8">
                  <c:v>9/30/2021</c:v>
                </c:pt>
                <c:pt idx="9">
                  <c:v>10/31/2021</c:v>
                </c:pt>
                <c:pt idx="10">
                  <c:v>11/30/2021</c:v>
                </c:pt>
                <c:pt idx="11">
                  <c:v>12/31/2021</c:v>
                </c:pt>
                <c:pt idx="12">
                  <c:v>1/31/2022</c:v>
                </c:pt>
                <c:pt idx="13">
                  <c:v>2/28/2022</c:v>
                </c:pt>
                <c:pt idx="14">
                  <c:v>3/31/2022</c:v>
                </c:pt>
                <c:pt idx="15">
                  <c:v>4/30/2022</c:v>
                </c:pt>
                <c:pt idx="16">
                  <c:v>5/31/2022</c:v>
                </c:pt>
                <c:pt idx="17">
                  <c:v>6/30/2022</c:v>
                </c:pt>
                <c:pt idx="18">
                  <c:v>7/31/2022</c:v>
                </c:pt>
                <c:pt idx="19">
                  <c:v>8/31/2022</c:v>
                </c:pt>
                <c:pt idx="20">
                  <c:v>9/30/2022</c:v>
                </c:pt>
                <c:pt idx="21">
                  <c:v>10/28/2022</c:v>
                </c:pt>
                <c:pt idx="22">
                  <c:v>11/30/2022</c:v>
                </c:pt>
                <c:pt idx="23">
                  <c:v>12/30/2022</c:v>
                </c:pt>
                <c:pt idx="24">
                  <c:v>1/31/2023</c:v>
                </c:pt>
                <c:pt idx="25">
                  <c:v>2/28/2023</c:v>
                </c:pt>
                <c:pt idx="26">
                  <c:v>3/31/2023</c:v>
                </c:pt>
                <c:pt idx="27">
                  <c:v>4/28/2023</c:v>
                </c:pt>
                <c:pt idx="28">
                  <c:v>5/31/2023</c:v>
                </c:pt>
                <c:pt idx="29">
                  <c:v>6/30/2023</c:v>
                </c:pt>
                <c:pt idx="30">
                  <c:v>7/31/2023</c:v>
                </c:pt>
                <c:pt idx="31">
                  <c:v>8/31/2023</c:v>
                </c:pt>
                <c:pt idx="32">
                  <c:v>9/30/2023</c:v>
                </c:pt>
                <c:pt idx="33">
                  <c:v>10/31/2023</c:v>
                </c:pt>
                <c:pt idx="34">
                  <c:v>11/30/2023</c:v>
                </c:pt>
                <c:pt idx="35">
                  <c:v>12/31/2023</c:v>
                </c:pt>
                <c:pt idx="36">
                  <c:v>1/31/2024</c:v>
                </c:pt>
                <c:pt idx="37">
                  <c:v>2/29/2024</c:v>
                </c:pt>
                <c:pt idx="38">
                  <c:v>3/28/2024</c:v>
                </c:pt>
                <c:pt idx="39">
                  <c:v>4/30/2024</c:v>
                </c:pt>
                <c:pt idx="40">
                  <c:v>5/31/2024</c:v>
                </c:pt>
                <c:pt idx="41">
                  <c:v>6/30/2024</c:v>
                </c:pt>
                <c:pt idx="42">
                  <c:v>7/31/2024</c:v>
                </c:pt>
                <c:pt idx="43">
                  <c:v>8/31/2024</c:v>
                </c:pt>
                <c:pt idx="44">
                  <c:v>9/30/2024</c:v>
                </c:pt>
                <c:pt idx="45">
                  <c:v>10/31/2024</c:v>
                </c:pt>
                <c:pt idx="46">
                  <c:v>11/30/2024</c:v>
                </c:pt>
                <c:pt idx="47">
                  <c:v>12/31/2024</c:v>
                </c:pt>
                <c:pt idx="48">
                  <c:v>1/31/2025</c:v>
                </c:pt>
                <c:pt idx="49">
                  <c:v>2/28/2025</c:v>
                </c:pt>
                <c:pt idx="50">
                  <c:v>3/31/2025</c:v>
                </c:pt>
                <c:pt idx="51">
                  <c:v>4/30/2025</c:v>
                </c:pt>
                <c:pt idx="52">
                  <c:v>5/31/2025</c:v>
                </c:pt>
                <c:pt idx="53">
                  <c:v>6/30/2025</c:v>
                </c:pt>
                <c:pt idx="54">
                  <c:v>7/31/2025</c:v>
                </c:pt>
                <c:pt idx="55">
                  <c:v>8/31/2025</c:v>
                </c:pt>
                <c:pt idx="56">
                  <c:v>9/30/2025</c:v>
                </c:pt>
                <c:pt idx="57">
                  <c:v>10/31/2025</c:v>
                </c:pt>
                <c:pt idx="58">
                  <c:v>11/30/2025</c:v>
                </c:pt>
              </c:numCache>
            </c:numRef>
          </c:cat>
          <c:val>
            <c:numRef>
              <c:f>'Datos ICP (2)'!$M$186:$M$244</c:f>
              <c:numCache>
                <c:formatCode>0.00</c:formatCode>
                <c:ptCount val="59"/>
                <c:pt idx="1">
                  <c:v>100</c:v>
                </c:pt>
                <c:pt idx="2">
                  <c:v>100.00522922002</c:v>
                </c:pt>
                <c:pt idx="3">
                  <c:v>100.011855253326</c:v>
                </c:pt>
                <c:pt idx="4">
                  <c:v>100.01767008853</c:v>
                </c:pt>
                <c:pt idx="5">
                  <c:v>100.023664477278</c:v>
                </c:pt>
                <c:pt idx="6">
                  <c:v>100.029654790983</c:v>
                </c:pt>
                <c:pt idx="7">
                  <c:v>100.03566086706</c:v>
                </c:pt>
                <c:pt idx="8">
                  <c:v>100.023879963868</c:v>
                </c:pt>
                <c:pt idx="9">
                  <c:v>100.122838052122</c:v>
                </c:pt>
                <c:pt idx="10">
                  <c:v>100.248915235263</c:v>
                </c:pt>
                <c:pt idx="11">
                  <c:v>100.425782670916</c:v>
                </c:pt>
                <c:pt idx="12">
                  <c:v>100.675713378562</c:v>
                </c:pt>
                <c:pt idx="13">
                  <c:v>101.031711142582</c:v>
                </c:pt>
                <c:pt idx="14">
                  <c:v>101.402524245133</c:v>
                </c:pt>
                <c:pt idx="15">
                  <c:v>101.866097369358</c:v>
                </c:pt>
                <c:pt idx="16">
                  <c:v>102.409328901798</c:v>
                </c:pt>
                <c:pt idx="17">
                  <c:v>103.011863553839</c:v>
                </c:pt>
                <c:pt idx="18">
                  <c:v>103.661024404839</c:v>
                </c:pt>
                <c:pt idx="19">
                  <c:v>104.366299442131</c:v>
                </c:pt>
                <c:pt idx="20">
                  <c:v>105.131904050906</c:v>
                </c:pt>
                <c:pt idx="21">
                  <c:v>105.947681006984</c:v>
                </c:pt>
                <c:pt idx="22">
                  <c:v>106.789657311883</c:v>
                </c:pt>
                <c:pt idx="23">
                  <c:v>107.63630407766</c:v>
                </c:pt>
                <c:pt idx="24">
                  <c:v>108.488108762268</c:v>
                </c:pt>
                <c:pt idx="25">
                  <c:v>109.346842766585</c:v>
                </c:pt>
                <c:pt idx="26">
                  <c:v>110.215661136774</c:v>
                </c:pt>
                <c:pt idx="27">
                  <c:v>111.09638414212</c:v>
                </c:pt>
                <c:pt idx="28">
                  <c:v>111.987687851343</c:v>
                </c:pt>
                <c:pt idx="29">
                  <c:v>112.883913150211</c:v>
                </c:pt>
                <c:pt idx="30">
                  <c:v>113.780190164967</c:v>
                </c:pt>
                <c:pt idx="31">
                  <c:v>114.616616117834</c:v>
                </c:pt>
                <c:pt idx="32">
                  <c:v>115.394269526702</c:v>
                </c:pt>
                <c:pt idx="33">
                  <c:v>116.139800190644</c:v>
                </c:pt>
                <c:pt idx="34">
                  <c:v>116.856332496223</c:v>
                </c:pt>
                <c:pt idx="35">
                  <c:v>117.54633730915</c:v>
                </c:pt>
                <c:pt idx="36">
                  <c:v>118.214295859397</c:v>
                </c:pt>
                <c:pt idx="37">
                  <c:v>118.836132907244</c:v>
                </c:pt>
                <c:pt idx="38">
                  <c:v>119.402745654217</c:v>
                </c:pt>
                <c:pt idx="39">
                  <c:v>119.915105444618</c:v>
                </c:pt>
                <c:pt idx="40">
                  <c:v>120.398765250541</c:v>
                </c:pt>
                <c:pt idx="41">
                  <c:v>120.83824399605</c:v>
                </c:pt>
                <c:pt idx="42">
                  <c:v>121.263219557379</c:v>
                </c:pt>
                <c:pt idx="43">
                  <c:v>121.688932014991</c:v>
                </c:pt>
                <c:pt idx="44">
                  <c:v>122.099686347107</c:v>
                </c:pt>
                <c:pt idx="45">
                  <c:v>122.502711376424</c:v>
                </c:pt>
                <c:pt idx="46">
                  <c:v>122.897215997174</c:v>
                </c:pt>
                <c:pt idx="47">
                  <c:v>123.281351769843</c:v>
                </c:pt>
                <c:pt idx="48">
                  <c:v>123.641676556241</c:v>
                </c:pt>
                <c:pt idx="49">
                  <c:v>124.007585846289</c:v>
                </c:pt>
                <c:pt idx="50">
                  <c:v>124.375147561723</c:v>
                </c:pt>
                <c:pt idx="51">
                  <c:v>124.745281743033</c:v>
                </c:pt>
                <c:pt idx="52">
                  <c:v>125.118281707315</c:v>
                </c:pt>
                <c:pt idx="53">
                  <c:v>125.493267760975</c:v>
                </c:pt>
                <c:pt idx="54">
                  <c:v>125.851597537055</c:v>
                </c:pt>
                <c:pt idx="55">
                  <c:v>126.217039177243</c:v>
                </c:pt>
                <c:pt idx="56">
                  <c:v>126.565602041616</c:v>
                </c:pt>
                <c:pt idx="57">
                  <c:v>126.916539230587</c:v>
                </c:pt>
                <c:pt idx="58">
                  <c:v>127.271272958347</c:v>
                </c:pt>
              </c:numCache>
            </c:numRef>
          </c:val>
          <c:smooth val="0"/>
        </c:ser>
        <c:hiLowLines>
          <c:spPr>
            <a:ln w="0">
              <a:noFill/>
            </a:ln>
          </c:spPr>
        </c:hiLowLines>
        <c:marker val="0"/>
        <c:axId val="86335378"/>
        <c:axId val="1723290"/>
      </c:lineChart>
      <c:dateAx>
        <c:axId val="86335378"/>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723290"/>
        <c:auto val="1"/>
        <c:lblOffset val="100"/>
        <c:baseTimeUnit val="months"/>
        <c:majorUnit val="2"/>
        <c:majorTimeUnit val="months"/>
        <c:minorUnit val="2"/>
        <c:minorTimeUnit val="months"/>
        <c:noMultiLvlLbl val="0"/>
      </c:dateAx>
      <c:valAx>
        <c:axId val="1723290"/>
        <c:scaling>
          <c:orientation val="minMax"/>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200" spc="-1" strike="noStrike">
                <a:solidFill>
                  <a:srgbClr val="000000"/>
                </a:solidFill>
                <a:latin typeface="Aileron"/>
              </a:defRPr>
            </a:pPr>
          </a:p>
        </c:txPr>
        <c:crossAx val="86335378"/>
        <c:crosses val="autoZero"/>
        <c:crossBetween val="between"/>
      </c:valAx>
      <c:spPr>
        <a:noFill/>
        <a:ln w="0">
          <a:noFill/>
        </a:ln>
      </c:spPr>
    </c:plotArea>
    <c:legend>
      <c:legendPos val="r"/>
      <c:layout>
        <c:manualLayout>
          <c:xMode val="edge"/>
          <c:yMode val="edge"/>
          <c:x val="0.725256926385488"/>
          <c:y val="0.792186654490349"/>
          <c:w val="0.259453278615813"/>
          <c:h val="0.207138099032458"/>
        </c:manualLayout>
      </c:layout>
      <c:overlay val="1"/>
      <c:spPr>
        <a:noFill/>
        <a:ln w="0">
          <a:noFill/>
        </a:ln>
      </c:spPr>
      <c:txPr>
        <a:bodyPr/>
        <a:lstStyle/>
        <a:p>
          <a:pPr>
            <a:defRPr b="0" sz="1400" spc="-1" strike="noStrike">
              <a:solidFill>
                <a:srgbClr val="000000"/>
              </a:solidFill>
              <a:latin typeface="Aileron"/>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0.0079</c:v>
                </c:pt>
                <c:pt idx="1">
                  <c:v>0.9921</c:v>
                </c:pt>
                <c:pt idx="2">
                  <c:v>0</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c:v>
                </c:pt>
                <c:pt idx="3">
                  <c:v>1</c:v>
                </c:pt>
                <c:pt idx="4">
                  <c:v>0</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14740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468000</xdr:colOff>
      <xdr:row>251</xdr:row>
      <xdr:rowOff>97200</xdr:rowOff>
    </xdr:from>
    <xdr:to>
      <xdr:col>12</xdr:col>
      <xdr:colOff>110880</xdr:colOff>
      <xdr:row>275</xdr:row>
      <xdr:rowOff>53280</xdr:rowOff>
    </xdr:to>
    <xdr:graphicFrame>
      <xdr:nvGraphicFramePr>
        <xdr:cNvPr id="1" name="Chart 2"/>
        <xdr:cNvGraphicFramePr/>
      </xdr:nvGraphicFramePr>
      <xdr:xfrm>
        <a:off x="3045960" y="47998440"/>
        <a:ext cx="9159120" cy="4528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604440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18708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9620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68.71"/>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M3" colorId="64" zoomScale="80" zoomScaleNormal="80" zoomScalePageLayoutView="100" workbookViewId="0">
      <selection pane="topLeft" activeCell="BD22" activeCellId="0" sqref="BD22"/>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4" min="34" style="3" width="7.86"/>
    <col collapsed="false" customWidth="true" hidden="false" outlineLevel="0" max="35" min="35" style="3" width="7.29"/>
    <col collapsed="false" customWidth="true" hidden="false" outlineLevel="0" max="36" min="36" style="3" width="8.42"/>
    <col collapsed="false" customWidth="true" hidden="false" outlineLevel="0" max="43" min="37" style="3" width="8.57"/>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+(AA20/AA19-1)/COUNTA(AE19:AP19)*12</f>
        <v>0.111942792636216</v>
      </c>
      <c r="AR19" s="26"/>
      <c r="AS19" s="9"/>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1475.10283207309</v>
      </c>
      <c r="AX22" s="33" t="n">
        <f aca="false">LOOKUP(AX19,$F$2:$F$2972,$H$2:$H$2972)</f>
        <v>1467.73743207309</v>
      </c>
      <c r="AY22" s="33" t="n">
        <f aca="false">LOOKUP(AY19,$F$2:$F$2972,$H$2:$H$2972)</f>
        <v>1453.34203207309</v>
      </c>
      <c r="AZ22" s="33" t="n">
        <f aca="false">LOOKUP(AZ19,$F$2:$F$2972,$H$2:$H$2972)</f>
        <v>1430.69723207309</v>
      </c>
      <c r="BA22" s="33" t="n">
        <f aca="false">LOOKUP(BA19,$F$2:$F$2972,$H$2:$H$2972)</f>
        <v>1388.55263207309</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0.00501820001251629</v>
      </c>
      <c r="AY31" s="43" t="n">
        <f aca="false">($AW22)/AY22-1</f>
        <v>0.0149729379043417</v>
      </c>
      <c r="AZ31" s="43" t="n">
        <f aca="false">($AW22)/AZ22-1</f>
        <v>0.0310377339135941</v>
      </c>
      <c r="BA31" s="43" t="n">
        <f aca="false">($AW22)/BA22-1</f>
        <v>0.0623312346978033</v>
      </c>
      <c r="BB31" s="43" t="n">
        <f aca="false">+AQ88</f>
        <v>0.0449188137130252</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t="n">
        <f aca="false">+H187</f>
        <v>1001.1421</v>
      </c>
      <c r="R32" s="20" t="n">
        <f aca="false">+G188</f>
        <v>1002.5136</v>
      </c>
      <c r="S32" s="20" t="n">
        <f aca="false">+G189</f>
        <v>1004.5061</v>
      </c>
      <c r="T32" s="20" t="n">
        <f aca="false">+G190</f>
        <v>1006.6115</v>
      </c>
      <c r="U32" s="20" t="n">
        <f aca="false">+G191</f>
        <v>1008.302</v>
      </c>
      <c r="V32" s="20" t="n">
        <f aca="false">+G192</f>
        <v>1009.937</v>
      </c>
      <c r="W32" s="20" t="n">
        <f aca="false">+G193</f>
        <v>1011.1095</v>
      </c>
      <c r="X32" s="20" t="n">
        <f aca="false">+G194</f>
        <v>1012.4333</v>
      </c>
      <c r="Y32" s="20" t="n">
        <f aca="false">+G195</f>
        <v>1014.0988</v>
      </c>
      <c r="Z32" s="20" t="n">
        <f aca="false">+G196</f>
        <v>1016.0044</v>
      </c>
      <c r="AA32" s="20" t="n">
        <f aca="false">+G197+S156</f>
        <v>1018.81687816993</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t="n">
        <f aca="false">+G198+S156</f>
        <v>1022.55387816993</v>
      </c>
      <c r="Q33" s="20" t="n">
        <f aca="false">+G199+S156</f>
        <v>1026.95357816993</v>
      </c>
      <c r="R33" s="20" t="n">
        <f aca="false">+G200+S156</f>
        <v>1031.92897816993</v>
      </c>
      <c r="S33" s="20" t="n">
        <f aca="false">+G201+S156</f>
        <v>1038.53787816993</v>
      </c>
      <c r="T33" s="20" t="n">
        <f aca="false">+G202+S156</f>
        <v>1047.26297816993</v>
      </c>
      <c r="U33" s="20" t="n">
        <f aca="false">+G203+S156</f>
        <v>1057.49197816993</v>
      </c>
      <c r="V33" s="20" t="n">
        <f aca="false">+G204+S156</f>
        <v>1064.69687816993</v>
      </c>
      <c r="W33" s="20" t="n">
        <f aca="false">+G205+S156</f>
        <v>1074.89847816993</v>
      </c>
      <c r="X33" s="20" t="n">
        <f aca="false">+G206+S156</f>
        <v>1084.93337816993</v>
      </c>
      <c r="Y33" s="20" t="n">
        <f aca="false">+G207+S156</f>
        <v>1094.90507816993</v>
      </c>
      <c r="Z33" s="20" t="n">
        <f aca="false">+G208+S156</f>
        <v>1107.43447816993</v>
      </c>
      <c r="AA33" s="20" t="n">
        <f aca="false">+G209+S156</f>
        <v>1118.99247816993</v>
      </c>
      <c r="AD33" s="21" t="n">
        <v>2021</v>
      </c>
      <c r="AE33" s="22"/>
      <c r="AF33" s="22" t="n">
        <f aca="false">+I187</f>
        <v>0.00140593375087899</v>
      </c>
      <c r="AG33" s="22" t="n">
        <f aca="false">+(R32/Q32-1)</f>
        <v>0.00136993539678332</v>
      </c>
      <c r="AH33" s="22" t="n">
        <f aca="false">+(S32/R32-1)</f>
        <v>0.00198750420941907</v>
      </c>
      <c r="AI33" s="22" t="n">
        <f aca="false">+(T32/S32-1)</f>
        <v>0.00209595541530305</v>
      </c>
      <c r="AJ33" s="22" t="n">
        <f aca="false">+(U32/T32-1)</f>
        <v>0.00167939666892347</v>
      </c>
      <c r="AK33" s="22" t="n">
        <f aca="false">+(V32/U32-1)</f>
        <v>0.00162153799159381</v>
      </c>
      <c r="AL33" s="22" t="n">
        <f aca="false">+(W32/V32-1)</f>
        <v>0.00116096350564443</v>
      </c>
      <c r="AM33" s="22" t="n">
        <f aca="false">+(X32/W32-1)</f>
        <v>0.00130925483342814</v>
      </c>
      <c r="AN33" s="22" t="n">
        <f aca="false">+(Y32/X32-1)</f>
        <v>0.00164504664159115</v>
      </c>
      <c r="AO33" s="22" t="n">
        <f aca="false">+(Z32/Y32-1)</f>
        <v>0.00187910684836634</v>
      </c>
      <c r="AP33" s="22" t="n">
        <f aca="false">+(AA32/Z32-1)</f>
        <v>0.00276817518696593</v>
      </c>
      <c r="AQ33" s="23" t="n">
        <f aca="false">+(AA32/Q32-1)/COUNTA(AF33:AP33)*12</f>
        <v>0.0192595798192644</v>
      </c>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t="n">
        <f aca="false">+G210+S156+S158</f>
        <v>1132.07966842632</v>
      </c>
      <c r="Q34" s="20" t="n">
        <f aca="false">G211+S156+S158</f>
        <v>1144.59016842632</v>
      </c>
      <c r="R34" s="20" t="n">
        <f aca="false">+H212</f>
        <v>1158.15796842632</v>
      </c>
      <c r="S34" s="20" t="n">
        <f aca="false">+H213</f>
        <v>1170.42706842632</v>
      </c>
      <c r="T34" s="20" t="n">
        <f aca="false">+H214</f>
        <v>1184.88906842632</v>
      </c>
      <c r="U34" s="20" t="n">
        <f aca="false">+H215</f>
        <v>1197.37536842632</v>
      </c>
      <c r="V34" s="20" t="n">
        <f aca="false">+H216</f>
        <v>1210.49826842632</v>
      </c>
      <c r="W34" s="20" t="n">
        <f aca="false">+H217</f>
        <v>1223.53976842632</v>
      </c>
      <c r="X34" s="20" t="n">
        <f aca="false">+H218</f>
        <v>1235.51646842632</v>
      </c>
      <c r="Y34" s="20" t="n">
        <f aca="false">+H219</f>
        <v>1247.25776842632</v>
      </c>
      <c r="Z34" s="20" t="n">
        <f aca="false">+H220</f>
        <v>1258.54916842632</v>
      </c>
      <c r="AA34" s="20" t="n">
        <f aca="false">+H221</f>
        <v>1270.55676842632</v>
      </c>
      <c r="AD34" s="21" t="n">
        <v>2022</v>
      </c>
      <c r="AE34" s="22" t="n">
        <f aca="false">+(P33/AA32-1)</f>
        <v>0.00366798006596891</v>
      </c>
      <c r="AF34" s="22" t="n">
        <f aca="false">+(Q33/P33-1)</f>
        <v>0.00430265836737531</v>
      </c>
      <c r="AG34" s="22" t="n">
        <f aca="false">+(R33/Q33-1)</f>
        <v>0.00484481490279864</v>
      </c>
      <c r="AH34" s="22" t="n">
        <f aca="false">+(S33/R33-1)</f>
        <v>0.00640441361741817</v>
      </c>
      <c r="AI34" s="22" t="n">
        <f aca="false">+(T33/S33-1)</f>
        <v>0.00840133054691772</v>
      </c>
      <c r="AJ34" s="22" t="n">
        <f aca="false">+(U33/T33-1)</f>
        <v>0.00976736523034072</v>
      </c>
      <c r="AK34" s="22" t="n">
        <f aca="false">+(V33/U33-1)</f>
        <v>0.0068131958905906</v>
      </c>
      <c r="AL34" s="22" t="n">
        <f aca="false">+(W33/V33-1)</f>
        <v>0.00958169429174527</v>
      </c>
      <c r="AM34" s="22" t="n">
        <f aca="false">+(X33/W33-1)</f>
        <v>0.00933567234841104</v>
      </c>
      <c r="AN34" s="22" t="n">
        <f aca="false">+(Y33/X33-1)</f>
        <v>0.00919107126819196</v>
      </c>
      <c r="AO34" s="22" t="n">
        <f aca="false">+(Z33/Y33-1)</f>
        <v>0.0114433664157829</v>
      </c>
      <c r="AP34" s="22" t="n">
        <f aca="false">+(AA33/Z33-1)</f>
        <v>0.0104367348387959</v>
      </c>
      <c r="AQ34" s="23" t="n">
        <f aca="false">+(AA33/AA32-1)/COUNTA(AE34:AP34)*12</f>
        <v>0.0983254225037404</v>
      </c>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+G222+S156+S158</f>
        <v>1281.40766842632</v>
      </c>
      <c r="Q35" s="20" t="n">
        <f aca="false">+G223+S156+S158</f>
        <v>1290.29626842632</v>
      </c>
      <c r="R35" s="20" t="n">
        <f aca="false">+G224+S156+S158</f>
        <v>1298.52716842632</v>
      </c>
      <c r="S35" s="20" t="n">
        <f aca="false">+G225+S156+S158</f>
        <v>1307.82046842632</v>
      </c>
      <c r="T35" s="20" t="n">
        <f aca="false">+G226+S156+S158</f>
        <v>1315.25006842632</v>
      </c>
      <c r="U35" s="20" t="n">
        <f aca="false">+G227+S156+S158</f>
        <v>1323.17096842632</v>
      </c>
      <c r="V35" s="20" t="n">
        <f aca="false">+G228+S156+S158</f>
        <v>1330.89786842632</v>
      </c>
      <c r="W35" s="20" t="n">
        <f aca="false">+G229+S156+S158</f>
        <v>1338.52986842632</v>
      </c>
      <c r="X35" s="20" t="n">
        <f aca="false">+G230+S156+S158</f>
        <v>1345.93476842632</v>
      </c>
      <c r="Y35" s="20" t="n">
        <f aca="false">+G231+S156+S158</f>
        <v>1353.20566842632</v>
      </c>
      <c r="Z35" s="20" t="n">
        <f aca="false">+G232+S156+S158</f>
        <v>1359.84036842632</v>
      </c>
      <c r="AA35" s="20" t="n">
        <f aca="false">+G233+S156+S158+S160</f>
        <v>1364.84903207309</v>
      </c>
      <c r="AD35" s="21" t="n">
        <v>2023</v>
      </c>
      <c r="AE35" s="22" t="n">
        <f aca="false">+(P34/AA33-1)</f>
        <v>0.011695512268143</v>
      </c>
      <c r="AF35" s="22" t="n">
        <f aca="false">+(Q34/P34-1)</f>
        <v>0.011050900699763</v>
      </c>
      <c r="AG35" s="22" t="n">
        <f aca="false">+(R34/Q34-1)</f>
        <v>0.0118538498532224</v>
      </c>
      <c r="AH35" s="22" t="n">
        <f aca="false">+(S34/R34-1)</f>
        <v>0.0105936325911318</v>
      </c>
      <c r="AI35" s="22" t="n">
        <f aca="false">+(T34/S34-1)</f>
        <v>0.012356173562736</v>
      </c>
      <c r="AJ35" s="22" t="n">
        <f aca="false">+(U34/T34-1)</f>
        <v>0.0105379485157908</v>
      </c>
      <c r="AK35" s="22" t="n">
        <f aca="false">+(V34/U34-1)</f>
        <v>0.0109597210248671</v>
      </c>
      <c r="AL35" s="22" t="n">
        <f aca="false">+(W34/V34-1)</f>
        <v>0.0107736626645112</v>
      </c>
      <c r="AM35" s="22" t="n">
        <f aca="false">+(X34/W34-1)</f>
        <v>0.00978856618236779</v>
      </c>
      <c r="AN35" s="22" t="n">
        <f aca="false">+(Y34/X34-1)</f>
        <v>0.0095031513541497</v>
      </c>
      <c r="AO35" s="22" t="n">
        <f aca="false">+(Z34/Y34-1)</f>
        <v>0.00905298029472013</v>
      </c>
      <c r="AP35" s="22" t="n">
        <f aca="false">+(AA34/Z34-1)</f>
        <v>0.00954082708982607</v>
      </c>
      <c r="AQ35" s="23" t="n">
        <f aca="false">+(AA34/AA33-1)/COUNTA(AE35:AP35)*12</f>
        <v>0.135447103723408</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+G234+S156+S158+S160</f>
        <v>1370.16713207309</v>
      </c>
      <c r="Q36" s="20" t="n">
        <f aca="false">+G235+S156+S158+S160</f>
        <v>1375.62503207309</v>
      </c>
      <c r="R36" s="20" t="n">
        <f aca="false">+H236</f>
        <v>1381.53893207309</v>
      </c>
      <c r="S36" s="20" t="n">
        <f aca="false">+H237</f>
        <v>1388.55263207309</v>
      </c>
      <c r="T36" s="20" t="n">
        <f aca="false">+H238</f>
        <v>1395.87093207309</v>
      </c>
      <c r="U36" s="20" t="n">
        <f aca="false">+H239</f>
        <v>1402.61983207309</v>
      </c>
      <c r="V36" s="20" t="n">
        <f aca="false">+H240</f>
        <v>1409.18023207309</v>
      </c>
      <c r="W36" s="20" t="n">
        <f aca="false">+H241</f>
        <v>1416.27533207309</v>
      </c>
      <c r="X36" s="20" t="n">
        <f aca="false">+H242</f>
        <v>1422.74243207309</v>
      </c>
      <c r="Y36" s="20" t="n">
        <f aca="false">+H243</f>
        <v>1430.69723207309</v>
      </c>
      <c r="Z36" s="20" t="n">
        <f aca="false">+H244</f>
        <v>1437.72353207309</v>
      </c>
      <c r="AA36" s="20" t="n">
        <f aca="false">+H245</f>
        <v>1445.40953207309</v>
      </c>
      <c r="AD36" s="21" t="n">
        <v>2024</v>
      </c>
      <c r="AE36" s="22" t="n">
        <f aca="false">+(P35/AA34-1)</f>
        <v>0.00854027169005578</v>
      </c>
      <c r="AF36" s="22" t="n">
        <f aca="false">+(Q35/P35-1)</f>
        <v>0.00693659029754046</v>
      </c>
      <c r="AG36" s="22" t="n">
        <f aca="false">+(R35/Q35-1)</f>
        <v>0.00637907758195611</v>
      </c>
      <c r="AH36" s="22" t="n">
        <f aca="false">+(S35/R35-1)</f>
        <v>0.00715680058605339</v>
      </c>
      <c r="AI36" s="22" t="n">
        <f aca="false">+(T35/S35-1)</f>
        <v>0.00568090206520466</v>
      </c>
      <c r="AJ36" s="22" t="n">
        <f aca="false">+(U35/T35-1)</f>
        <v>0.00602235285148245</v>
      </c>
      <c r="AK36" s="22" t="n">
        <f aca="false">+(V35/U35-1)</f>
        <v>0.00583968374789068</v>
      </c>
      <c r="AL36" s="22" t="n">
        <f aca="false">+(W35/V35-1)</f>
        <v>0.00573447458370668</v>
      </c>
      <c r="AM36" s="22" t="n">
        <f aca="false">+(X35/W35-1)</f>
        <v>0.00553211413108445</v>
      </c>
      <c r="AN36" s="22" t="n">
        <f aca="false">+(Y35/X35-1)</f>
        <v>0.00540211915953481</v>
      </c>
      <c r="AO36" s="22" t="n">
        <f aca="false">+(Z35/Y35-1)</f>
        <v>0.00490295019804021</v>
      </c>
      <c r="AP36" s="22" t="n">
        <f aca="false">+(AA35/Z35-1)</f>
        <v>0.00368327324519546</v>
      </c>
      <c r="AQ36" s="23" t="n">
        <f aca="false">+(AA35/AA34-1)/COUNTA(AE36:AP36)*12</f>
        <v>0.0742133417332851</v>
      </c>
      <c r="AR36" s="9"/>
      <c r="AS36" s="9"/>
    </row>
    <row r="37" customFormat="false" ht="15" hidden="false" customHeight="false" outlineLevel="0" collapsed="false">
      <c r="A37" s="17"/>
      <c r="B37" s="20"/>
      <c r="C37" s="25"/>
      <c r="D37" s="19"/>
      <c r="E37" s="19"/>
      <c r="F37" s="19"/>
      <c r="O37" s="3" t="n">
        <v>2026</v>
      </c>
      <c r="P37" s="20" t="n">
        <f aca="false">+H246</f>
        <v>1453.34203207309</v>
      </c>
      <c r="Q37" s="20" t="n">
        <f aca="false">+H247</f>
        <v>1460.39353207309</v>
      </c>
      <c r="R37" s="20" t="n">
        <f aca="false">+H248</f>
        <v>1467.73743207309</v>
      </c>
      <c r="S37" s="20" t="n">
        <f aca="false">+H249</f>
        <v>1475.10283207309</v>
      </c>
      <c r="T37" s="20"/>
      <c r="U37" s="20"/>
      <c r="V37" s="20"/>
      <c r="W37" s="20"/>
      <c r="X37" s="20"/>
      <c r="Y37" s="20"/>
      <c r="Z37" s="20"/>
      <c r="AA37" s="20"/>
      <c r="AD37" s="21" t="n">
        <v>2025</v>
      </c>
      <c r="AE37" s="22" t="n">
        <f aca="false">+(P36/AA35-1)</f>
        <v>0.00389647490310496</v>
      </c>
      <c r="AF37" s="22" t="n">
        <f aca="false">+(Q36/P36-1)</f>
        <v>0.00398338266350184</v>
      </c>
      <c r="AG37" s="22" t="n">
        <f aca="false">+(R36/Q36-1)</f>
        <v>0.0042990639615561</v>
      </c>
      <c r="AH37" s="22" t="n">
        <f aca="false">+(S36/R36-1)</f>
        <v>0.00507672989676489</v>
      </c>
      <c r="AI37" s="22" t="n">
        <f aca="false">+(T36/S36-1)</f>
        <v>0.0052704520022937</v>
      </c>
      <c r="AJ37" s="22" t="n">
        <f aca="false">+(U36/T36-1)</f>
        <v>0.00483490260089936</v>
      </c>
      <c r="AK37" s="22" t="n">
        <f aca="false">+(V36/U36-1)</f>
        <v>0.00467724742655595</v>
      </c>
      <c r="AL37" s="22" t="n">
        <f aca="false">+(W36/V36-1)</f>
        <v>0.00503491309238857</v>
      </c>
      <c r="AM37" s="22" t="n">
        <f aca="false">+(X36/W36-1)</f>
        <v>0.00456627313457014</v>
      </c>
      <c r="AN37" s="22" t="n">
        <f aca="false">+(Y36/X36-1)</f>
        <v>0.0055911736521479</v>
      </c>
      <c r="AO37" s="22" t="n">
        <f aca="false">+(Z36/Y36-1)</f>
        <v>0.00491110197355926</v>
      </c>
      <c r="AP37" s="22" t="n">
        <f aca="false">+(AA36/Z36-1)</f>
        <v>0.0053459513102061</v>
      </c>
      <c r="AQ37" s="23" t="n">
        <f aca="false">+(AA36/P36-1)/COUNTA(AE37:AP37)*12</f>
        <v>0.0549147605709657</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0.00548806398738955</v>
      </c>
      <c r="AF38" s="22" t="n">
        <f aca="false">+(Q37/P37-1)</f>
        <v>0.00485192050073824</v>
      </c>
      <c r="AG38" s="22" t="n">
        <f aca="false">+(R37/Q37-1)</f>
        <v>0.00502871304118635</v>
      </c>
      <c r="AH38" s="22" t="n">
        <f aca="false">+(S37/R37-1)</f>
        <v>0.00501820001251629</v>
      </c>
      <c r="AQ38" s="23" t="n">
        <f aca="false">+(S37/P37-1)/COUNTA(AE38:AP38)*12</f>
        <v>0.0449188137130252</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18" t="n">
        <f aca="false">+ K195</f>
        <v>4914.1336</v>
      </c>
      <c r="Z46" s="18" t="n">
        <f aca="false">+K196</f>
        <v>4920.3216</v>
      </c>
      <c r="AA46" s="18"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18" t="n">
        <f aca="false">+K199</f>
        <v>4958.2785</v>
      </c>
      <c r="R47" s="18" t="n">
        <f aca="false">+K200</f>
        <v>4977.0833</v>
      </c>
      <c r="S47" s="18"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18"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+(AA47/AA46-1)/COUNTA(AE47:AP47)*12</f>
        <v>0.0727164295690508</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3" t="n">
        <f aca="false">+K218</f>
        <v>5674.72</v>
      </c>
      <c r="Y48" s="3" t="n">
        <f aca="false">+K219</f>
        <v>5712.6049</v>
      </c>
      <c r="Z48" s="3"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0.00678482261305935</v>
      </c>
      <c r="AN48" s="22" t="n">
        <f aca="false">+(Y48/X48-1)</f>
        <v>0.00667608269659126</v>
      </c>
      <c r="AO48" s="22" t="n">
        <f aca="false">+(Z48/Y48-1)</f>
        <v>0.00616956723192952</v>
      </c>
      <c r="AP48" s="22" t="n">
        <f aca="false">+(AA48/Z48-1)</f>
        <v>0.00610155186395645</v>
      </c>
      <c r="AQ48" s="23" t="n">
        <f aca="false">+(AA48/AA47-1)/COUNTA(AE48:AP48)*12</f>
        <v>0.093648405763658</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5816.8769</v>
      </c>
      <c r="Q49" s="3" t="n">
        <f aca="false">+K223</f>
        <v>5846.4552</v>
      </c>
      <c r="R49" s="3" t="n">
        <f aca="false">+K224</f>
        <v>5872.4728</v>
      </c>
      <c r="S49" s="3" t="n">
        <f aca="false">+K225</f>
        <v>5900.1916</v>
      </c>
      <c r="T49" s="3" t="n">
        <f aca="false">+K226</f>
        <v>5924.7824</v>
      </c>
      <c r="U49" s="5"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t="n">
        <f aca="false">+AF17</f>
        <v>0.000163145891210714</v>
      </c>
      <c r="AG71" s="60" t="n">
        <f aca="false">+AG17</f>
        <v>0.000259130396311313</v>
      </c>
      <c r="AH71" s="60" t="n">
        <f aca="false">+AH17</f>
        <v>0.000294342205723552</v>
      </c>
      <c r="AI71" s="60" t="n">
        <f aca="false">+AI17</f>
        <v>0.000242668745581653</v>
      </c>
      <c r="AJ71" s="60" t="n">
        <f aca="false">+AJ17</f>
        <v>0.000272607187777885</v>
      </c>
      <c r="AK71" s="60" t="n">
        <f aca="false">+AK17</f>
        <v>0.000501923514011571</v>
      </c>
      <c r="AL71" s="60" t="n">
        <f aca="false">+AL17</f>
        <v>0.00062893015614951</v>
      </c>
      <c r="AM71" s="60" t="n">
        <f aca="false">+AM17</f>
        <v>0.00124761014863051</v>
      </c>
      <c r="AN71" s="60" t="n">
        <f aca="false">+AN17</f>
        <v>0.00207168546072567</v>
      </c>
      <c r="AO71" s="60" t="n">
        <f aca="false">+AO17</f>
        <v>0.00214125696183509</v>
      </c>
      <c r="AP71" s="60" t="n">
        <f aca="false">+AP17</f>
        <v>0.0031851611422884</v>
      </c>
      <c r="AQ71" s="60" t="n">
        <f aca="false">+AQ17</f>
        <v>0.0118838004144361</v>
      </c>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t="n">
        <f aca="false">+AF46</f>
        <v>6.66195152189254E-005</v>
      </c>
      <c r="AG72" s="60" t="n">
        <f aca="false">+AG46</f>
        <v>5.40352735418637E-005</v>
      </c>
      <c r="AH72" s="60" t="n">
        <f aca="false">+AH46</f>
        <v>6.6256868343384E-005</v>
      </c>
      <c r="AI72" s="60" t="n">
        <f aca="false">+AI46</f>
        <v>6.00795078637972E-005</v>
      </c>
      <c r="AJ72" s="60" t="n">
        <f aca="false">+AJ46</f>
        <v>5.99332972144318E-005</v>
      </c>
      <c r="AK72" s="60" t="n">
        <f aca="false">+AK46</f>
        <v>6.18852634586276E-005</v>
      </c>
      <c r="AL72" s="60" t="n">
        <f aca="false">+AL46</f>
        <v>6.20443869945309E-005</v>
      </c>
      <c r="AM72" s="60" t="n">
        <f aca="false">+AM46</f>
        <v>-0.000117767035173966</v>
      </c>
      <c r="AN72" s="60" t="n">
        <f aca="false">+AN46</f>
        <v>0.0010223227816486</v>
      </c>
      <c r="AO72" s="60" t="n">
        <f aca="false">+AO46</f>
        <v>0.00125922502391873</v>
      </c>
      <c r="AP72" s="60" t="n">
        <f aca="false">+AP46</f>
        <v>0.0018230922141349</v>
      </c>
      <c r="AQ72" s="60" t="n">
        <f aca="false">+AQ46</f>
        <v>0.00475372596105483</v>
      </c>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t="n">
        <f aca="false">+AF33</f>
        <v>0.00140593375087899</v>
      </c>
      <c r="AG73" s="60" t="n">
        <f aca="false">+AG33</f>
        <v>0.00136993539678332</v>
      </c>
      <c r="AH73" s="60" t="n">
        <f aca="false">+AH33</f>
        <v>0.00198750420941907</v>
      </c>
      <c r="AI73" s="60" t="n">
        <f aca="false">+AI33</f>
        <v>0.00209595541530305</v>
      </c>
      <c r="AJ73" s="60" t="n">
        <f aca="false">+AJ33</f>
        <v>0.00167939666892347</v>
      </c>
      <c r="AK73" s="60" t="n">
        <f aca="false">+AK33</f>
        <v>0.00162153799159381</v>
      </c>
      <c r="AL73" s="60" t="n">
        <f aca="false">+AL33</f>
        <v>0.00116096350564443</v>
      </c>
      <c r="AM73" s="60" t="n">
        <f aca="false">+AM33</f>
        <v>0.00130925483342814</v>
      </c>
      <c r="AN73" s="60" t="n">
        <f aca="false">+AN33</f>
        <v>0.00164504664159115</v>
      </c>
      <c r="AO73" s="60" t="n">
        <f aca="false">+AO33</f>
        <v>0.00187910684836634</v>
      </c>
      <c r="AP73" s="60" t="n">
        <f aca="false">+AP33</f>
        <v>0.00276817518696593</v>
      </c>
      <c r="AQ73" s="60" t="n">
        <f aca="false">+AQ33</f>
        <v>0.0192595798192644</v>
      </c>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59" t="n">
        <v>2022</v>
      </c>
      <c r="AD74" s="56" t="s">
        <v>3</v>
      </c>
      <c r="AE74" s="60" t="n">
        <f aca="false">+AE18</f>
        <v>0.00343555418239894</v>
      </c>
      <c r="AF74" s="60" t="n">
        <f aca="false">+AF18</f>
        <v>0.0042862298052635</v>
      </c>
      <c r="AG74" s="60" t="n">
        <f aca="false">+AG18</f>
        <v>0.00483147984427568</v>
      </c>
      <c r="AH74" s="60" t="n">
        <f aca="false">+AH18</f>
        <v>0.00545243589644651</v>
      </c>
      <c r="AI74" s="60" t="n">
        <f aca="false">+AI18</f>
        <v>0.00711313258265056</v>
      </c>
      <c r="AJ74" s="60" t="n">
        <f aca="false">+AJ18</f>
        <v>0.00735963642867588</v>
      </c>
      <c r="AK74" s="60" t="n">
        <f aca="false">+AK18</f>
        <v>0.00758934606328521</v>
      </c>
      <c r="AL74" s="60" t="n">
        <f aca="false">+AL18</f>
        <v>0.00897594167289917</v>
      </c>
      <c r="AM74" s="60" t="n">
        <f aca="false">+AM18</f>
        <v>0.00879983646672877</v>
      </c>
      <c r="AN74" s="60" t="n">
        <f aca="false">+AN18</f>
        <v>0.00860306861798099</v>
      </c>
      <c r="AO74" s="60" t="n">
        <f aca="false">+AO18</f>
        <v>0.0103612389794803</v>
      </c>
      <c r="AP74" s="60" t="n">
        <f aca="false">+AP18</f>
        <v>0.00941665122241275</v>
      </c>
      <c r="AQ74" s="60" t="n">
        <f aca="false">+AQ18</f>
        <v>0.0896859911813484</v>
      </c>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59"/>
      <c r="AD75" s="56" t="s">
        <v>26</v>
      </c>
      <c r="AE75" s="60" t="n">
        <f aca="false">+AE47</f>
        <v>0.00257166759736172</v>
      </c>
      <c r="AF75" s="60" t="n">
        <f aca="false">+AF47</f>
        <v>0.00330034492532061</v>
      </c>
      <c r="AG75" s="60" t="n">
        <f aca="false">+AG47</f>
        <v>0.00379260664764991</v>
      </c>
      <c r="AH75" s="60" t="n">
        <f aca="false">+AH47</f>
        <v>0.00457161325790945</v>
      </c>
      <c r="AI75" s="60" t="n">
        <f aca="false">+AI47</f>
        <v>0.00551056008510376</v>
      </c>
      <c r="AJ75" s="60" t="n">
        <f aca="false">+AJ47</f>
        <v>0.00588359145110817</v>
      </c>
      <c r="AK75" s="60" t="n">
        <f aca="false">+AK47</f>
        <v>0.00651186691407713</v>
      </c>
      <c r="AL75" s="60" t="n">
        <f aca="false">+AL47</f>
        <v>0.00703045536532287</v>
      </c>
      <c r="AM75" s="60" t="n">
        <f aca="false">+AM47</f>
        <v>0.00733574547403659</v>
      </c>
      <c r="AN75" s="60" t="n">
        <f aca="false">+AN47</f>
        <v>0.00724225279230772</v>
      </c>
      <c r="AO75" s="60" t="n">
        <f aca="false">+AO47</f>
        <v>0.00874180469630037</v>
      </c>
      <c r="AP75" s="60" t="n">
        <f aca="false">+AP47</f>
        <v>0.00792817195118678</v>
      </c>
      <c r="AQ75" s="60" t="n">
        <f aca="false">+AQ47</f>
        <v>0.0727164295690508</v>
      </c>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59"/>
      <c r="AD76" s="53" t="s">
        <v>27</v>
      </c>
      <c r="AE76" s="60" t="n">
        <f aca="false">+AE34</f>
        <v>0.00366798006596891</v>
      </c>
      <c r="AF76" s="60" t="n">
        <f aca="false">+AF34</f>
        <v>0.00430265836737531</v>
      </c>
      <c r="AG76" s="60" t="n">
        <f aca="false">+AG34</f>
        <v>0.00484481490279864</v>
      </c>
      <c r="AH76" s="60" t="n">
        <f aca="false">+AH34</f>
        <v>0.00640441361741817</v>
      </c>
      <c r="AI76" s="60" t="n">
        <f aca="false">+AI34</f>
        <v>0.00840133054691772</v>
      </c>
      <c r="AJ76" s="60" t="n">
        <f aca="false">+AJ34</f>
        <v>0.00976736523034072</v>
      </c>
      <c r="AK76" s="60" t="n">
        <f aca="false">+AK34</f>
        <v>0.0068131958905906</v>
      </c>
      <c r="AL76" s="60" t="n">
        <f aca="false">+AL34</f>
        <v>0.00958169429174527</v>
      </c>
      <c r="AM76" s="60" t="n">
        <f aca="false">+AM34</f>
        <v>0.00933567234841104</v>
      </c>
      <c r="AN76" s="60" t="n">
        <f aca="false">+AN34</f>
        <v>0.00919107126819196</v>
      </c>
      <c r="AO76" s="60" t="n">
        <f aca="false">+AO34</f>
        <v>0.0114433664157829</v>
      </c>
      <c r="AP76" s="60" t="n">
        <f aca="false">+AP34</f>
        <v>0.0104367348387959</v>
      </c>
      <c r="AQ76" s="60" t="n">
        <f aca="false">+AQ34</f>
        <v>0.0983254225037404</v>
      </c>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t="n">
        <f aca="false">+AE19</f>
        <v>0.0100469572011002</v>
      </c>
      <c r="AF77" s="60" t="n">
        <f aca="false">+AF19</f>
        <v>0.0087853587137845</v>
      </c>
      <c r="AG77" s="60" t="n">
        <f aca="false">+AG19</f>
        <v>0.00973181777442234</v>
      </c>
      <c r="AH77" s="60" t="n">
        <f aca="false">+AH19</f>
        <v>0.00878524391320701</v>
      </c>
      <c r="AI77" s="60" t="n">
        <f aca="false">+AI19</f>
        <v>0.0103616631363057</v>
      </c>
      <c r="AJ77" s="60" t="n">
        <f aca="false">+AJ19</f>
        <v>0.00941507013085063</v>
      </c>
      <c r="AK77" s="60" t="n">
        <f aca="false">+AK19</f>
        <v>0.00973152922417442</v>
      </c>
      <c r="AL77" s="60" t="n">
        <f aca="false">+AL19</f>
        <v>0.00886337395135217</v>
      </c>
      <c r="AM77" s="60" t="n">
        <f aca="false">+AM19</f>
        <v>0.00779534514134506</v>
      </c>
      <c r="AN77" s="60" t="n">
        <f aca="false">+AN19</f>
        <v>0.00846015350417906</v>
      </c>
      <c r="AO77" s="60" t="n">
        <f aca="false">+AO19</f>
        <v>0.00752661431064561</v>
      </c>
      <c r="AP77" s="60" t="n">
        <f aca="false">+AP19</f>
        <v>0.00708194994827327</v>
      </c>
      <c r="AQ77" s="60" t="n">
        <f aca="false">+AQ19</f>
        <v>0.111942792636216</v>
      </c>
      <c r="AR77" s="3"/>
      <c r="AS77" s="3"/>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t="n">
        <f aca="false">+AE48</f>
        <v>0.00844131235614931</v>
      </c>
      <c r="AF78" s="60" t="n">
        <f aca="false">+AF48</f>
        <v>0.0073877688517241</v>
      </c>
      <c r="AG78" s="60" t="n">
        <f aca="false">+AG48</f>
        <v>0.00821037864298546</v>
      </c>
      <c r="AH78" s="60" t="n">
        <f aca="false">+AH48</f>
        <v>0.00745817908130753</v>
      </c>
      <c r="AI78" s="60" t="n">
        <f aca="false">+AI48</f>
        <v>0.00882507642095476</v>
      </c>
      <c r="AJ78" s="60" t="n">
        <f aca="false">+AJ48</f>
        <v>0.00800289135407151</v>
      </c>
      <c r="AK78" s="60" t="n">
        <f aca="false">+AK48</f>
        <v>0.00820447209350883</v>
      </c>
      <c r="AL78" s="60" t="n">
        <f aca="false">+AL48</f>
        <v>0.00759628558108139</v>
      </c>
      <c r="AM78" s="60" t="n">
        <f aca="false">+AM48</f>
        <v>0.00678482261305935</v>
      </c>
      <c r="AN78" s="60" t="n">
        <f aca="false">+AN48</f>
        <v>0.00667608269659126</v>
      </c>
      <c r="AO78" s="60" t="n">
        <f aca="false">+AO48</f>
        <v>0.00616956723192952</v>
      </c>
      <c r="AP78" s="60" t="n">
        <f aca="false">+AP48</f>
        <v>0.00610155186395645</v>
      </c>
      <c r="AQ78" s="60" t="n">
        <f aca="false">+AQ48</f>
        <v>0.093648405763658</v>
      </c>
      <c r="AR78" s="3"/>
      <c r="AS78" s="3"/>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t="n">
        <f aca="false">+AE35</f>
        <v>0.011695512268143</v>
      </c>
      <c r="AF79" s="60" t="n">
        <f aca="false">+AF35</f>
        <v>0.011050900699763</v>
      </c>
      <c r="AG79" s="60" t="n">
        <f aca="false">+AG35</f>
        <v>0.0118538498532224</v>
      </c>
      <c r="AH79" s="60" t="n">
        <f aca="false">+AH35</f>
        <v>0.0105936325911318</v>
      </c>
      <c r="AI79" s="60" t="n">
        <f aca="false">+AI35</f>
        <v>0.012356173562736</v>
      </c>
      <c r="AJ79" s="60" t="n">
        <f aca="false">+AJ35</f>
        <v>0.0105379485157908</v>
      </c>
      <c r="AK79" s="60" t="n">
        <f aca="false">+AK35</f>
        <v>0.0109597210248671</v>
      </c>
      <c r="AL79" s="60" t="n">
        <f aca="false">+AL35</f>
        <v>0.0107736626645112</v>
      </c>
      <c r="AM79" s="60" t="n">
        <f aca="false">+AM35</f>
        <v>0.00978856618236779</v>
      </c>
      <c r="AN79" s="60" t="n">
        <f aca="false">+AN35</f>
        <v>0.0095031513541497</v>
      </c>
      <c r="AO79" s="60" t="n">
        <f aca="false">+AO35</f>
        <v>0.00905298029472013</v>
      </c>
      <c r="AP79" s="60" t="n">
        <f aca="false">+AP35</f>
        <v>0.00954082708982607</v>
      </c>
      <c r="AQ79" s="60" t="n">
        <f aca="false">+AQ35</f>
        <v>0.135447103723408</v>
      </c>
      <c r="AR79" s="3"/>
      <c r="AS79" s="3"/>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t="n">
        <f aca="false">+AE20</f>
        <v>0.00735722532416316</v>
      </c>
      <c r="AF80" s="60" t="n">
        <f aca="false">+AF20</f>
        <v>0.00611213912063557</v>
      </c>
      <c r="AG80" s="60" t="n">
        <f aca="false">+AG20</f>
        <v>0.00564735171406094</v>
      </c>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t="n">
        <f aca="false">+AE49</f>
        <v>0.00587192975175177</v>
      </c>
      <c r="AF81" s="60" t="n">
        <f aca="false">+AF49</f>
        <v>0.00508491077058904</v>
      </c>
      <c r="AG81" s="60" t="n">
        <f aca="false">+AG49</f>
        <v>0.0044501495538698</v>
      </c>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0.00854027169005578</v>
      </c>
      <c r="AF82" s="60" t="n">
        <f aca="false">+AF36</f>
        <v>0.00693659029754046</v>
      </c>
      <c r="AG82" s="60" t="n">
        <f aca="false">+AG36</f>
        <v>0.00637907758195611</v>
      </c>
      <c r="AH82" s="60" t="n">
        <f aca="false">+AH36</f>
        <v>0.00715680058605339</v>
      </c>
      <c r="AI82" s="60" t="n">
        <f aca="false">+AI36</f>
        <v>0.00568090206520466</v>
      </c>
      <c r="AJ82" s="60" t="n">
        <f aca="false">+AJ36</f>
        <v>0.00602235285148245</v>
      </c>
      <c r="AK82" s="60" t="n">
        <f aca="false">+AK36</f>
        <v>0.00583968374789068</v>
      </c>
      <c r="AL82" s="60" t="n">
        <f aca="false">+AL36</f>
        <v>0.00573447458370668</v>
      </c>
      <c r="AM82" s="60" t="n">
        <f aca="false">+AM36</f>
        <v>0.00553211413108445</v>
      </c>
      <c r="AN82" s="60" t="n">
        <f aca="false">+AN36</f>
        <v>0.00540211915953481</v>
      </c>
      <c r="AO82" s="60" t="n">
        <f aca="false">+AO36</f>
        <v>0.00490295019804021</v>
      </c>
      <c r="AP82" s="60" t="n">
        <f aca="false">+AP36</f>
        <v>0.00368327324519546</v>
      </c>
      <c r="AQ82" s="60" t="n">
        <f aca="false">+AQ36</f>
        <v>0.0742133417332851</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0.00389647490310496</v>
      </c>
      <c r="AF85" s="60" t="n">
        <f aca="false">+AF37</f>
        <v>0.00398338266350184</v>
      </c>
      <c r="AG85" s="60" t="n">
        <f aca="false">+AG37</f>
        <v>0.0042990639615561</v>
      </c>
      <c r="AH85" s="60" t="n">
        <f aca="false">+AH37</f>
        <v>0.00507672989676489</v>
      </c>
      <c r="AI85" s="60" t="n">
        <f aca="false">+AI37</f>
        <v>0.0052704520022937</v>
      </c>
      <c r="AJ85" s="60" t="n">
        <f aca="false">+AJ37</f>
        <v>0.00483490260089936</v>
      </c>
      <c r="AK85" s="60" t="n">
        <f aca="false">+AK37</f>
        <v>0.00467724742655595</v>
      </c>
      <c r="AL85" s="60" t="n">
        <f aca="false">+AL37</f>
        <v>0.00503491309238857</v>
      </c>
      <c r="AM85" s="60" t="n">
        <f aca="false">+AM37</f>
        <v>0.00456627313457014</v>
      </c>
      <c r="AN85" s="60" t="n">
        <f aca="false">+AN37</f>
        <v>0.0055911736521479</v>
      </c>
      <c r="AO85" s="60" t="n">
        <f aca="false">+AO37</f>
        <v>0.00491110197355926</v>
      </c>
      <c r="AP85" s="60" t="n">
        <f aca="false">+AP37</f>
        <v>0.0053459513102061</v>
      </c>
      <c r="AQ85" s="60" t="n">
        <f aca="false">+AQ37</f>
        <v>0.0549147605709657</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0.00548806398738955</v>
      </c>
      <c r="AF88" s="60" t="n">
        <f aca="false">+AF38</f>
        <v>0.00485192050073824</v>
      </c>
      <c r="AG88" s="60" t="n">
        <f aca="false">+AG38</f>
        <v>0.00502871304118635</v>
      </c>
      <c r="AH88" s="60" t="n">
        <f aca="false">+AH38</f>
        <v>0.00501820001251629</v>
      </c>
      <c r="AI88" s="60"/>
      <c r="AJ88" s="60"/>
      <c r="AK88" s="60"/>
      <c r="AL88" s="60"/>
      <c r="AM88" s="60"/>
      <c r="AN88" s="60"/>
      <c r="AO88" s="60"/>
      <c r="AP88" s="60"/>
      <c r="AQ88" s="60" t="n">
        <f aca="false">+AQ38</f>
        <v>0.0449188137130252</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43008</v>
      </c>
      <c r="AE96" s="62" t="n">
        <v>0.00311210000000006</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D97" s="17" t="n">
        <v>43039</v>
      </c>
      <c r="AE97" s="62" t="n">
        <v>0.00266354947734888</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D98" s="17" t="n">
        <v>43069</v>
      </c>
      <c r="AE98" s="62" t="n">
        <v>0.00270401929468234</v>
      </c>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D99" s="17" t="n">
        <v>43100</v>
      </c>
      <c r="AE99" s="62" t="n">
        <v>0.00300965446914445</v>
      </c>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43131</v>
      </c>
      <c r="AE100" s="62" t="n">
        <v>0.00473727239934226</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43159</v>
      </c>
      <c r="AE101" s="62" t="n">
        <v>0.00378152301954046</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43190</v>
      </c>
      <c r="AE102" s="62" t="n">
        <v>0.00300527511908573</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43220</v>
      </c>
      <c r="AE103" s="62" t="n">
        <v>0.00316130254575997</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43251</v>
      </c>
      <c r="AE104" s="62" t="n">
        <v>0.00310067866389014</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43281</v>
      </c>
      <c r="AE105" s="62" t="n">
        <v>0.00287709140845549</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43312</v>
      </c>
      <c r="AE106" s="62" t="n">
        <v>0.00279025405786912</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43343</v>
      </c>
      <c r="AE107" s="62" t="n">
        <v>0.00269722002207049</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43373</v>
      </c>
      <c r="AE108" s="62" t="n">
        <v>0.00294678677406712</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43404</v>
      </c>
      <c r="AE109" s="62" t="n">
        <v>0.00273411579812808</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43434</v>
      </c>
      <c r="AE110" s="62" t="n">
        <v>0.00284409288655185</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43465</v>
      </c>
      <c r="AE111" s="62" t="n">
        <v>0.00262659891580654</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43496</v>
      </c>
      <c r="AE112" s="62" t="n">
        <v>0.00281430328228941</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43524</v>
      </c>
      <c r="AE113" s="62" t="n">
        <v>0.00282360638687196</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43555</v>
      </c>
      <c r="AE114" s="62" t="n">
        <v>0.00286536279403882</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43585</v>
      </c>
      <c r="AE115" s="62" t="n">
        <v>0.00293240905161363</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c r="AR125" s="4"/>
      <c r="AS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c r="AR126" s="4"/>
      <c r="AS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c r="AR127" s="4"/>
      <c r="AS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3.57847816992818</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13.8919902563959</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c r="S159" s="3" t="s">
        <v>46</v>
      </c>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c r="S160" s="3" t="n">
        <v>274.643963646761</v>
      </c>
      <c r="AR160" s="65"/>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c r="AD179" s="65"/>
      <c r="AE179" s="65"/>
      <c r="AF179" s="65"/>
      <c r="AG179" s="65"/>
      <c r="AH179" s="65"/>
      <c r="AI179" s="65"/>
      <c r="AJ179" s="65"/>
      <c r="AK179" s="65"/>
      <c r="AL179" s="65"/>
      <c r="AM179" s="65"/>
      <c r="AN179" s="65"/>
      <c r="AO179" s="65"/>
      <c r="AP179" s="65"/>
      <c r="AQ179" s="65"/>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G186" s="4" t="n">
        <v>999.9918</v>
      </c>
      <c r="H186" s="4" t="n">
        <f aca="false">+G186+$S$148+$S$150+$S$152+$S$154</f>
        <v>999.9918</v>
      </c>
      <c r="I186" s="25"/>
      <c r="J186" s="18" t="n">
        <v>100</v>
      </c>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G187" s="4" t="n">
        <v>1001.1421</v>
      </c>
      <c r="H187" s="4" t="n">
        <f aca="false">+G187+$S$148+$S$150+$S$152+$S$154</f>
        <v>1001.1421</v>
      </c>
      <c r="I187" s="25" t="n">
        <f aca="false">+(H187/H186-1)/(F187-F186)*11</f>
        <v>0.00140593375087899</v>
      </c>
      <c r="J187" s="18" t="n">
        <f aca="false">+J186*(1+I187)</f>
        <v>100.140593375088</v>
      </c>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G188" s="4" t="n">
        <v>1002.5136</v>
      </c>
      <c r="H188" s="4" t="n">
        <f aca="false">+G188+$S$148+$S$150+$S$152+$S$154</f>
        <v>1002.5136</v>
      </c>
      <c r="I188" s="25" t="n">
        <f aca="false">+(H188/H187-1)/(F188-F187)*30</f>
        <v>0.00132574393237095</v>
      </c>
      <c r="J188" s="18" t="n">
        <f aca="false">+J187*(1+I188)</f>
        <v>100.273354159139</v>
      </c>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G189" s="4" t="n">
        <v>1004.5061</v>
      </c>
      <c r="H189" s="4" t="n">
        <f aca="false">+G189+$S$148+$S$150+$S$152+$S$154</f>
        <v>1004.5061</v>
      </c>
      <c r="I189" s="25" t="n">
        <f aca="false">+(H189/H188-1)/(F189-F188)*30</f>
        <v>0.00198750420941907</v>
      </c>
      <c r="J189" s="18" t="n">
        <f aca="false">+J188*(1+I189)</f>
        <v>100.472647872623</v>
      </c>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G190" s="4" t="n">
        <v>1006.6115</v>
      </c>
      <c r="H190" s="4" t="n">
        <f aca="false">+G190+$S$148+$S$150+$S$152+$S$154</f>
        <v>1006.6115</v>
      </c>
      <c r="I190" s="25" t="n">
        <f aca="false">+(H190/H189-1)/(F190-F189)*30</f>
        <v>0.00202834395029328</v>
      </c>
      <c r="J190" s="18" t="n">
        <f aca="false">+J189*(1+I190)</f>
        <v>100.676440960105</v>
      </c>
      <c r="K190" s="3" t="n">
        <v>4908.7905</v>
      </c>
      <c r="L190" s="25" t="n">
        <f aca="false">+(K190/K189-1)/(F190-F189)*30</f>
        <v>5.81414592230296E-005</v>
      </c>
      <c r="M190" s="19" t="n">
        <f aca="false">+M189*(1+L190)</f>
        <v>100.01767008853</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G191" s="4" t="n">
        <v>1008.302</v>
      </c>
      <c r="H191" s="4" t="n">
        <f aca="false">+G191+$S$148+$S$150+$S$152+$S$154</f>
        <v>1008.302</v>
      </c>
      <c r="I191" s="25" t="n">
        <f aca="false">+(H191/H190-1)/(F191-F190)*30</f>
        <v>0.00167939666892347</v>
      </c>
      <c r="J191" s="18" t="n">
        <f aca="false">+J190*(1+I191)</f>
        <v>100.845516639693</v>
      </c>
      <c r="K191" s="3" t="n">
        <v>4909.0847</v>
      </c>
      <c r="L191" s="25" t="n">
        <f aca="false">+(K191/K190-1)/(F191-F190)*30</f>
        <v>5.99332972144318E-005</v>
      </c>
      <c r="M191" s="19" t="n">
        <f aca="false">+M190*(1+L191)</f>
        <v>100.023664477278</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G192" s="4" t="n">
        <v>1009.937</v>
      </c>
      <c r="H192" s="4" t="n">
        <f aca="false">+G192+$S$148+$S$150+$S$152+$S$154</f>
        <v>1009.937</v>
      </c>
      <c r="I192" s="25" t="n">
        <f aca="false">+(H192/H191-1)/(F192-F191)*30</f>
        <v>0.00156923031444563</v>
      </c>
      <c r="J192" s="18" t="n">
        <f aca="false">+J191*(1+I192)</f>
        <v>101.00376648148</v>
      </c>
      <c r="K192" s="3" t="n">
        <v>4909.3885</v>
      </c>
      <c r="L192" s="25" t="n">
        <f aca="false">+(K192/K191-1)/(F192-F191)*30</f>
        <v>5.98889646373815E-005</v>
      </c>
      <c r="M192" s="19" t="n">
        <f aca="false">+M191*(1+L192)</f>
        <v>100.029654790983</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G193" s="4" t="n">
        <v>1011.1095</v>
      </c>
      <c r="H193" s="4" t="n">
        <f aca="false">+G193+$S$148+$S$150+$S$152+$S$154</f>
        <v>1011.1095</v>
      </c>
      <c r="I193" s="25" t="n">
        <f aca="false">+(H193/H192-1)/(F193-F192)*30</f>
        <v>0.00112351306997848</v>
      </c>
      <c r="J193" s="18" t="n">
        <f aca="false">+J192*(1+I193)</f>
        <v>101.117245533239</v>
      </c>
      <c r="K193" s="3" t="n">
        <v>4909.6931</v>
      </c>
      <c r="L193" s="25" t="n">
        <f aca="false">+(K193/K192-1)/(F193-F192)*30</f>
        <v>6.00429551559976E-005</v>
      </c>
      <c r="M193" s="19" t="n">
        <f aca="false">+M192*(1+L193)</f>
        <v>100.03566086706</v>
      </c>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G194" s="4" t="n">
        <v>1012.4333</v>
      </c>
      <c r="H194" s="4" t="n">
        <f aca="false">+G194+$S$148+$S$150+$S$152+$S$154</f>
        <v>1012.4333</v>
      </c>
      <c r="I194" s="25" t="n">
        <f aca="false">+(H194/H193-1)/(F194-F193)*30</f>
        <v>0.00130925483342814</v>
      </c>
      <c r="J194" s="18" t="n">
        <f aca="false">+J193*(1+I194)</f>
        <v>101.249633775696</v>
      </c>
      <c r="K194" s="18" t="n">
        <v>4909.1149</v>
      </c>
      <c r="L194" s="25" t="n">
        <f aca="false">+(K194/K193-1)/(F194-F193)*30</f>
        <v>-0.000117767035173966</v>
      </c>
      <c r="M194" s="19" t="n">
        <f aca="false">+M193*(1+L194)</f>
        <v>100.023879963868</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G195" s="4" t="n">
        <v>1014.0988</v>
      </c>
      <c r="H195" s="4" t="n">
        <f aca="false">+G195+$S$148+$S$150+$S$152+$S$154</f>
        <v>1014.0988</v>
      </c>
      <c r="I195" s="25" t="n">
        <f aca="false">+(H195/H194-1)/(F195-F194)*30</f>
        <v>0.00159198062089466</v>
      </c>
      <c r="J195" s="18" t="n">
        <f aca="false">+J194*(1+I195)</f>
        <v>101.41082123054</v>
      </c>
      <c r="K195" s="18" t="n">
        <v>4914.1336</v>
      </c>
      <c r="L195" s="25" t="n">
        <f aca="false">+(K195/K194-1)/(F195-F194)*30</f>
        <v>0.00098934462740187</v>
      </c>
      <c r="M195" s="19" t="n">
        <f aca="false">+M194*(1+L195)</f>
        <v>100.122838052122</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G196" s="4" t="n">
        <v>1016.0044</v>
      </c>
      <c r="H196" s="4" t="n">
        <f aca="false">+G196+$S$148+$S$150+$S$152+$S$154</f>
        <v>1016.0044</v>
      </c>
      <c r="I196" s="25" t="n">
        <f aca="false">+(H196/H195-1)/(F196-F195)*30</f>
        <v>0.00187910684836634</v>
      </c>
      <c r="J196" s="18" t="n">
        <f aca="false">+J195*(1+I196)</f>
        <v>101.601382999212</v>
      </c>
      <c r="K196" s="18" t="n">
        <v>4920.3216</v>
      </c>
      <c r="L196" s="25" t="n">
        <f aca="false">+(K196/K195-1)/(F196-F195)*30</f>
        <v>0.00125922502391873</v>
      </c>
      <c r="M196" s="19" t="n">
        <f aca="false">+M195*(1+L196)</f>
        <v>100.248915235263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G197" s="4" t="n">
        <f aca="false">1015.2384</f>
        <v>1015.2384</v>
      </c>
      <c r="H197" s="4" t="n">
        <f aca="false">+G197+$S$148+$S$150+$S$152+$S$154+$S$156</f>
        <v>1018.81687816993</v>
      </c>
      <c r="I197" s="25" t="n">
        <f aca="false">+(H197/H196-1)/(F197-F196)*30</f>
        <v>0.00267887921319283</v>
      </c>
      <c r="J197" s="18" t="n">
        <f aca="false">+J196*(1+I197)</f>
        <v>101.873560832161</v>
      </c>
      <c r="K197" s="18" t="n">
        <v>4929.2918</v>
      </c>
      <c r="L197" s="25" t="n">
        <f aca="false">+(K197/K196-1)/(F197-F196)*30</f>
        <v>0.00176428278787249</v>
      </c>
      <c r="M197" s="19" t="n">
        <f aca="false">+M196*(1+L197)</f>
        <v>100.425782670916</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G198" s="4" t="n">
        <v>1018.9754</v>
      </c>
      <c r="H198" s="4" t="n">
        <f aca="false">+G198+$S$148+$S$150+$S$152+$S$154+$S$156</f>
        <v>1022.55387816993</v>
      </c>
      <c r="I198" s="25" t="n">
        <f aca="false">+(H198/H197-1)/(F198-F197)*30</f>
        <v>0.00354965812835701</v>
      </c>
      <c r="J198" s="18" t="n">
        <f aca="false">+J197*(1+I198)</f>
        <v>102.235177145433</v>
      </c>
      <c r="K198" s="3" t="n">
        <v>4941.9683</v>
      </c>
      <c r="L198" s="25" t="n">
        <f aca="false">+(K198/K197-1)/(F198-F197)*30</f>
        <v>0.00248871057809198</v>
      </c>
      <c r="M198" s="19" t="n">
        <f aca="false">+M197*(1+L198)</f>
        <v>100.675713378562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G199" s="4" t="n">
        <v>1023.3751</v>
      </c>
      <c r="H199" s="4" t="n">
        <f aca="false">+G199+$S$148+$S$150+$S$152+$S$154+$S$156</f>
        <v>1026.95357816993</v>
      </c>
      <c r="I199" s="25" t="n">
        <f aca="false">+(H199/H198-1)/(F199-F198)*30</f>
        <v>0.00460999110790212</v>
      </c>
      <c r="J199" s="18" t="n">
        <f aca="false">+J198*(1+I199)</f>
        <v>102.706480402988</v>
      </c>
      <c r="K199" s="18" t="n">
        <v>4958.2785</v>
      </c>
      <c r="L199" s="25" t="n">
        <f aca="false">+(K199/K198-1)/(F199-F198)*30</f>
        <v>0.00353608384855779</v>
      </c>
      <c r="M199" s="19" t="n">
        <f aca="false">+M198*(1+L199)</f>
        <v>101.031711142582</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G200" s="4" t="n">
        <v>1028.3505</v>
      </c>
      <c r="H200" s="4" t="n">
        <f aca="false">+G200+$S$148+$S$150+$S$152+$S$154+$S$156</f>
        <v>1031.92897816993</v>
      </c>
      <c r="I200" s="25" t="n">
        <f aca="false">+(H200/H199-1)/(F200-F199)*30</f>
        <v>0.00468853055109546</v>
      </c>
      <c r="J200" s="18" t="n">
        <f aca="false">+J199*(1+I200)</f>
        <v>103.188022874153</v>
      </c>
      <c r="K200" s="18" t="n">
        <v>4977.0833</v>
      </c>
      <c r="L200" s="25" t="n">
        <f aca="false">+(K200/K199-1)/(F200-F199)*30</f>
        <v>0.00367026449772572</v>
      </c>
      <c r="M200" s="19" t="n">
        <f aca="false">+M199*(1+L200)</f>
        <v>101.402524245133</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G201" s="4" t="n">
        <v>1034.9594</v>
      </c>
      <c r="H201" s="4" t="n">
        <f aca="false">+G201+$S$148+$S$150+$S$152+$S$154+$S$156</f>
        <v>1038.53787816993</v>
      </c>
      <c r="I201" s="25" t="n">
        <f aca="false">+(H201/H200-1)/(F201-F200)*30</f>
        <v>0.00640441361741817</v>
      </c>
      <c r="J201" s="18" t="n">
        <f aca="false">+J200*(1+I201)</f>
        <v>103.848881653003</v>
      </c>
      <c r="K201" s="18" t="n">
        <v>4999.8366</v>
      </c>
      <c r="L201" s="25" t="n">
        <f aca="false">+(K201/K200-1)/(F201-F200)*30</f>
        <v>0.00457161325790945</v>
      </c>
      <c r="M201" s="19" t="n">
        <f aca="false">+M200*(1+L201)</f>
        <v>101.866097369358</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44712</v>
      </c>
      <c r="G202" s="4" t="n">
        <v>1043.6845</v>
      </c>
      <c r="H202" s="4" t="n">
        <f aca="false">+G202+$S$148+$S$150+$S$152+$S$154+$S$156</f>
        <v>1047.26297816993</v>
      </c>
      <c r="I202" s="25" t="n">
        <f aca="false">+(H202/H201-1)/(F202-F201)*30</f>
        <v>0.00813031988411392</v>
      </c>
      <c r="J202" s="18" t="n">
        <f aca="false">+J201*(1+I202)</f>
        <v>104.693206280449</v>
      </c>
      <c r="K202" s="3" t="n">
        <v>5027.3885</v>
      </c>
      <c r="L202" s="25" t="n">
        <f aca="false">+(K202/K201-1)/(F202-F201)*30</f>
        <v>0.00533280008235847</v>
      </c>
      <c r="M202" s="19" t="n">
        <f aca="false">+M201*(1+L202)</f>
        <v>102.409328901798</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G203" s="4" t="n">
        <v>1053.9135</v>
      </c>
      <c r="H203" s="4" t="n">
        <f aca="false">+G203+$S$148+$S$150+$S$152+$S$154+$S$156</f>
        <v>1057.49197816993</v>
      </c>
      <c r="I203" s="25" t="n">
        <f aca="false">+(H203/H202-1)/(F203-F202)*30</f>
        <v>0.00976736523034072</v>
      </c>
      <c r="J203" s="18" t="n">
        <f aca="false">+J202*(1+I203)</f>
        <v>105.715783063326</v>
      </c>
      <c r="K203" s="18" t="n">
        <v>5056.9676</v>
      </c>
      <c r="L203" s="25" t="n">
        <f aca="false">+(K203/K202-1)/(F203-F202)*30</f>
        <v>0.00588359145110817</v>
      </c>
      <c r="M203" s="19" t="n">
        <f aca="false">+M202*(1+L203)</f>
        <v>103.011863553839</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G204" s="4" t="n">
        <v>1061.1184</v>
      </c>
      <c r="H204" s="4" t="n">
        <f aca="false">+G204+$S$148+$S$150+$S$152+$S$154+$S$156</f>
        <v>1064.69687816993</v>
      </c>
      <c r="I204" s="25" t="n">
        <f aca="false">+(H204/H203-1)/(F204-F203)*30</f>
        <v>0.0065934153779909</v>
      </c>
      <c r="J204" s="18" t="n">
        <f aca="false">+J203*(1+I204)</f>
        <v>106.412811133072</v>
      </c>
      <c r="K204" s="3" t="n">
        <v>5089.8979</v>
      </c>
      <c r="L204" s="25" t="n">
        <f aca="false">+(K204/K203-1)/(F204-F203)*30</f>
        <v>0.00630180669104238</v>
      </c>
      <c r="M204" s="19" t="n">
        <f aca="false">+M203*(1+L204)</f>
        <v>103.661024404839</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G205" s="4" t="n">
        <v>1071.32</v>
      </c>
      <c r="H205" s="4" t="n">
        <f aca="false">+G205+$S$148+$S$150+$S$152+$S$154+$S$156</f>
        <v>1074.89847816993</v>
      </c>
      <c r="I205" s="25" t="n">
        <f aca="false">+(H205/H204-1)/(F205-F204)*30</f>
        <v>0.00927260737910832</v>
      </c>
      <c r="J205" s="18" t="n">
        <f aca="false">+J204*(1+I205)</f>
        <v>107.399535350816</v>
      </c>
      <c r="K205" s="18" t="n">
        <v>5125.6822</v>
      </c>
      <c r="L205" s="25" t="n">
        <f aca="false">+(K205/K204-1)/(F205-F204)*30</f>
        <v>0.00680366648257052</v>
      </c>
      <c r="M205" s="19" t="n">
        <f aca="false">+M204*(1+L205)</f>
        <v>104.366299442131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G206" s="4" t="n">
        <v>1081.3549</v>
      </c>
      <c r="H206" s="4" t="n">
        <f aca="false">+G206+$S$148+$S$150+$S$152+$S$154+$S$156</f>
        <v>1084.93337816993</v>
      </c>
      <c r="I206" s="25" t="n">
        <f aca="false">+(H206/H205-1)/(F206-F205)*30</f>
        <v>0.00933567234841104</v>
      </c>
      <c r="J206" s="18" t="n">
        <f aca="false">+J205*(1+I206)</f>
        <v>108.402182223223</v>
      </c>
      <c r="K206" s="18" t="n">
        <v>5163.2829</v>
      </c>
      <c r="L206" s="25" t="n">
        <f aca="false">+(K206/K205-1)/(F206-F205)*30</f>
        <v>0.00733574547403659</v>
      </c>
      <c r="M206" s="19" t="n">
        <f aca="false">+M205*(1+L206)</f>
        <v>105.131904050906</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G207" s="4" t="n">
        <v>1091.3266</v>
      </c>
      <c r="H207" s="4" t="n">
        <f aca="false">+G207+$S$148+$S$150+$S$152+$S$154+$S$156</f>
        <v>1094.90507816993</v>
      </c>
      <c r="I207" s="25" t="n">
        <f aca="false">+(H207/H206-1)/(F207-F206)*30</f>
        <v>0.0098475763587771</v>
      </c>
      <c r="J207" s="18" t="n">
        <f aca="false">+J206*(1+I207)</f>
        <v>109.469680990124</v>
      </c>
      <c r="K207" s="18" t="n">
        <v>5200.6767</v>
      </c>
      <c r="L207" s="25" t="n">
        <f aca="false">+(K207/K206-1)/(F207-F206)*30</f>
        <v>0.00775955656318685</v>
      </c>
      <c r="M207" s="19" t="n">
        <f aca="false">+M206*(1+L207)</f>
        <v>105.947681006984</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G208" s="4" t="n">
        <v>1103.856</v>
      </c>
      <c r="H208" s="4" t="n">
        <f aca="false">+G208+$S$148+$S$150+$S$152+$S$154+$S$156</f>
        <v>1107.43447816993</v>
      </c>
      <c r="I208" s="25" t="n">
        <f aca="false">+(H208/H207-1)/(F208-F207)*30</f>
        <v>0.0104030603779845</v>
      </c>
      <c r="J208" s="18" t="n">
        <f aca="false">+J207*(1+I208)</f>
        <v>110.608500691023</v>
      </c>
      <c r="K208" s="3" t="n">
        <v>5246.14</v>
      </c>
      <c r="L208" s="25" t="n">
        <f aca="false">+(K208/K207-1)/(F208-F207)*30</f>
        <v>0.00794709517845488</v>
      </c>
      <c r="M208" s="19" t="n">
        <f aca="false">+M207*(1+L208)</f>
        <v>106.789657311883</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G209" s="4" t="n">
        <v>1115.414</v>
      </c>
      <c r="H209" s="4" t="n">
        <f aca="false">+G209+$S$148+$S$150+$S$152+$S$154+$S$156</f>
        <v>1118.99247816993</v>
      </c>
      <c r="I209" s="25" t="n">
        <f aca="false">+(H209/H208-1)/(F209-F208)*30</f>
        <v>0.0104367348387959</v>
      </c>
      <c r="J209" s="18" t="n">
        <f aca="false">+J208*(1+I209)</f>
        <v>111.762892283652</v>
      </c>
      <c r="K209" s="3" t="n">
        <v>5287.7323</v>
      </c>
      <c r="L209" s="25" t="n">
        <f aca="false">+(K209/K208-1)/(F209-F208)*30</f>
        <v>0.00792817195118678</v>
      </c>
      <c r="M209" s="19" t="n">
        <f aca="false">+M208*(1+L209)</f>
        <v>107.63630407766</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G210" s="4" t="n">
        <v>1114.6092</v>
      </c>
      <c r="H210" s="4" t="n">
        <f aca="false">+G210+$S$148+$S$150+$S$152+$S$154+$S$156+$S$158</f>
        <v>1132.07966842632</v>
      </c>
      <c r="I210" s="25" t="n">
        <f aca="false">+(H210/H209-1)/(F210-F209)*30</f>
        <v>0.0109645427513841</v>
      </c>
      <c r="J210" s="18" t="n">
        <f aca="false">+J209*(1+I210)</f>
        <v>112.988321294115</v>
      </c>
      <c r="K210" s="3" t="n">
        <v>5332.3677</v>
      </c>
      <c r="L210" s="25" t="n">
        <f aca="false">+(K210/K209-1)/(F210-F209)*30</f>
        <v>0.00791373033388998</v>
      </c>
      <c r="M210" s="19" t="n">
        <f aca="false">+M209*(1+L210)</f>
        <v>108.488108762268</v>
      </c>
    </row>
    <row r="211" customFormat="false" ht="15" hidden="false" customHeight="false" outlineLevel="0" collapsed="false">
      <c r="A211" s="17" t="n">
        <v>44985</v>
      </c>
      <c r="B211" s="3" t="n">
        <v>21310.51</v>
      </c>
      <c r="C211" s="25" t="n">
        <f aca="false">(B211/B210-1)/(A211-A210)*30</f>
        <v>0.00941288433619768</v>
      </c>
      <c r="D211" s="19" t="n">
        <f aca="false">+D210*(1+C211)</f>
        <v>112.130838375386</v>
      </c>
      <c r="F211" s="17" t="n">
        <v>44985</v>
      </c>
      <c r="G211" s="4" t="n">
        <v>1127.1197</v>
      </c>
      <c r="H211" s="4" t="n">
        <f aca="false">+G211+$S$148+$S$150+$S$152+$S$154+$S$156+$S$158</f>
        <v>1144.59016842632</v>
      </c>
      <c r="I211" s="25" t="n">
        <f aca="false">+(H211/H210-1)/(F211-F210)*30</f>
        <v>0.0118402507497461</v>
      </c>
      <c r="J211" s="18" t="n">
        <f aca="false">+J210*(1+I211)</f>
        <v>114.32613135003</v>
      </c>
      <c r="K211" s="3" t="n">
        <v>5371.762</v>
      </c>
      <c r="L211" s="25" t="n">
        <f aca="false">+(K211/K210-1)/(F211-F210)*30</f>
        <v>0.00791546662684725</v>
      </c>
      <c r="M211" s="19" t="n">
        <f aca="false">+M210*(1+L211)</f>
        <v>109.346842766585</v>
      </c>
    </row>
    <row r="212" customFormat="false" ht="15" hidden="false" customHeight="false" outlineLevel="0" collapsed="false">
      <c r="A212" s="17" t="n">
        <v>45016</v>
      </c>
      <c r="B212" s="3" t="n">
        <v>21517.9</v>
      </c>
      <c r="C212" s="25" t="n">
        <f aca="false">(B212/B211-1)/(A212-A211)*30</f>
        <v>0.00941788816879581</v>
      </c>
      <c r="D212" s="19" t="n">
        <f aca="false">+D211*(1+C212)</f>
        <v>113.186874071478</v>
      </c>
      <c r="F212" s="17" t="n">
        <v>45016</v>
      </c>
      <c r="G212" s="4" t="n">
        <v>1140.6875</v>
      </c>
      <c r="H212" s="4" t="n">
        <f aca="false">+G212+$S$148+$S$150+$S$152+$S$154+$S$156+$S$158</f>
        <v>1158.15796842632</v>
      </c>
      <c r="I212" s="25" t="n">
        <f aca="false">+(H212/H211-1)/(F212-F211)*30</f>
        <v>0.0114714675998926</v>
      </c>
      <c r="J212" s="18" t="n">
        <f aca="false">+J211*(1+I212)</f>
        <v>115.637619861633</v>
      </c>
      <c r="K212" s="3" t="n">
        <v>5415.8662</v>
      </c>
      <c r="L212" s="25" t="n">
        <f aca="false">+(K212/K211-1)/(F212-F211)*30</f>
        <v>0.00794552771901819</v>
      </c>
      <c r="M212" s="19" t="n">
        <f aca="false">+M211*(1+L212)</f>
        <v>110.215661136774</v>
      </c>
    </row>
    <row r="213" customFormat="false" ht="15" hidden="false" customHeight="false" outlineLevel="0" collapsed="false">
      <c r="A213" s="17" t="n">
        <v>45044</v>
      </c>
      <c r="B213" s="3" t="n">
        <v>21706.94</v>
      </c>
      <c r="C213" s="25" t="n">
        <f aca="false">(B213/B212-1)/(A213-A212)*30</f>
        <v>0.00941276133557894</v>
      </c>
      <c r="D213" s="19" t="n">
        <f aca="false">+D212*(1+C213)</f>
        <v>114.252275103434</v>
      </c>
      <c r="F213" s="17" t="n">
        <v>45044</v>
      </c>
      <c r="G213" s="4" t="n">
        <v>1152.9566</v>
      </c>
      <c r="H213" s="4" t="n">
        <f aca="false">+G213+$S$148+$S$150+$S$152+$S$154+$S$156+$S$158</f>
        <v>1170.42706842632</v>
      </c>
      <c r="I213" s="25" t="n">
        <f aca="false">+(H213/H212-1)/(F213-F212)*30</f>
        <v>0.0113503206333555</v>
      </c>
      <c r="J213" s="18" t="n">
        <f aca="false">+J212*(1+I213)</f>
        <v>116.95014392434</v>
      </c>
      <c r="K213" s="3" t="n">
        <v>5456.2587</v>
      </c>
      <c r="L213" s="25" t="n">
        <f aca="false">+(K213/K212-1)/(F213-F212)*30</f>
        <v>0.00799090615854378</v>
      </c>
      <c r="M213" s="19" t="n">
        <f aca="false">+M212*(1+L213)</f>
        <v>111.09638414212</v>
      </c>
    </row>
    <row r="214" customFormat="false" ht="15" hidden="false" customHeight="false" outlineLevel="0" collapsed="false">
      <c r="A214" s="17" t="n">
        <v>45077</v>
      </c>
      <c r="B214" s="3" t="n">
        <v>21931.86</v>
      </c>
      <c r="C214" s="25" t="n">
        <f aca="false">(B214/B213-1)/(A214-A213)*30</f>
        <v>0.00941969376027792</v>
      </c>
      <c r="D214" s="19" t="n">
        <f aca="false">+D213*(1+C214)</f>
        <v>115.328496546323</v>
      </c>
      <c r="F214" s="17" t="n">
        <v>45077</v>
      </c>
      <c r="G214" s="4" t="n">
        <v>1167.4186</v>
      </c>
      <c r="H214" s="4" t="n">
        <f aca="false">+G214+$S$148+$S$150+$S$152+$S$154+$S$156+$S$158</f>
        <v>1184.88906842632</v>
      </c>
      <c r="I214" s="25" t="n">
        <f aca="false">+(H214/H213-1)/(F214-F213)*30</f>
        <v>0.0112328850570327</v>
      </c>
      <c r="J214" s="18" t="n">
        <f aca="false">+J213*(1+I214)</f>
        <v>118.263831448446</v>
      </c>
      <c r="K214" s="18" t="n">
        <v>5504.4106</v>
      </c>
      <c r="L214" s="25" t="n">
        <f aca="false">+(K214/K213-1)/(F214-F213)*30</f>
        <v>0.00802279674632251</v>
      </c>
      <c r="M214" s="19" t="n">
        <f aca="false">+M213*(1+L214)</f>
        <v>111.987687851343</v>
      </c>
    </row>
    <row r="215" customFormat="false" ht="15" hidden="false" customHeight="false" outlineLevel="0" collapsed="false">
      <c r="A215" s="17" t="n">
        <v>45107</v>
      </c>
      <c r="B215" s="3" t="n">
        <v>22138.35</v>
      </c>
      <c r="C215" s="25" t="n">
        <f aca="false">(B215/B214-1)/(A215-A214)*30</f>
        <v>0.00941507013085063</v>
      </c>
      <c r="D215" s="19" t="n">
        <f aca="false">+D214*(1+C215)</f>
        <v>116.414322429392</v>
      </c>
      <c r="F215" s="17" t="n">
        <v>45107</v>
      </c>
      <c r="G215" s="4" t="n">
        <v>1179.9049</v>
      </c>
      <c r="H215" s="4" t="n">
        <f aca="false">+G215+$S$148+$S$150+$S$152+$S$154+$S$156+$S$158</f>
        <v>1197.37536842632</v>
      </c>
      <c r="I215" s="25" t="n">
        <f aca="false">+(H215/H214-1)/(F215-F214)*30</f>
        <v>0.0105379485157908</v>
      </c>
      <c r="J215" s="18" t="n">
        <f aca="false">+J214*(1+I215)</f>
        <v>119.51008961553</v>
      </c>
      <c r="K215" s="3" t="n">
        <v>5548.4618</v>
      </c>
      <c r="L215" s="25" t="n">
        <f aca="false">+(K215/K214-1)/(F215-F214)*30</f>
        <v>0.00800289135407151</v>
      </c>
      <c r="M215" s="19" t="n">
        <f aca="false">+M214*(1+L215)</f>
        <v>112.883913150211</v>
      </c>
    </row>
    <row r="216" customFormat="false" ht="15" hidden="false" customHeight="false" outlineLevel="0" collapsed="false">
      <c r="A216" s="17" t="n">
        <v>45138</v>
      </c>
      <c r="B216" s="3" t="n">
        <v>22353.79</v>
      </c>
      <c r="C216" s="25" t="n">
        <f aca="false">(B216/B215-1)/(A216-A215)*30</f>
        <v>0.00941760892662041</v>
      </c>
      <c r="D216" s="19" t="n">
        <f aca="false">+D215*(1+C216)</f>
        <v>117.51066699149</v>
      </c>
      <c r="F216" s="17" t="n">
        <v>45138</v>
      </c>
      <c r="G216" s="4" t="n">
        <v>1193.0278</v>
      </c>
      <c r="H216" s="4" t="n">
        <f aca="false">+G216+$S$148+$S$150+$S$152+$S$154+$S$156+$S$158</f>
        <v>1210.49826842632</v>
      </c>
      <c r="I216" s="25" t="n">
        <f aca="false">+(H216/H215-1)/(F216-F215)*30</f>
        <v>0.0106061816369681</v>
      </c>
      <c r="J216" s="18" t="n">
        <f aca="false">+J215*(1+I216)</f>
        <v>120.777635333442</v>
      </c>
      <c r="K216" s="3" t="n">
        <v>5593.984</v>
      </c>
      <c r="L216" s="25" t="n">
        <f aca="false">+(K216/K215-1)/(F216-F215)*30</f>
        <v>0.00793981170339564</v>
      </c>
      <c r="M216" s="19" t="n">
        <f aca="false">+M215*(1+L216)</f>
        <v>113.780190164967</v>
      </c>
    </row>
    <row r="217" customFormat="false" ht="15" hidden="false" customHeight="false" outlineLevel="0" collapsed="false">
      <c r="A217" s="17" t="n">
        <v>45169</v>
      </c>
      <c r="B217" s="3" t="n">
        <v>22551.92</v>
      </c>
      <c r="C217" s="25" t="n">
        <f aca="false">(B217/B216-1)/(A217-A216)*30</f>
        <v>0.00857745866259888</v>
      </c>
      <c r="D217" s="19" t="n">
        <f aca="false">+D216*(1+C217)</f>
        <v>118.518609880024</v>
      </c>
      <c r="F217" s="17" t="n">
        <v>45169</v>
      </c>
      <c r="G217" s="4" t="n">
        <v>1206.0693</v>
      </c>
      <c r="H217" s="4" t="n">
        <f aca="false">+G217+$S$148+$S$150+$S$152+$S$154+$S$156+$S$158</f>
        <v>1223.53976842632</v>
      </c>
      <c r="I217" s="25" t="n">
        <f aca="false">+(H217/H216-1)/(F217-F216)*30</f>
        <v>0.0104261251592044</v>
      </c>
      <c r="J217" s="18" t="n">
        <f aca="false">+J216*(1+I217)</f>
        <v>122.036878075862</v>
      </c>
      <c r="K217" s="18" t="n">
        <v>5636.4775</v>
      </c>
      <c r="L217" s="25" t="n">
        <f aca="false">+(K217/K216-1)/(F217-F216)*30</f>
        <v>0.00735124411072392</v>
      </c>
      <c r="M217" s="19" t="n">
        <f aca="false">+M216*(1+L217)</f>
        <v>114.616616117834</v>
      </c>
    </row>
    <row r="218" customFormat="false" ht="15" hidden="false" customHeight="false" outlineLevel="0" collapsed="false">
      <c r="A218" s="17" t="n">
        <v>45199</v>
      </c>
      <c r="B218" s="3" t="n">
        <v>22727.72</v>
      </c>
      <c r="C218" s="25" t="n">
        <f aca="false">(B218/B217-1)/(A218-A217)*30</f>
        <v>0.00779534514134506</v>
      </c>
      <c r="D218" s="19" t="n">
        <f aca="false">+D217*(1+C218)</f>
        <v>119.442503349711</v>
      </c>
      <c r="F218" s="17" t="n">
        <v>45199</v>
      </c>
      <c r="G218" s="4" t="n">
        <v>1218.046</v>
      </c>
      <c r="H218" s="4" t="n">
        <f aca="false">+G218+$S$148+$S$150+$S$152+$S$154+$S$156+$S$158</f>
        <v>1235.51646842632</v>
      </c>
      <c r="I218" s="25" t="n">
        <f aca="false">+(H218/H217-1)/(F218-F217)*30</f>
        <v>0.00978856618236779</v>
      </c>
      <c r="J218" s="18" t="n">
        <f aca="false">+J217*(1+I218)</f>
        <v>123.231444133597</v>
      </c>
      <c r="K218" s="3" t="n">
        <v>5674.72</v>
      </c>
      <c r="L218" s="25" t="n">
        <f aca="false">+(K218/K217-1)/(F218-F217)*30</f>
        <v>0.00678482261305935</v>
      </c>
      <c r="M218" s="19" t="n">
        <f aca="false">+M217*(1+L218)</f>
        <v>115.394269526702</v>
      </c>
    </row>
    <row r="219" customFormat="false" ht="15" hidden="false" customHeight="false" outlineLevel="0" collapsed="false">
      <c r="A219" s="17" t="n">
        <v>45230</v>
      </c>
      <c r="B219" s="19" t="n">
        <v>22920</v>
      </c>
      <c r="C219" s="25" t="n">
        <f aca="false">(B219/B218-1)/(A219-A218)*30</f>
        <v>0.0081872453266249</v>
      </c>
      <c r="D219" s="19" t="n">
        <f aca="false">+D218*(1+C219)</f>
        <v>120.420408427061</v>
      </c>
      <c r="F219" s="17" t="n">
        <v>45230</v>
      </c>
      <c r="G219" s="4" t="n">
        <v>1229.7873</v>
      </c>
      <c r="H219" s="4" t="n">
        <f aca="false">+G219+$S$148+$S$150+$S$152+$S$154+$S$156+$S$158</f>
        <v>1247.25776842632</v>
      </c>
      <c r="I219" s="25" t="n">
        <f aca="false">+(H219/H218-1)/(F219-F218)*30</f>
        <v>0.009196598084661</v>
      </c>
      <c r="J219" s="18" t="n">
        <f aca="false">+J218*(1+I219)</f>
        <v>124.364754196686</v>
      </c>
      <c r="K219" s="3" t="n">
        <v>5712.6049</v>
      </c>
      <c r="L219" s="25" t="n">
        <f aca="false">+(K219/K218-1)/(F219-F218)*30</f>
        <v>0.0064607251902496</v>
      </c>
      <c r="M219" s="19" t="n">
        <f aca="false">+M218*(1+L219)</f>
        <v>116.139800190644</v>
      </c>
    </row>
    <row r="220" customFormat="false" ht="15" hidden="false" customHeight="false" outlineLevel="0" collapsed="false">
      <c r="A220" s="17" t="n">
        <v>45260</v>
      </c>
      <c r="B220" s="3" t="n">
        <v>23092.51</v>
      </c>
      <c r="C220" s="25" t="n">
        <f aca="false">(B220/B219-1)/(A220-A219)*30</f>
        <v>0.00752661431064561</v>
      </c>
      <c r="D220" s="19" t="n">
        <f aca="false">+D219*(1+C220)</f>
        <v>121.326766396422</v>
      </c>
      <c r="F220" s="17" t="n">
        <v>45260</v>
      </c>
      <c r="G220" s="4" t="n">
        <v>1241.0787</v>
      </c>
      <c r="H220" s="4" t="n">
        <f aca="false">+G220+$S$148+$S$150+$S$152+$S$154+$S$156+$S$158</f>
        <v>1258.54916842632</v>
      </c>
      <c r="I220" s="25" t="n">
        <f aca="false">+(H220/H219-1)/(F220-F219)*30</f>
        <v>0.00905298029472013</v>
      </c>
      <c r="J220" s="18" t="n">
        <f aca="false">+J219*(1+I220)</f>
        <v>125.490625865786</v>
      </c>
      <c r="K220" s="3" t="n">
        <v>5747.8492</v>
      </c>
      <c r="L220" s="25" t="n">
        <f aca="false">+(K220/K219-1)/(F220-F219)*30</f>
        <v>0.00616956723192952</v>
      </c>
      <c r="M220" s="19" t="n">
        <f aca="false">+M219*(1+L220)</f>
        <v>116.856332496223</v>
      </c>
    </row>
    <row r="221" customFormat="false" ht="15" hidden="false" customHeight="false" outlineLevel="0" collapsed="false">
      <c r="A221" s="17" t="n">
        <v>45291</v>
      </c>
      <c r="B221" s="3" t="n">
        <v>23256.05</v>
      </c>
      <c r="C221" s="25" t="n">
        <f aca="false">(B221/B220-1)/(A221-A220)*30</f>
        <v>0.00685349994994187</v>
      </c>
      <c r="D221" s="19" t="n">
        <f aca="false">+D220*(1+C221)</f>
        <v>122.158279383846</v>
      </c>
      <c r="F221" s="17" t="n">
        <v>45291</v>
      </c>
      <c r="G221" s="4" t="n">
        <v>1253.0863</v>
      </c>
      <c r="H221" s="4" t="n">
        <f aca="false">+G221+$S$148+$S$150+$S$152+$S$154+$S$156+$S$158</f>
        <v>1270.55676842632</v>
      </c>
      <c r="I221" s="25" t="n">
        <f aca="false">+(H221/H220-1)/(F221-F220)*30</f>
        <v>0.00923305847402522</v>
      </c>
      <c r="J221" s="18" t="n">
        <f aca="false">+J220*(1+I221)</f>
        <v>126.649288152347</v>
      </c>
      <c r="K221" s="3" t="n">
        <v>5782.92</v>
      </c>
      <c r="L221" s="25" t="n">
        <f aca="false">+(K221/K220-1)/(F221-F220)*30</f>
        <v>0.00590472761028043</v>
      </c>
      <c r="M221" s="19" t="n">
        <f aca="false">+M220*(1+L221)</f>
        <v>117.54633730915</v>
      </c>
    </row>
    <row r="222" customFormat="false" ht="15" hidden="false" customHeight="false" outlineLevel="0" collapsed="false">
      <c r="A222" s="17" t="n">
        <v>45322</v>
      </c>
      <c r="B222" s="3" t="n">
        <v>23427.15</v>
      </c>
      <c r="C222" s="25" t="n">
        <f aca="false">(B222/B221-1)/(A222-A221)*30</f>
        <v>0.00711989547499661</v>
      </c>
      <c r="D222" s="19" t="n">
        <f aca="false">+D221*(1+C222)</f>
        <v>123.028033564465</v>
      </c>
      <c r="F222" s="17" t="n">
        <v>45322</v>
      </c>
      <c r="G222" s="4" t="n">
        <v>1263.9372</v>
      </c>
      <c r="H222" s="4" t="n">
        <f aca="false">+G222+$S$148+$S$150+$S$152+$S$154+$S$156+$S$158</f>
        <v>1281.40766842632</v>
      </c>
      <c r="I222" s="25" t="n">
        <f aca="false">+(H222/H221-1)/(F222-F221)*30</f>
        <v>0.00826477905489269</v>
      </c>
      <c r="J222" s="18" t="n">
        <f aca="false">+J221*(1+I222)</f>
        <v>127.696016536385</v>
      </c>
      <c r="K222" s="3" t="n">
        <v>5816.8769</v>
      </c>
      <c r="L222" s="25" t="n">
        <f aca="false">+(K222/K221-1)/(F222-F221)*30</f>
        <v>0.00568251266298558</v>
      </c>
      <c r="M222" s="19" t="n">
        <f aca="false">+M221*(1+L222)</f>
        <v>118.214295859397</v>
      </c>
    </row>
    <row r="223" customFormat="false" ht="15" hidden="false" customHeight="false" outlineLevel="0" collapsed="false">
      <c r="A223" s="17" t="n">
        <v>45351</v>
      </c>
      <c r="B223" s="3" t="n">
        <v>23570.34</v>
      </c>
      <c r="C223" s="25" t="n">
        <f aca="false">(B223/B222-1)/(A223-A222)*30</f>
        <v>0.00632290253858852</v>
      </c>
      <c r="D223" s="19" t="n">
        <f aca="false">+D222*(1+C223)</f>
        <v>123.805927830207</v>
      </c>
      <c r="F223" s="17" t="n">
        <v>45351</v>
      </c>
      <c r="G223" s="4" t="n">
        <v>1272.8258</v>
      </c>
      <c r="H223" s="4" t="n">
        <f aca="false">+G223+$S$148+$S$150+$S$152+$S$154+$S$156+$S$158</f>
        <v>1290.29626842632</v>
      </c>
      <c r="I223" s="25" t="n">
        <f aca="false">+(H223/H222-1)/(F223-F222)*30</f>
        <v>0.00717578306642116</v>
      </c>
      <c r="J223" s="18" t="n">
        <f aca="false">+J222*(1+I223)</f>
        <v>128.612335449497</v>
      </c>
      <c r="K223" s="3" t="n">
        <v>5846.4552</v>
      </c>
      <c r="L223" s="25" t="n">
        <f aca="false">+(K223/K222-1)/(F223-F222)*30</f>
        <v>0.005260252521299</v>
      </c>
      <c r="M223" s="19" t="n">
        <f aca="false">+M222*(1+L223)</f>
        <v>118.836132907244</v>
      </c>
    </row>
    <row r="224" customFormat="false" ht="15" hidden="false" customHeight="false" outlineLevel="0" collapsed="false">
      <c r="A224" s="17" t="n">
        <v>45379</v>
      </c>
      <c r="B224" s="3" t="n">
        <v>23703.45</v>
      </c>
      <c r="C224" s="25" t="n">
        <f aca="false">(B224/B223-1)/(A224-A223)*30</f>
        <v>0.00605073397935101</v>
      </c>
      <c r="D224" s="19" t="n">
        <f aca="false">+D223*(1+C224)</f>
        <v>124.555044564574</v>
      </c>
      <c r="F224" s="17" t="n">
        <v>45379</v>
      </c>
      <c r="G224" s="4" t="n">
        <v>1281.0567</v>
      </c>
      <c r="H224" s="4" t="n">
        <f aca="false">+G224+$S$148+$S$150+$S$152+$S$154+$S$156+$S$158</f>
        <v>1298.52716842632</v>
      </c>
      <c r="I224" s="25" t="n">
        <f aca="false">+(H224/H223-1)/(F224-F223)*30</f>
        <v>0.00683472598066726</v>
      </c>
      <c r="J224" s="18" t="n">
        <f aca="false">+J223*(1+I224)</f>
        <v>129.491365520028</v>
      </c>
      <c r="K224" s="3" t="n">
        <v>5872.4728</v>
      </c>
      <c r="L224" s="25" t="n">
        <f aca="false">+(K224/K223-1)/(F224-F223)*30</f>
        <v>0.00476801737914621</v>
      </c>
      <c r="M224" s="19" t="n">
        <f aca="false">+M223*(1+L224)</f>
        <v>119.402745654217</v>
      </c>
    </row>
    <row r="225" customFormat="false" ht="15" hidden="false" customHeight="false" outlineLevel="0" collapsed="false">
      <c r="A225" s="17" t="n">
        <v>45412</v>
      </c>
      <c r="B225" s="3" t="n">
        <v>23847.87</v>
      </c>
      <c r="C225" s="25" t="n">
        <f aca="false">(B225/B224-1)/(A225-A224)*30</f>
        <v>0.00553889451075303</v>
      </c>
      <c r="D225" s="19" t="n">
        <f aca="false">+D224*(1+C225)</f>
        <v>125.2449418172</v>
      </c>
      <c r="F225" s="17" t="n">
        <v>45412</v>
      </c>
      <c r="G225" s="4" t="n">
        <v>1290.35</v>
      </c>
      <c r="H225" s="4" t="n">
        <f aca="false">+G225+$S$148+$S$150+$S$152+$S$154+$S$156+$S$158</f>
        <v>1307.82046842632</v>
      </c>
      <c r="I225" s="25" t="n">
        <f aca="false">+(H225/H224-1)/(F225-F224)*30</f>
        <v>0.00650618235095763</v>
      </c>
      <c r="J225" s="18" t="n">
        <f aca="false">+J224*(1+I225)</f>
        <v>130.333859956975</v>
      </c>
      <c r="K225" s="3" t="n">
        <v>5900.1916</v>
      </c>
      <c r="L225" s="25" t="n">
        <f aca="false">+(K225/K224-1)/(F225-F224)*30</f>
        <v>0.00429102184873626</v>
      </c>
      <c r="M225" s="19" t="n">
        <f aca="false">+M224*(1+L225)</f>
        <v>119.915105444618</v>
      </c>
    </row>
    <row r="226" customFormat="false" ht="15" hidden="false" customHeight="false" outlineLevel="0" collapsed="false">
      <c r="A226" s="17" t="n">
        <v>45443</v>
      </c>
      <c r="B226" s="3" t="n">
        <v>23979.37</v>
      </c>
      <c r="C226" s="25" t="n">
        <f aca="false">(B226/B225-1)/(A226-A225)*30</f>
        <v>0.00533624447450137</v>
      </c>
      <c r="D226" s="19" t="n">
        <f aca="false">+D225*(1+C226)</f>
        <v>125.913279445931</v>
      </c>
      <c r="F226" s="17" t="n">
        <v>45443</v>
      </c>
      <c r="G226" s="4" t="n">
        <v>1297.7796</v>
      </c>
      <c r="H226" s="4" t="n">
        <f aca="false">+G226+$S$148+$S$150+$S$152+$S$154+$S$156+$S$158</f>
        <v>1315.25006842632</v>
      </c>
      <c r="I226" s="25" t="n">
        <f aca="false">+(H226/H225-1)/(F226-F225)*30</f>
        <v>0.00549764715987548</v>
      </c>
      <c r="J226" s="18" t="n">
        <f aca="false">+J225*(1+I226)</f>
        <v>131.050389532004</v>
      </c>
      <c r="K226" s="3" t="n">
        <v>5924.7824</v>
      </c>
      <c r="L226" s="25" t="n">
        <f aca="false">+(K226/K225-1)/(F226-F225)*30</f>
        <v>0.00403335179608358</v>
      </c>
      <c r="M226" s="19" t="n">
        <f aca="false">+M225*(1+L226)</f>
        <v>120.398765250541</v>
      </c>
    </row>
    <row r="227" customFormat="false" ht="15" hidden="false" customHeight="false" outlineLevel="0" collapsed="false">
      <c r="A227" s="17" t="n">
        <v>45473</v>
      </c>
      <c r="B227" s="19" t="n">
        <v>24090</v>
      </c>
      <c r="C227" s="25" t="n">
        <f aca="false">(B227/B226-1)/(A227-A226)*30</f>
        <v>0.00461354906321554</v>
      </c>
      <c r="D227" s="19" t="n">
        <f aca="false">+D226*(1+C227)</f>
        <v>126.494186538365</v>
      </c>
      <c r="F227" s="17" t="n">
        <v>45473</v>
      </c>
      <c r="G227" s="4" t="n">
        <v>1305.7005</v>
      </c>
      <c r="H227" s="4" t="n">
        <f aca="false">+G227+$S$148+$S$150+$S$152+$S$154+$S$156+$S$158</f>
        <v>1323.17096842632</v>
      </c>
      <c r="I227" s="25" t="n">
        <f aca="false">+(H227/H226-1)/(F227-F226)*30</f>
        <v>0.00602235285148245</v>
      </c>
      <c r="J227" s="18" t="n">
        <f aca="false">+J226*(1+I227)</f>
        <v>131.839621219089</v>
      </c>
      <c r="K227" s="5" t="n">
        <v>5946.409</v>
      </c>
      <c r="L227" s="25" t="n">
        <f aca="false">+(K227/K226-1)/(F227-F226)*30</f>
        <v>0.00365019312776771</v>
      </c>
      <c r="M227" s="19" t="n">
        <f aca="false">+M226*(1+L227)</f>
        <v>120.83824399605</v>
      </c>
    </row>
    <row r="228" customFormat="false" ht="15" hidden="false" customHeight="false" outlineLevel="0" collapsed="false">
      <c r="A228" s="17" t="n">
        <v>45504</v>
      </c>
      <c r="B228" s="3" t="n">
        <v>24217.3</v>
      </c>
      <c r="C228" s="25" t="n">
        <f aca="false">(B228/B227-1)/(A228-A227)*30</f>
        <v>0.00511388743823562</v>
      </c>
      <c r="D228" s="19" t="n">
        <f aca="false">+D227*(1+C228)</f>
        <v>127.141063569914</v>
      </c>
      <c r="F228" s="17" t="n">
        <v>45504</v>
      </c>
      <c r="G228" s="4" t="n">
        <v>1313.4274</v>
      </c>
      <c r="H228" s="4" t="n">
        <f aca="false">+G228+$S$148+$S$150+$S$152+$S$154+$S$156+$S$158</f>
        <v>1330.89786842632</v>
      </c>
      <c r="I228" s="25" t="n">
        <f aca="false">+(H228/H227-1)/(F228-F227)*30</f>
        <v>0.00565130685279743</v>
      </c>
      <c r="J228" s="18" t="n">
        <f aca="false">+J227*(1+I228)</f>
        <v>132.584687373955</v>
      </c>
      <c r="K228" s="3" t="n">
        <v>5968.019</v>
      </c>
      <c r="L228" s="25" t="n">
        <f aca="false">+(K228/K227-1)/(F228-F227)*30</f>
        <v>0.00351689620169189</v>
      </c>
      <c r="M228" s="19" t="n">
        <f aca="false">+M227*(1+L228)</f>
        <v>121.263219557379</v>
      </c>
    </row>
    <row r="229" customFormat="false" ht="15" hidden="false" customHeight="false" outlineLevel="0" collapsed="false">
      <c r="A229" s="17" t="n">
        <v>45535</v>
      </c>
      <c r="B229" s="3" t="n">
        <v>24333.6</v>
      </c>
      <c r="C229" s="25" t="n">
        <f aca="false">(B229/B228-1)/(A229-A228)*30</f>
        <v>0.004647437455735</v>
      </c>
      <c r="D229" s="19" t="n">
        <f aca="false">+D228*(1+C229)</f>
        <v>127.73194371091</v>
      </c>
      <c r="F229" s="17" t="n">
        <v>45535</v>
      </c>
      <c r="G229" s="4" t="n">
        <v>1321.0594</v>
      </c>
      <c r="H229" s="4" t="n">
        <f aca="false">+G229+$S$148+$S$150+$S$152+$S$154+$S$156+$S$158</f>
        <v>1338.52986842632</v>
      </c>
      <c r="I229" s="25" t="n">
        <f aca="false">+(H229/H228-1)/(F229-F228)*30</f>
        <v>0.00554949153261937</v>
      </c>
      <c r="J229" s="18" t="n">
        <f aca="false">+J228*(1+I229)</f>
        <v>133.320464973892</v>
      </c>
      <c r="K229" s="3" t="n">
        <v>5989.669</v>
      </c>
      <c r="L229" s="25" t="n">
        <f aca="false">+(K229/K228-1)/(F229-F228)*30</f>
        <v>0.00351064782186953</v>
      </c>
      <c r="M229" s="19" t="n">
        <f aca="false">+M228*(1+L229)</f>
        <v>121.688932014991</v>
      </c>
    </row>
    <row r="230" customFormat="false" ht="15" hidden="false" customHeight="false" outlineLevel="0" collapsed="false">
      <c r="A230" s="17" t="n">
        <v>45565</v>
      </c>
      <c r="B230" s="3" t="n">
        <v>24449.94</v>
      </c>
      <c r="C230" s="25" t="n">
        <f aca="false">(B230/B229-1)/(A230-A229)*30</f>
        <v>0.00478104349541386</v>
      </c>
      <c r="D230" s="19" t="n">
        <f aca="false">+D229*(1+C230)</f>
        <v>128.342635689546</v>
      </c>
      <c r="F230" s="17" t="n">
        <v>45565</v>
      </c>
      <c r="G230" s="4" t="n">
        <v>1328.4643</v>
      </c>
      <c r="H230" s="4" t="n">
        <f aca="false">+G230+$S$148+$S$150+$S$152+$S$154+$S$156+$S$158</f>
        <v>1345.93476842632</v>
      </c>
      <c r="I230" s="25" t="n">
        <f aca="false">+(H230/H229-1)/(F230-F229)*30</f>
        <v>0.00553211413108445</v>
      </c>
      <c r="J230" s="18" t="n">
        <f aca="false">+J229*(1+I230)</f>
        <v>134.058009002137</v>
      </c>
      <c r="K230" s="3" t="n">
        <v>6009.8868</v>
      </c>
      <c r="L230" s="25" t="n">
        <f aca="false">+(K230/K229-1)/(F230-F229)*30</f>
        <v>0.0033754452875443</v>
      </c>
      <c r="M230" s="19" t="n">
        <f aca="false">+M229*(1+L230)</f>
        <v>122.099686347107</v>
      </c>
    </row>
    <row r="231" customFormat="false" ht="15" hidden="false" customHeight="false" outlineLevel="0" collapsed="false">
      <c r="A231" s="17" t="n">
        <v>45596</v>
      </c>
      <c r="B231" s="3" t="n">
        <v>24560.22</v>
      </c>
      <c r="C231" s="25" t="n">
        <f aca="false">(B231/B230-1)/(A231-A230)*30</f>
        <v>0.00436494243524368</v>
      </c>
      <c r="D231" s="19" t="n">
        <f aca="false">+D230*(1+C231)</f>
        <v>128.902843906318</v>
      </c>
      <c r="F231" s="17" t="n">
        <v>45596</v>
      </c>
      <c r="G231" s="4" t="n">
        <v>1335.7352</v>
      </c>
      <c r="H231" s="4" t="n">
        <f aca="false">+G231+$S$148+$S$150+$S$152+$S$154+$S$156+$S$158</f>
        <v>1353.20566842632</v>
      </c>
      <c r="I231" s="25" t="n">
        <f aca="false">+(H231/H230-1)/(F231-F230)*30</f>
        <v>0.00522785725116272</v>
      </c>
      <c r="J231" s="18" t="n">
        <f aca="false">+J230*(1+I231)</f>
        <v>134.758845136575</v>
      </c>
      <c r="K231" s="3" t="n">
        <v>6030.3854</v>
      </c>
      <c r="L231" s="25" t="n">
        <f aca="false">+(K231/K230-1)/(F231-F230)*30</f>
        <v>0.00330078677001207</v>
      </c>
      <c r="M231" s="19" t="n">
        <f aca="false">+M230*(1+L231)</f>
        <v>122.502711376424</v>
      </c>
    </row>
    <row r="232" customFormat="false" ht="15" hidden="false" customHeight="false" outlineLevel="0" collapsed="false">
      <c r="A232" s="17" t="n">
        <v>45626</v>
      </c>
      <c r="B232" s="3" t="n">
        <v>24667.9</v>
      </c>
      <c r="C232" s="25" t="n">
        <f aca="false">(B232/B231-1)/(A232-A231)*30</f>
        <v>0.0043843255475724</v>
      </c>
      <c r="D232" s="19" t="n">
        <f aca="false">+D231*(1+C232)</f>
        <v>129.467995938012</v>
      </c>
      <c r="F232" s="17" t="n">
        <v>45626</v>
      </c>
      <c r="G232" s="4" t="n">
        <v>1342.3699</v>
      </c>
      <c r="H232" s="4" t="n">
        <f aca="false">+G232+$S$148+$S$150+$S$152+$S$154+$S$156+$S$158</f>
        <v>1359.84036842632</v>
      </c>
      <c r="I232" s="25" t="n">
        <f aca="false">+(H232/H231-1)/(F232-F231)*30</f>
        <v>0.00490295019804021</v>
      </c>
      <c r="J232" s="18" t="n">
        <f aca="false">+J231*(1+I232)</f>
        <v>135.419561043025</v>
      </c>
      <c r="K232" s="3" t="n">
        <v>6049.8055</v>
      </c>
      <c r="L232" s="25" t="n">
        <f aca="false">+(K232/K231-1)/(F232-F231)*30</f>
        <v>0.00322037460491331</v>
      </c>
      <c r="M232" s="19" t="n">
        <f aca="false">+M231*(1+L232)</f>
        <v>122.897215997174</v>
      </c>
    </row>
    <row r="233" customFormat="false" ht="15" hidden="false" customHeight="false" outlineLevel="0" collapsed="false">
      <c r="A233" s="17" t="n">
        <v>45657</v>
      </c>
      <c r="B233" s="3" t="n">
        <v>24777.58</v>
      </c>
      <c r="C233" s="25" t="n">
        <f aca="false">(B233/B232-1)/(A233-A232)*30</f>
        <v>0.00430283629672052</v>
      </c>
      <c r="D233" s="19" t="n">
        <f aca="false">+D232*(1+C233)</f>
        <v>130.025075530197</v>
      </c>
      <c r="F233" s="17" t="n">
        <v>45657</v>
      </c>
      <c r="G233" s="4" t="n">
        <v>1072.7346</v>
      </c>
      <c r="H233" s="4" t="n">
        <f aca="false">+G233+$S$148+$S$150+$S$152+$S$154+$S$156+$S$158+$S$160</f>
        <v>1364.84903207309</v>
      </c>
      <c r="I233" s="25" t="n">
        <f aca="false">+(H233/H232-1)/(F233-F232)*30</f>
        <v>0.00356445797922141</v>
      </c>
      <c r="J233" s="18" t="n">
        <f aca="false">+J232*(1+I233)</f>
        <v>135.902258377927</v>
      </c>
      <c r="K233" s="3" t="n">
        <v>6069.3455</v>
      </c>
      <c r="L233" s="25" t="n">
        <f aca="false">+(K233/K232-1)/(F233-F232)*30</f>
        <v>0.00312566700191516</v>
      </c>
      <c r="M233" s="19" t="n">
        <f aca="false">+M232*(1+L233)</f>
        <v>123.281351769843</v>
      </c>
    </row>
    <row r="234" customFormat="false" ht="15" hidden="false" customHeight="false" outlineLevel="0" collapsed="false">
      <c r="A234" s="17" t="n">
        <v>45688</v>
      </c>
      <c r="B234" s="3" t="n">
        <v>24887.95</v>
      </c>
      <c r="C234" s="25" t="n">
        <f aca="false">(B234/B233-1)/(A234-A233)*30</f>
        <v>0.00431073887842782</v>
      </c>
      <c r="D234" s="19" t="n">
        <f aca="false">+D233*(1+C234)</f>
        <v>130.585579678456</v>
      </c>
      <c r="F234" s="17" t="n">
        <v>45688</v>
      </c>
      <c r="G234" s="4" t="n">
        <v>1078.0527</v>
      </c>
      <c r="H234" s="4" t="n">
        <f aca="false">+G234+$S$148+$S$150+$S$152+$S$154+$S$156+$S$158+$S$160</f>
        <v>1370.16713207309</v>
      </c>
      <c r="I234" s="25" t="n">
        <f aca="false">+(H234/H233-1)/(F234-F233)*30</f>
        <v>0.00377078216429513</v>
      </c>
      <c r="J234" s="18" t="n">
        <f aca="false">+J233*(1+I234)</f>
        <v>136.414716189906</v>
      </c>
      <c r="K234" s="3" t="n">
        <v>6087.6762</v>
      </c>
      <c r="L234" s="25" t="n">
        <f aca="false">+(K234/K233-1)/(F234-F233)*30</f>
        <v>0.00292278419423869</v>
      </c>
      <c r="M234" s="19" t="n">
        <f aca="false">+M233*(1+L234)</f>
        <v>123.641676556241</v>
      </c>
    </row>
    <row r="235" customFormat="false" ht="15" hidden="false" customHeight="false" outlineLevel="0" collapsed="false">
      <c r="A235" s="17" t="n">
        <v>45716</v>
      </c>
      <c r="B235" s="3" t="n">
        <v>24984.92</v>
      </c>
      <c r="C235" s="25" t="n">
        <f aca="false">(B235/B234-1)/(A235-A234)*30</f>
        <v>0.0041745675546369</v>
      </c>
      <c r="D235" s="19" t="n">
        <f aca="false">+D234*(1+C235)</f>
        <v>131.130718002485</v>
      </c>
      <c r="F235" s="17" t="n">
        <v>45716</v>
      </c>
      <c r="G235" s="4" t="n">
        <v>1083.5106</v>
      </c>
      <c r="H235" s="4" t="n">
        <f aca="false">+G235+$S$148+$S$150+$S$152+$S$154+$S$156+$S$158+$S$160</f>
        <v>1375.62503207309</v>
      </c>
      <c r="I235" s="25" t="n">
        <f aca="false">+(H235/H234-1)/(F235-F234)*30</f>
        <v>0.00426790999660912</v>
      </c>
      <c r="J235" s="18" t="n">
        <f aca="false">+J234*(1+I235)</f>
        <v>136.996921920818</v>
      </c>
      <c r="K235" s="3" t="n">
        <v>6104.4912</v>
      </c>
      <c r="L235" s="25" t="n">
        <f aca="false">+(K235/K234-1)/(F235-F234)*30</f>
        <v>0.00295943326101547</v>
      </c>
      <c r="M235" s="19" t="n">
        <f aca="false">+M234*(1+L235)</f>
        <v>124.007585846289</v>
      </c>
    </row>
    <row r="236" customFormat="false" ht="15" hidden="false" customHeight="false" outlineLevel="0" collapsed="false">
      <c r="A236" s="17" t="n">
        <v>45747</v>
      </c>
      <c r="B236" s="3" t="n">
        <v>25092.7</v>
      </c>
      <c r="C236" s="25" t="n">
        <f aca="false">(B236/B235-1)/(A236-A235)*30</f>
        <v>0.00417464717943687</v>
      </c>
      <c r="D236" s="19" t="n">
        <f aca="false">+D235*(1+C236)</f>
        <v>131.678142484532</v>
      </c>
      <c r="F236" s="17" t="n">
        <v>45747</v>
      </c>
      <c r="G236" s="4" t="n">
        <v>1089.4245</v>
      </c>
      <c r="H236" s="4" t="n">
        <f aca="false">+G236+$S$148+$S$150+$S$152+$S$154+$S$156+$S$158+$S$160</f>
        <v>1381.53893207309</v>
      </c>
      <c r="I236" s="25" t="n">
        <f aca="false">+(H236/H235-1)/(F236-F235)*30</f>
        <v>0.00416038447892526</v>
      </c>
      <c r="J236" s="18" t="n">
        <f aca="false">+J235*(1+I236)</f>
        <v>137.566881788438</v>
      </c>
      <c r="K236" s="3" t="n">
        <v>6123.1882</v>
      </c>
      <c r="L236" s="25" t="n">
        <f aca="false">+(K236/K235-1)/(F236-F235)*30</f>
        <v>0.00296402605474173</v>
      </c>
      <c r="M236" s="19" t="n">
        <f aca="false">+M235*(1+L236)</f>
        <v>124.375147561723</v>
      </c>
    </row>
    <row r="237" customFormat="false" ht="15" hidden="false" customHeight="false" outlineLevel="0" collapsed="false">
      <c r="A237" s="17" t="n">
        <v>45777</v>
      </c>
      <c r="B237" s="3" t="n">
        <v>25197.48</v>
      </c>
      <c r="C237" s="25" t="n">
        <f aca="false">(B237/B236-1)/(A237-A236)*30</f>
        <v>0.00417571644342774</v>
      </c>
      <c r="D237" s="19" t="n">
        <f aca="false">+D236*(1+C237)</f>
        <v>132.227993069344</v>
      </c>
      <c r="F237" s="17" t="n">
        <v>45777</v>
      </c>
      <c r="G237" s="4" t="n">
        <v>1096.4382</v>
      </c>
      <c r="H237" s="4" t="n">
        <f aca="false">+G237+$S$148+$S$150+$S$152+$S$154+$S$156+$S$158+$S$160</f>
        <v>1388.55263207309</v>
      </c>
      <c r="I237" s="25" t="n">
        <f aca="false">+(H237/H236-1)/(F237-F236)*30</f>
        <v>0.00507672989676489</v>
      </c>
      <c r="J237" s="18" t="n">
        <f aca="false">+J236*(1+I237)</f>
        <v>138.265271690018</v>
      </c>
      <c r="K237" s="3" t="n">
        <v>6141.4105</v>
      </c>
      <c r="L237" s="25" t="n">
        <f aca="false">+(K237/K236-1)/(F237-F236)*30</f>
        <v>0.00297594968581905</v>
      </c>
      <c r="M237" s="19" t="n">
        <f aca="false">+M236*(1+L237)</f>
        <v>124.745281743033</v>
      </c>
    </row>
    <row r="238" customFormat="false" ht="15" hidden="false" customHeight="false" outlineLevel="0" collapsed="false">
      <c r="A238" s="17" t="n">
        <v>45808</v>
      </c>
      <c r="B238" s="3" t="n">
        <v>25302.66</v>
      </c>
      <c r="C238" s="25" t="n">
        <f aca="false">(B238/B237-1)/(A238-A237)*30</f>
        <v>0.00403957446435886</v>
      </c>
      <c r="D238" s="19" t="n">
        <f aca="false">+D237*(1+C238)</f>
        <v>132.762137893621</v>
      </c>
      <c r="F238" s="17" t="n">
        <v>45808</v>
      </c>
      <c r="G238" s="4" t="n">
        <v>1103.7565</v>
      </c>
      <c r="H238" s="4" t="n">
        <f aca="false">+G238+$S$148+$S$150+$S$152+$S$154+$S$156+$S$158+$S$160</f>
        <v>1395.87093207309</v>
      </c>
      <c r="I238" s="25" t="n">
        <f aca="false">+(H238/H237-1)/(F238-F237)*30</f>
        <v>0.00510043742157455</v>
      </c>
      <c r="J238" s="18" t="n">
        <f aca="false">+J237*(1+I238)</f>
        <v>138.97048505585</v>
      </c>
      <c r="K238" s="3" t="n">
        <v>6160.386</v>
      </c>
      <c r="L238" s="25" t="n">
        <f aca="false">+(K238/K237-1)/(F238-F237)*30</f>
        <v>0.00299009276399519</v>
      </c>
      <c r="M238" s="19" t="n">
        <f aca="false">+M237*(1+L238)</f>
        <v>125.118281707315</v>
      </c>
    </row>
    <row r="239" customFormat="false" ht="15" hidden="false" customHeight="false" outlineLevel="0" collapsed="false">
      <c r="A239" s="17" t="n">
        <v>45838</v>
      </c>
      <c r="B239" s="3" t="n">
        <v>25411.83</v>
      </c>
      <c r="C239" s="25" t="n">
        <f aca="false">(B239/B238-1)/(A239-A238)*30</f>
        <v>0.00431456613652492</v>
      </c>
      <c r="D239" s="19" t="n">
        <f aca="false">+D238*(1+C239)</f>
        <v>133.334948917989</v>
      </c>
      <c r="F239" s="17" t="n">
        <v>45838</v>
      </c>
      <c r="G239" s="4" t="n">
        <v>1110.5054</v>
      </c>
      <c r="H239" s="4" t="n">
        <f aca="false">+G239+$S$148+$S$150+$S$152+$S$154+$S$156+$S$158+$S$160</f>
        <v>1402.61983207309</v>
      </c>
      <c r="I239" s="25" t="n">
        <f aca="false">+(H239/H238-1)/(F239-F238)*30</f>
        <v>0.00483490260089936</v>
      </c>
      <c r="J239" s="18" t="n">
        <f aca="false">+J238*(1+I239)</f>
        <v>139.642393815495</v>
      </c>
      <c r="K239" s="3" t="n">
        <v>6178.849</v>
      </c>
      <c r="L239" s="25" t="n">
        <f aca="false">+(K239/K238-1)/(F239-F238)*30</f>
        <v>0.00299705245742721</v>
      </c>
      <c r="M239" s="19" t="n">
        <f aca="false">+M238*(1+L239)</f>
        <v>125.493267760975</v>
      </c>
    </row>
    <row r="240" customFormat="false" ht="15" hidden="false" customHeight="false" outlineLevel="0" collapsed="false">
      <c r="A240" s="17" t="n">
        <v>45869</v>
      </c>
      <c r="B240" s="3" t="n">
        <v>25521.26</v>
      </c>
      <c r="C240" s="25" t="n">
        <f aca="false">(B240/B239-1)/(A240-A239)*30</f>
        <v>0.00416735040333568</v>
      </c>
      <c r="D240" s="19" t="n">
        <f aca="false">+D239*(1+C240)</f>
        <v>133.890602371141</v>
      </c>
      <c r="F240" s="17" t="n">
        <v>45869</v>
      </c>
      <c r="G240" s="4" t="n">
        <v>1117.0658</v>
      </c>
      <c r="H240" s="4" t="n">
        <f aca="false">+G240+$S$148+$S$150+$S$152+$S$154+$S$156+$S$158+$S$160</f>
        <v>1409.18023207309</v>
      </c>
      <c r="I240" s="25" t="n">
        <f aca="false">+(H240/H239-1)/(F240-F239)*30</f>
        <v>0.00452636847731221</v>
      </c>
      <c r="J240" s="18" t="n">
        <f aca="false">+J239*(1+I240)</f>
        <v>140.274466744957</v>
      </c>
      <c r="K240" s="3" t="n">
        <v>6197.08</v>
      </c>
      <c r="L240" s="25" t="n">
        <f aca="false">+(K240/K239-1)/(F240-F239)*30</f>
        <v>0.00285537051088415</v>
      </c>
      <c r="M240" s="19" t="n">
        <f aca="false">+M239*(1+L240)</f>
        <v>125.851597537055</v>
      </c>
    </row>
    <row r="241" customFormat="false" ht="15" hidden="false" customHeight="false" outlineLevel="0" collapsed="false">
      <c r="A241" s="17" t="n">
        <v>45900</v>
      </c>
      <c r="B241" s="3" t="n">
        <v>25619.09</v>
      </c>
      <c r="C241" s="25" t="n">
        <f aca="false">(B241/B240-1)/(A241-A240)*30</f>
        <v>0.00370962066717663</v>
      </c>
      <c r="D241" s="19" t="n">
        <f aca="false">+D240*(1+C241)</f>
        <v>134.387285716838</v>
      </c>
      <c r="F241" s="17" t="n">
        <v>45900</v>
      </c>
      <c r="G241" s="4" t="n">
        <v>1124.1609</v>
      </c>
      <c r="H241" s="4" t="n">
        <f aca="false">+G241+$S$148+$S$150+$S$152+$S$154+$S$156+$S$158+$S$160</f>
        <v>1416.27533207309</v>
      </c>
      <c r="I241" s="25" t="n">
        <f aca="false">+(H241/H240-1)/(F241-F240)*30</f>
        <v>0.0048724965410212</v>
      </c>
      <c r="J241" s="18" t="n">
        <f aca="false">+J240*(1+I241)</f>
        <v>140.957953598966</v>
      </c>
      <c r="K241" s="3" t="n">
        <v>6215.6746</v>
      </c>
      <c r="L241" s="25" t="n">
        <f aca="false">+(K241/K240-1)/(F241-F240)*30</f>
        <v>0.00290375050726291</v>
      </c>
      <c r="M241" s="19" t="n">
        <f aca="false">+M240*(1+L241)</f>
        <v>126.217039177243</v>
      </c>
    </row>
    <row r="242" customFormat="false" ht="15" hidden="false" customHeight="false" outlineLevel="0" collapsed="false">
      <c r="A242" s="17" t="n">
        <v>45930</v>
      </c>
      <c r="B242" s="3" t="n">
        <v>25727.46</v>
      </c>
      <c r="C242" s="25" t="n">
        <f aca="false">(B242/B241-1)/(A242-A241)*30</f>
        <v>0.00423004876441735</v>
      </c>
      <c r="D242" s="19" t="n">
        <f aca="false">+D241*(1+C242)</f>
        <v>134.955750488738</v>
      </c>
      <c r="F242" s="17" t="n">
        <v>45930</v>
      </c>
      <c r="G242" s="4" t="n">
        <v>1130.628</v>
      </c>
      <c r="H242" s="4" t="n">
        <f aca="false">+G242+$S$148+$S$150+$S$152+$S$154+$S$156+$S$158+$S$160</f>
        <v>1422.74243207309</v>
      </c>
      <c r="I242" s="25" t="n">
        <f aca="false">+(H242/H241-1)/(F242-F241)*30</f>
        <v>0.00456627313457014</v>
      </c>
      <c r="J242" s="18" t="n">
        <f aca="false">+J241*(1+I242)</f>
        <v>141.601606115589</v>
      </c>
      <c r="K242" s="3" t="n">
        <v>6232.8399</v>
      </c>
      <c r="L242" s="25" t="n">
        <f aca="false">+(K242/K241-1)/(F242-F241)*30</f>
        <v>0.00276161496613736</v>
      </c>
      <c r="M242" s="19" t="n">
        <f aca="false">+M241*(1+L242)</f>
        <v>126.565602041616</v>
      </c>
    </row>
    <row r="243" customFormat="false" ht="15" hidden="false" customHeight="false" outlineLevel="0" collapsed="false">
      <c r="A243" s="17" t="n">
        <v>45961</v>
      </c>
      <c r="B243" s="3" t="n">
        <v>25829.5</v>
      </c>
      <c r="C243" s="25" t="n">
        <f aca="false">(B243/B242-1)/(A243-A242)*30</f>
        <v>0.00383824859106876</v>
      </c>
      <c r="D243" s="19" t="n">
        <f aca="false">+D242*(1+C243)</f>
        <v>135.473744207908</v>
      </c>
      <c r="F243" s="17" t="n">
        <v>45961</v>
      </c>
      <c r="G243" s="4" t="n">
        <v>1138.5828</v>
      </c>
      <c r="H243" s="4" t="n">
        <f aca="false">+G243+$S$148+$S$150+$S$152+$S$154+$S$156+$S$158+$S$160</f>
        <v>1430.69723207309</v>
      </c>
      <c r="I243" s="25" t="n">
        <f aca="false">+(H243/H242-1)/(F243-F242)*30</f>
        <v>0.00541081321175603</v>
      </c>
      <c r="J243" s="18" t="n">
        <f aca="false">+J242*(1+I243)</f>
        <v>142.367785956765</v>
      </c>
      <c r="K243" s="3" t="n">
        <v>6250.6982</v>
      </c>
      <c r="L243" s="25" t="n">
        <f aca="false">+(K243/K242-1)/(F243-F242)*30</f>
        <v>0.00277276908820515</v>
      </c>
      <c r="M243" s="19" t="n">
        <f aca="false">+M242*(1+L243)</f>
        <v>126.916539230587</v>
      </c>
    </row>
    <row r="244" customFormat="false" ht="15" hidden="false" customHeight="false" outlineLevel="0" collapsed="false">
      <c r="A244" s="17" t="n">
        <v>45991</v>
      </c>
      <c r="B244" s="3" t="n">
        <v>25928.49</v>
      </c>
      <c r="C244" s="25" t="n">
        <f aca="false">(B244/B243-1)/(A244-A243)*30</f>
        <v>0.00383243965233548</v>
      </c>
      <c r="D244" s="19" t="n">
        <f aca="false">+D243*(1+C244)</f>
        <v>135.992939157061</v>
      </c>
      <c r="F244" s="17" t="n">
        <v>45991</v>
      </c>
      <c r="G244" s="4" t="n">
        <v>1145.6091</v>
      </c>
      <c r="H244" s="4" t="n">
        <f aca="false">+G244+$S$148+$S$150+$S$152+$S$154+$S$156+$S$158+$S$160</f>
        <v>1437.72353207309</v>
      </c>
      <c r="I244" s="25" t="n">
        <f aca="false">+(H244/H243-1)/(F244-F243)*30</f>
        <v>0.00491110197355926</v>
      </c>
      <c r="J244" s="18" t="n">
        <f aca="false">+J243*(1+I244)</f>
        <v>143.066968671348</v>
      </c>
      <c r="K244" s="3" t="n">
        <v>6268.169</v>
      </c>
      <c r="L244" s="25" t="n">
        <f aca="false">+(K244/K243-1)/(F244-F243)*30</f>
        <v>0.00279501576319907</v>
      </c>
      <c r="M244" s="19" t="n">
        <f aca="false">+M243*(1+L244)</f>
        <v>127.271272958347</v>
      </c>
    </row>
    <row r="245" customFormat="false" ht="15" hidden="false" customHeight="false" outlineLevel="0" collapsed="false">
      <c r="A245" s="17" t="n">
        <v>46022</v>
      </c>
      <c r="B245" s="3" t="n">
        <v>26035.82</v>
      </c>
      <c r="C245" s="25" t="n">
        <f aca="false">(B245/B244-1)/(A245-A244)*30</f>
        <v>0.00400593100236385</v>
      </c>
      <c r="D245" s="19" t="n">
        <f aca="false">+D244*(1+C245)</f>
        <v>136.537717488133</v>
      </c>
      <c r="F245" s="17" t="n">
        <v>46022</v>
      </c>
      <c r="G245" s="68" t="n">
        <v>1153.2951</v>
      </c>
      <c r="H245" s="4" t="n">
        <f aca="false">+G245+$S$148+$S$150+$S$152+$S$154+$S$156+$S$158+$S$160</f>
        <v>1445.40953207309</v>
      </c>
      <c r="I245" s="25" t="n">
        <f aca="false">+(H245/H244-1)/(F245-F244)*30</f>
        <v>0.00517350126794139</v>
      </c>
      <c r="J245" s="18" t="n">
        <f aca="false">+J244*(1+I245)</f>
        <v>143.80712581517</v>
      </c>
      <c r="K245" s="3" t="n">
        <v>6285.9566</v>
      </c>
      <c r="L245" s="25" t="n">
        <f aca="false">+(K245/K244-1)/(F245-F244)*30</f>
        <v>0.00274622564446067</v>
      </c>
      <c r="M245" s="19" t="n">
        <f aca="false">+M244*(1+L245)</f>
        <v>127.620788591949</v>
      </c>
    </row>
    <row r="246" customFormat="false" ht="15.75" hidden="false" customHeight="true" outlineLevel="0" collapsed="false">
      <c r="A246" s="17" t="n">
        <v>46053</v>
      </c>
      <c r="B246" s="3" t="n">
        <v>26136.9</v>
      </c>
      <c r="C246" s="25" t="n">
        <f aca="false">(B246/B245-1)/(A246-A245)*30</f>
        <v>0.00375710674135526</v>
      </c>
      <c r="D246" s="19" t="n">
        <f aca="false">+D245*(1+C246)</f>
        <v>137.050704266956</v>
      </c>
      <c r="F246" s="17" t="n">
        <v>46053</v>
      </c>
      <c r="G246" s="68" t="n">
        <v>1161.2276</v>
      </c>
      <c r="H246" s="4" t="n">
        <f aca="false">+G246+$S$148+$S$150+$S$152+$S$154+$S$156+$S$158+$S$160</f>
        <v>1453.34203207309</v>
      </c>
      <c r="I246" s="25" t="n">
        <f aca="false">+(H246/H245-1)/(F246-F245)*30</f>
        <v>0.00531102966521569</v>
      </c>
      <c r="J246" s="18" t="n">
        <f aca="false">+J245*(1+I246)</f>
        <v>144.570889726444</v>
      </c>
      <c r="K246" s="3" t="n">
        <v>6303.0823</v>
      </c>
      <c r="L246" s="25" t="n">
        <f aca="false">+(K246/K245-1)/(F246-F245)*30</f>
        <v>0.00263655305296194</v>
      </c>
      <c r="M246" s="19" t="n">
        <f aca="false">+M245*(1+L246)</f>
        <v>127.957267571732</v>
      </c>
    </row>
    <row r="247" customFormat="false" ht="16.5" hidden="false" customHeight="true" outlineLevel="0" collapsed="false">
      <c r="A247" s="69" t="n">
        <v>46081</v>
      </c>
      <c r="B247" s="70" t="n">
        <v>26231.81</v>
      </c>
      <c r="C247" s="25" t="n">
        <f aca="false">(B247/B246-1)/(A247-A246)*30</f>
        <v>0.00389064065418173</v>
      </c>
      <c r="D247" s="19" t="n">
        <f aca="false">+D246*(1+C247)</f>
        <v>137.583919308662</v>
      </c>
      <c r="F247" s="69" t="n">
        <v>46081</v>
      </c>
      <c r="G247" s="68" t="n">
        <v>1168.2791</v>
      </c>
      <c r="H247" s="4" t="n">
        <f aca="false">+G247+$S$148+$S$150+$S$152+$S$154+$S$156+$S$158+$S$160</f>
        <v>1460.39353207309</v>
      </c>
      <c r="I247" s="25" t="n">
        <f aca="false">+(H247/H246-1)/(F247-F246)*30</f>
        <v>0.00519848625079097</v>
      </c>
      <c r="J247" s="18" t="n">
        <f aca="false">+J246*(1+I247)</f>
        <v>145.322439508952</v>
      </c>
      <c r="K247" s="71" t="n">
        <v>6318.4947</v>
      </c>
      <c r="L247" s="25" t="n">
        <f aca="false">+(K247/K246-1)/(F247-F246)*30</f>
        <v>0.00261987467850238</v>
      </c>
      <c r="M247" s="19" t="n">
        <f aca="false">+M246*(1+L247)</f>
        <v>128.292499576974</v>
      </c>
    </row>
    <row r="248" customFormat="false" ht="16.5" hidden="false" customHeight="true" outlineLevel="0" collapsed="false">
      <c r="A248" s="69" t="n">
        <v>46112</v>
      </c>
      <c r="B248" s="70" t="n">
        <v>26333.64</v>
      </c>
      <c r="C248" s="25" t="n">
        <f aca="false">(B248/B247-1)/(A248-A247)*30</f>
        <v>0.00375670459988545</v>
      </c>
      <c r="D248" s="19" t="n">
        <f aca="false">+D247*(1+C248)</f>
        <v>138.100781451199</v>
      </c>
      <c r="F248" s="69" t="n">
        <v>46112</v>
      </c>
      <c r="G248" s="72" t="n">
        <v>1175.623</v>
      </c>
      <c r="H248" s="4" t="n">
        <f aca="false">+G248+$S$148+$S$150+$S$152+$S$154+$S$156+$S$158+$S$160</f>
        <v>1467.73743207309</v>
      </c>
      <c r="I248" s="25" t="n">
        <f aca="false">+(H248/H247-1)/(F248-F247)*30</f>
        <v>0.00486649649147066</v>
      </c>
      <c r="J248" s="18" t="n">
        <f aca="false">+J247*(1+I248)</f>
        <v>146.029650650954</v>
      </c>
      <c r="K248" s="73" t="n">
        <v>6335.4774</v>
      </c>
      <c r="L248" s="25" t="n">
        <f aca="false">+(K248/K247-1)/(F248-F247)*30</f>
        <v>0.00260107379179124</v>
      </c>
      <c r="M248" s="19" t="n">
        <f aca="false">+M247*(1+L248)</f>
        <v>128.626197835307</v>
      </c>
    </row>
    <row r="249" customFormat="false" ht="15" hidden="false" customHeight="false" outlineLevel="0" collapsed="false">
      <c r="A249" s="17" t="n">
        <v>46142</v>
      </c>
      <c r="B249" s="3" t="n">
        <v>19916.8502383877</v>
      </c>
      <c r="C249" s="25" t="n">
        <f aca="false">(B249/B248-1)/(A249-A248)*30</f>
        <v>-0.243672722859896</v>
      </c>
      <c r="D249" s="19" t="n">
        <f aca="false">+D248*(1+C249)</f>
        <v>104.449388005906</v>
      </c>
      <c r="F249" s="17" t="n">
        <v>46142</v>
      </c>
      <c r="G249" s="74" t="n">
        <v>1182.9884</v>
      </c>
      <c r="H249" s="4" t="n">
        <f aca="false">+G249+$S$148+$S$150+$S$152+$S$154+$S$156+$S$158+$S$160</f>
        <v>1475.10283207309</v>
      </c>
      <c r="I249" s="25" t="n">
        <f aca="false">+(H249/H248-1)/(F249-F248)*30</f>
        <v>0.00501820001251629</v>
      </c>
      <c r="J249" s="18" t="n">
        <f aca="false">+J248*(1+I249)</f>
        <v>146.762456645678</v>
      </c>
      <c r="L249" s="25" t="n">
        <f aca="false">+(K249/K248-1)/(F249-F248)*30</f>
        <v>-1</v>
      </c>
      <c r="M249" s="19" t="n">
        <f aca="false">+M248*(1+L249)</f>
        <v>0</v>
      </c>
    </row>
  </sheetData>
  <mergeCells count="5">
    <mergeCell ref="AV29:AV30"/>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55" zoomScaleNormal="55" zoomScalePageLayoutView="100" workbookViewId="0">
      <selection pane="topLeft" activeCell="E39" activeCellId="0" sqref="E39"/>
    </sheetView>
  </sheetViews>
  <sheetFormatPr defaultColWidth="11.42578125" defaultRowHeight="15" zeroHeight="false" outlineLevelRow="0" outlineLevelCol="0"/>
  <cols>
    <col collapsed="false" customWidth="true" hidden="false" outlineLevel="0" max="3" min="3" style="75" width="5.86"/>
    <col collapsed="false" customWidth="true" hidden="false" outlineLevel="0" max="4" min="4" style="0" width="21.14"/>
    <col collapsed="false" customWidth="true" hidden="false" outlineLevel="0" max="5" min="5" style="0" width="6.71"/>
    <col collapsed="false" customWidth="true" hidden="false" outlineLevel="0" max="16" min="6" style="0" width="7.71"/>
    <col collapsed="false" customWidth="true" hidden="false" outlineLevel="0" max="17" min="17" style="0" width="10.14"/>
    <col collapsed="false" customWidth="true" hidden="false" outlineLevel="0" max="19" min="19" style="0" width="23.29"/>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7.57"/>
    <col collapsed="false" customWidth="true" hidden="false" outlineLevel="0" max="24" min="24" style="0" width="13.29"/>
  </cols>
  <sheetData>
    <row r="1" customFormat="false" ht="24" hidden="false" customHeight="true" outlineLevel="0" collapsed="false">
      <c r="C1" s="76"/>
      <c r="D1" s="77"/>
      <c r="E1" s="77"/>
      <c r="F1" s="77"/>
      <c r="G1" s="77"/>
      <c r="H1" s="77"/>
      <c r="I1" s="77"/>
      <c r="J1" s="77"/>
      <c r="K1" s="77"/>
      <c r="L1" s="77"/>
      <c r="M1" s="77"/>
      <c r="N1" s="77"/>
      <c r="O1" s="77"/>
      <c r="P1" s="77"/>
      <c r="Q1" s="77"/>
      <c r="R1" s="77"/>
      <c r="S1" s="78" t="s">
        <v>31</v>
      </c>
      <c r="T1" s="79" t="s">
        <v>32</v>
      </c>
      <c r="U1" s="79" t="s">
        <v>33</v>
      </c>
      <c r="V1" s="79" t="s">
        <v>34</v>
      </c>
      <c r="W1" s="79" t="s">
        <v>35</v>
      </c>
      <c r="X1" s="80" t="s">
        <v>47</v>
      </c>
    </row>
    <row r="2" customFormat="false" ht="15" hidden="false" customHeight="false" outlineLevel="0" collapsed="false">
      <c r="C2" s="76"/>
      <c r="D2" s="77"/>
      <c r="E2" s="77"/>
      <c r="F2" s="77"/>
      <c r="G2" s="77"/>
      <c r="H2" s="77"/>
      <c r="I2" s="77"/>
      <c r="J2" s="77"/>
      <c r="K2" s="77"/>
      <c r="L2" s="77"/>
      <c r="M2" s="77"/>
      <c r="N2" s="77"/>
      <c r="O2" s="77"/>
      <c r="P2" s="77"/>
      <c r="Q2" s="77"/>
      <c r="R2" s="77"/>
      <c r="S2" s="81" t="s">
        <v>48</v>
      </c>
      <c r="T2" s="82" t="n">
        <f aca="false">+'Datos ICP (2)'!AX29</f>
        <v>-0.243672722859896</v>
      </c>
      <c r="U2" s="82" t="n">
        <f aca="false">+'Datos ICP (2)'!AY29</f>
        <v>-0.237979628862347</v>
      </c>
      <c r="V2" s="82" t="n">
        <f aca="false">+'Datos ICP (2)'!AZ29</f>
        <v>-0.228910732364632</v>
      </c>
      <c r="W2" s="82" t="n">
        <f aca="false">+'Datos ICP (2)'!BA29</f>
        <v>-0.209569757039683</v>
      </c>
      <c r="X2" s="82" t="n">
        <f aca="false">+'Datos ICP (2)'!BB29</f>
        <v>-0.71393888658704</v>
      </c>
    </row>
    <row r="3" customFormat="false" ht="15" hidden="false" customHeight="false" outlineLevel="0" collapsed="false">
      <c r="C3" s="76"/>
      <c r="D3" s="77"/>
      <c r="E3" s="77"/>
      <c r="F3" s="77"/>
      <c r="G3" s="77"/>
      <c r="H3" s="77"/>
      <c r="I3" s="77"/>
      <c r="J3" s="77"/>
      <c r="K3" s="77"/>
      <c r="L3" s="77"/>
      <c r="M3" s="77"/>
      <c r="N3" s="77"/>
      <c r="O3" s="77"/>
      <c r="P3" s="77"/>
      <c r="Q3" s="77"/>
      <c r="R3" s="77"/>
      <c r="S3" s="81" t="s">
        <v>26</v>
      </c>
      <c r="T3" s="82" t="n">
        <f aca="false">+'Datos ICP (2)'!AX30</f>
        <v>-1</v>
      </c>
      <c r="U3" s="82" t="n">
        <f aca="false">+'Datos ICP (2)'!AY30</f>
        <v>-1</v>
      </c>
      <c r="V3" s="82" t="n">
        <f aca="false">+'Datos ICP (2)'!AZ30</f>
        <v>-1</v>
      </c>
      <c r="W3" s="82" t="n">
        <f aca="false">+'Datos ICP (2)'!BA30</f>
        <v>-1</v>
      </c>
      <c r="X3" s="82" t="n">
        <f aca="false">+'Datos ICP (2)'!BB30</f>
        <v>-3</v>
      </c>
    </row>
    <row r="4" customFormat="false" ht="15" hidden="false" customHeight="false" outlineLevel="0" collapsed="false">
      <c r="C4" s="76"/>
      <c r="D4" s="77"/>
      <c r="E4" s="77"/>
      <c r="F4" s="77"/>
      <c r="G4" s="77"/>
      <c r="H4" s="77"/>
      <c r="I4" s="77"/>
      <c r="J4" s="77"/>
      <c r="K4" s="77"/>
      <c r="L4" s="77"/>
      <c r="M4" s="77"/>
      <c r="N4" s="77"/>
      <c r="O4" s="77"/>
      <c r="P4" s="77"/>
      <c r="Q4" s="77"/>
      <c r="R4" s="77"/>
      <c r="S4" s="83" t="s">
        <v>38</v>
      </c>
      <c r="T4" s="82" t="n">
        <f aca="false">+'Datos ICP (2)'!AX31</f>
        <v>0.00501820001251629</v>
      </c>
      <c r="U4" s="82" t="n">
        <f aca="false">+'Datos ICP (2)'!AY31</f>
        <v>0.0149729379043417</v>
      </c>
      <c r="V4" s="82" t="n">
        <f aca="false">+'Datos ICP (2)'!AZ31</f>
        <v>0.0310377339135941</v>
      </c>
      <c r="W4" s="82" t="n">
        <f aca="false">+'Datos ICP (2)'!BA31</f>
        <v>0.0623312346978033</v>
      </c>
      <c r="X4" s="82" t="n">
        <f aca="false">+'Datos ICP (2)'!BB31</f>
        <v>0.0449188137130252</v>
      </c>
    </row>
    <row r="5" customFormat="false" ht="15" hidden="false" customHeight="false" outlineLevel="0" collapsed="false">
      <c r="B5" s="84"/>
      <c r="C5" s="76"/>
      <c r="D5" s="77"/>
      <c r="E5" s="77"/>
      <c r="F5" s="77"/>
      <c r="G5" s="77"/>
      <c r="H5" s="77"/>
      <c r="I5" s="77"/>
      <c r="J5" s="77"/>
      <c r="K5" s="77"/>
      <c r="L5" s="77"/>
      <c r="M5" s="77"/>
      <c r="N5" s="77"/>
      <c r="O5" s="77"/>
      <c r="P5" s="77"/>
      <c r="Q5" s="77"/>
      <c r="R5" s="77"/>
      <c r="S5" s="77"/>
      <c r="T5" s="77"/>
      <c r="U5" s="77"/>
      <c r="V5" s="77"/>
      <c r="W5" s="77"/>
      <c r="X5" s="77"/>
    </row>
    <row r="6" customFormat="false" ht="26.25" hidden="false" customHeight="true" outlineLevel="0" collapsed="false">
      <c r="B6" s="84"/>
      <c r="C6" s="85" t="s">
        <v>39</v>
      </c>
      <c r="D6" s="86" t="s">
        <v>40</v>
      </c>
      <c r="E6" s="87" t="s">
        <v>4</v>
      </c>
      <c r="F6" s="87" t="s">
        <v>5</v>
      </c>
      <c r="G6" s="87" t="s">
        <v>6</v>
      </c>
      <c r="H6" s="87" t="s">
        <v>7</v>
      </c>
      <c r="I6" s="87" t="s">
        <v>8</v>
      </c>
      <c r="J6" s="87" t="s">
        <v>9</v>
      </c>
      <c r="K6" s="87" t="s">
        <v>10</v>
      </c>
      <c r="L6" s="87" t="s">
        <v>11</v>
      </c>
      <c r="M6" s="87" t="s">
        <v>12</v>
      </c>
      <c r="N6" s="87" t="s">
        <v>13</v>
      </c>
      <c r="O6" s="87" t="s">
        <v>14</v>
      </c>
      <c r="P6" s="87" t="s">
        <v>15</v>
      </c>
      <c r="Q6" s="88" t="s">
        <v>49</v>
      </c>
      <c r="R6" s="89"/>
      <c r="S6" s="77"/>
      <c r="T6" s="77"/>
      <c r="U6" s="77"/>
      <c r="V6" s="77"/>
      <c r="W6" s="77"/>
      <c r="X6" s="77"/>
    </row>
    <row r="7" customFormat="false" ht="19.5" hidden="false" customHeight="true" outlineLevel="0" collapsed="false">
      <c r="B7" s="84"/>
      <c r="C7" s="76"/>
      <c r="D7" s="77"/>
      <c r="E7" s="90"/>
      <c r="F7" s="90"/>
      <c r="G7" s="90"/>
      <c r="H7" s="90"/>
      <c r="I7" s="90"/>
      <c r="J7" s="90"/>
      <c r="K7" s="90"/>
      <c r="L7" s="90"/>
      <c r="M7" s="90"/>
      <c r="N7" s="90"/>
      <c r="O7" s="90"/>
      <c r="P7" s="90"/>
      <c r="Q7" s="90"/>
      <c r="R7" s="89"/>
      <c r="S7" s="77"/>
      <c r="T7" s="77"/>
      <c r="U7" s="77"/>
      <c r="V7" s="77"/>
      <c r="W7" s="77"/>
      <c r="X7" s="77"/>
    </row>
    <row r="8" customFormat="false" ht="15" hidden="true" customHeight="true" outlineLevel="0" collapsed="false">
      <c r="B8" s="84"/>
      <c r="C8" s="76" t="n">
        <v>2013</v>
      </c>
      <c r="D8" s="77" t="s">
        <v>3</v>
      </c>
      <c r="E8" s="91"/>
      <c r="F8" s="91"/>
      <c r="G8" s="91"/>
      <c r="H8" s="91"/>
      <c r="I8" s="91"/>
      <c r="J8" s="91"/>
      <c r="K8" s="91"/>
      <c r="L8" s="91"/>
      <c r="M8" s="91"/>
      <c r="N8" s="91"/>
      <c r="O8" s="91"/>
      <c r="P8" s="91"/>
      <c r="Q8" s="91"/>
      <c r="R8" s="77"/>
      <c r="S8" s="77"/>
      <c r="T8" s="77"/>
      <c r="U8" s="77"/>
      <c r="V8" s="77"/>
      <c r="W8" s="77"/>
      <c r="X8" s="77"/>
    </row>
    <row r="9" customFormat="false" ht="15" hidden="true" customHeight="true" outlineLevel="0" collapsed="false">
      <c r="B9" s="84"/>
      <c r="C9" s="76" t="n">
        <v>2014</v>
      </c>
      <c r="D9" s="77" t="s">
        <v>3</v>
      </c>
      <c r="E9" s="91"/>
      <c r="F9" s="91"/>
      <c r="G9" s="91"/>
      <c r="H9" s="91"/>
      <c r="I9" s="91"/>
      <c r="J9" s="91"/>
      <c r="K9" s="91"/>
      <c r="L9" s="91"/>
      <c r="M9" s="91"/>
      <c r="N9" s="91"/>
      <c r="O9" s="91"/>
      <c r="P9" s="91"/>
      <c r="Q9" s="91"/>
      <c r="R9" s="77"/>
      <c r="S9" s="77"/>
      <c r="T9" s="77"/>
      <c r="U9" s="77"/>
      <c r="V9" s="77"/>
      <c r="W9" s="77"/>
      <c r="X9" s="77"/>
    </row>
    <row r="10" customFormat="false" ht="15" hidden="true" customHeight="true" outlineLevel="0" collapsed="false">
      <c r="B10" s="84"/>
      <c r="C10" s="76" t="n">
        <v>2015</v>
      </c>
      <c r="D10" s="77" t="s">
        <v>3</v>
      </c>
      <c r="E10" s="91"/>
      <c r="F10" s="91"/>
      <c r="G10" s="91"/>
      <c r="H10" s="91"/>
      <c r="I10" s="91"/>
      <c r="J10" s="91"/>
      <c r="K10" s="91"/>
      <c r="L10" s="91"/>
      <c r="M10" s="91"/>
      <c r="N10" s="91"/>
      <c r="O10" s="91"/>
      <c r="P10" s="91"/>
      <c r="Q10" s="91"/>
      <c r="R10" s="77"/>
      <c r="S10" s="77"/>
      <c r="T10" s="77"/>
      <c r="U10" s="77"/>
      <c r="V10" s="77"/>
      <c r="W10" s="77"/>
      <c r="X10" s="77"/>
    </row>
    <row r="11" customFormat="false" ht="15" hidden="true" customHeight="true" outlineLevel="0" collapsed="false">
      <c r="B11" s="84"/>
      <c r="C11" s="76" t="n">
        <v>2016</v>
      </c>
      <c r="D11" s="77" t="s">
        <v>3</v>
      </c>
      <c r="E11" s="91"/>
      <c r="F11" s="91"/>
      <c r="G11" s="91"/>
      <c r="H11" s="91"/>
      <c r="I11" s="91"/>
      <c r="J11" s="91"/>
      <c r="K11" s="91"/>
      <c r="L11" s="91"/>
      <c r="M11" s="91"/>
      <c r="N11" s="91"/>
      <c r="O11" s="91"/>
      <c r="P11" s="91"/>
      <c r="Q11" s="91"/>
      <c r="R11" s="77"/>
      <c r="S11" s="77"/>
      <c r="T11" s="77"/>
      <c r="U11" s="77"/>
      <c r="V11" s="77"/>
      <c r="W11" s="77"/>
      <c r="X11" s="77"/>
    </row>
    <row r="12" customFormat="false" ht="15" hidden="true" customHeight="true" outlineLevel="0" collapsed="false">
      <c r="B12" s="84"/>
      <c r="C12" s="76" t="n">
        <v>2017</v>
      </c>
      <c r="D12" s="77" t="s">
        <v>3</v>
      </c>
      <c r="E12" s="91"/>
      <c r="F12" s="91"/>
      <c r="G12" s="91"/>
      <c r="H12" s="91"/>
      <c r="I12" s="91"/>
      <c r="J12" s="91"/>
      <c r="K12" s="91"/>
      <c r="L12" s="91"/>
      <c r="M12" s="91"/>
      <c r="N12" s="91"/>
      <c r="O12" s="91"/>
      <c r="P12" s="91"/>
      <c r="Q12" s="91"/>
      <c r="R12" s="77"/>
      <c r="S12" s="77"/>
      <c r="T12" s="92"/>
      <c r="U12" s="77"/>
      <c r="V12" s="77"/>
      <c r="W12" s="77"/>
      <c r="X12" s="77"/>
    </row>
    <row r="13" customFormat="false" ht="15" hidden="true" customHeight="true" outlineLevel="0" collapsed="false">
      <c r="B13" s="84"/>
      <c r="C13" s="76"/>
      <c r="D13" s="77" t="s">
        <v>26</v>
      </c>
      <c r="E13" s="91"/>
      <c r="F13" s="91"/>
      <c r="G13" s="91"/>
      <c r="H13" s="91"/>
      <c r="I13" s="91"/>
      <c r="J13" s="91"/>
      <c r="K13" s="91"/>
      <c r="L13" s="91"/>
      <c r="M13" s="91"/>
      <c r="N13" s="91"/>
      <c r="O13" s="91"/>
      <c r="P13" s="91"/>
      <c r="Q13" s="91"/>
      <c r="R13" s="77"/>
      <c r="S13" s="77"/>
      <c r="T13" s="77"/>
      <c r="U13" s="77"/>
      <c r="V13" s="77"/>
      <c r="W13" s="77"/>
      <c r="X13" s="77"/>
    </row>
    <row r="14" customFormat="false" ht="15" hidden="true" customHeight="true" outlineLevel="0" collapsed="false">
      <c r="B14" s="84"/>
      <c r="C14" s="76"/>
      <c r="D14" s="77" t="s">
        <v>38</v>
      </c>
      <c r="E14" s="91"/>
      <c r="F14" s="91"/>
      <c r="G14" s="91"/>
      <c r="H14" s="91"/>
      <c r="I14" s="91"/>
      <c r="J14" s="91"/>
      <c r="K14" s="91"/>
      <c r="L14" s="91"/>
      <c r="M14" s="91"/>
      <c r="N14" s="91"/>
      <c r="O14" s="91"/>
      <c r="P14" s="91"/>
      <c r="Q14" s="91"/>
      <c r="R14" s="77"/>
      <c r="S14" s="77"/>
      <c r="T14" s="77"/>
      <c r="U14" s="77"/>
      <c r="V14" s="77"/>
      <c r="W14" s="77"/>
      <c r="X14" s="77"/>
    </row>
    <row r="15" customFormat="false" ht="15" hidden="true" customHeight="true" outlineLevel="0" collapsed="false">
      <c r="B15" s="84"/>
      <c r="C15" s="76" t="n">
        <v>2018</v>
      </c>
      <c r="D15" s="77" t="s">
        <v>3</v>
      </c>
      <c r="E15" s="91"/>
      <c r="F15" s="91"/>
      <c r="G15" s="91"/>
      <c r="H15" s="91"/>
      <c r="I15" s="91"/>
      <c r="J15" s="91"/>
      <c r="K15" s="91"/>
      <c r="L15" s="91"/>
      <c r="M15" s="91"/>
      <c r="N15" s="91"/>
      <c r="O15" s="91"/>
      <c r="P15" s="91"/>
      <c r="Q15" s="91"/>
      <c r="R15" s="77"/>
      <c r="S15" s="77"/>
      <c r="T15" s="77"/>
      <c r="U15" s="77"/>
      <c r="V15" s="77"/>
      <c r="W15" s="77"/>
      <c r="X15" s="77"/>
    </row>
    <row r="16" customFormat="false" ht="15" hidden="true" customHeight="true" outlineLevel="0" collapsed="false">
      <c r="B16" s="84"/>
      <c r="C16" s="76"/>
      <c r="D16" s="77" t="s">
        <v>26</v>
      </c>
      <c r="E16" s="91"/>
      <c r="F16" s="91"/>
      <c r="G16" s="91"/>
      <c r="H16" s="91"/>
      <c r="I16" s="91"/>
      <c r="J16" s="91"/>
      <c r="K16" s="91"/>
      <c r="L16" s="91"/>
      <c r="M16" s="91"/>
      <c r="N16" s="91"/>
      <c r="O16" s="91"/>
      <c r="P16" s="91"/>
      <c r="Q16" s="91"/>
      <c r="R16" s="77"/>
      <c r="S16" s="77"/>
      <c r="T16" s="77"/>
      <c r="U16" s="77"/>
      <c r="V16" s="77"/>
      <c r="W16" s="77"/>
      <c r="X16" s="77"/>
    </row>
    <row r="17" customFormat="false" ht="15" hidden="true" customHeight="true" outlineLevel="0" collapsed="false">
      <c r="B17" s="84"/>
      <c r="C17" s="76"/>
      <c r="D17" s="77" t="s">
        <v>38</v>
      </c>
      <c r="E17" s="91"/>
      <c r="F17" s="91"/>
      <c r="G17" s="91"/>
      <c r="H17" s="91"/>
      <c r="I17" s="91"/>
      <c r="J17" s="91"/>
      <c r="K17" s="91"/>
      <c r="L17" s="91"/>
      <c r="M17" s="91"/>
      <c r="N17" s="91"/>
      <c r="O17" s="91"/>
      <c r="P17" s="91"/>
      <c r="Q17" s="91"/>
      <c r="R17" s="77"/>
      <c r="S17" s="77"/>
      <c r="T17" s="77"/>
      <c r="U17" s="77"/>
      <c r="V17" s="77"/>
      <c r="W17" s="77"/>
      <c r="X17" s="77"/>
    </row>
    <row r="18" customFormat="false" ht="15" hidden="true" customHeight="true" outlineLevel="0" collapsed="false">
      <c r="C18" s="76" t="n">
        <v>2019</v>
      </c>
      <c r="D18" s="77" t="s">
        <v>3</v>
      </c>
      <c r="E18" s="91"/>
      <c r="F18" s="91"/>
      <c r="G18" s="91"/>
      <c r="H18" s="91"/>
      <c r="I18" s="91"/>
      <c r="J18" s="91"/>
      <c r="K18" s="91"/>
      <c r="L18" s="91"/>
      <c r="M18" s="91"/>
      <c r="N18" s="91"/>
      <c r="O18" s="91"/>
      <c r="P18" s="91"/>
      <c r="Q18" s="91"/>
      <c r="R18" s="77"/>
      <c r="S18" s="77"/>
      <c r="T18" s="77"/>
      <c r="U18" s="77"/>
      <c r="V18" s="77"/>
      <c r="W18" s="77"/>
      <c r="X18" s="77"/>
    </row>
    <row r="19" customFormat="false" ht="15" hidden="true" customHeight="true" outlineLevel="0" collapsed="false">
      <c r="C19" s="76"/>
      <c r="D19" s="77" t="s">
        <v>26</v>
      </c>
      <c r="E19" s="91"/>
      <c r="F19" s="91"/>
      <c r="G19" s="91"/>
      <c r="H19" s="91"/>
      <c r="I19" s="91"/>
      <c r="J19" s="91"/>
      <c r="K19" s="91"/>
      <c r="L19" s="91"/>
      <c r="M19" s="91"/>
      <c r="N19" s="91"/>
      <c r="O19" s="91"/>
      <c r="P19" s="91"/>
      <c r="Q19" s="91"/>
      <c r="R19" s="77"/>
      <c r="S19" s="77"/>
      <c r="T19" s="77"/>
      <c r="U19" s="77"/>
      <c r="V19" s="77"/>
      <c r="W19" s="77"/>
      <c r="X19" s="77"/>
    </row>
    <row r="20" customFormat="false" ht="15" hidden="true" customHeight="true" outlineLevel="0" collapsed="false">
      <c r="C20" s="76"/>
      <c r="D20" s="77" t="s">
        <v>38</v>
      </c>
      <c r="E20" s="91"/>
      <c r="F20" s="91"/>
      <c r="G20" s="91"/>
      <c r="H20" s="91"/>
      <c r="I20" s="91"/>
      <c r="J20" s="91"/>
      <c r="K20" s="91"/>
      <c r="L20" s="91"/>
      <c r="M20" s="91"/>
      <c r="N20" s="91"/>
      <c r="O20" s="91"/>
      <c r="P20" s="91"/>
      <c r="Q20" s="91"/>
      <c r="R20" s="77"/>
      <c r="S20" s="77"/>
      <c r="T20" s="77"/>
      <c r="U20" s="77"/>
      <c r="V20" s="77"/>
      <c r="W20" s="77"/>
      <c r="X20" s="77"/>
    </row>
    <row r="21" customFormat="false" ht="15" hidden="true" customHeight="true" outlineLevel="0" collapsed="false">
      <c r="C21" s="76" t="n">
        <v>2020</v>
      </c>
      <c r="D21" s="77" t="s">
        <v>3</v>
      </c>
      <c r="E21" s="91"/>
      <c r="F21" s="91"/>
      <c r="G21" s="91"/>
      <c r="H21" s="91"/>
      <c r="I21" s="91"/>
      <c r="J21" s="91"/>
      <c r="K21" s="91"/>
      <c r="L21" s="91"/>
      <c r="M21" s="91"/>
      <c r="N21" s="91"/>
      <c r="O21" s="91"/>
      <c r="P21" s="91"/>
      <c r="Q21" s="91"/>
      <c r="R21" s="77"/>
      <c r="S21" s="77"/>
      <c r="T21" s="77"/>
      <c r="U21" s="77"/>
      <c r="V21" s="77"/>
      <c r="W21" s="77"/>
      <c r="X21" s="77"/>
    </row>
    <row r="22" customFormat="false" ht="15" hidden="true" customHeight="true" outlineLevel="0" collapsed="false">
      <c r="C22" s="76"/>
      <c r="D22" s="77" t="s">
        <v>26</v>
      </c>
      <c r="E22" s="91"/>
      <c r="F22" s="91"/>
      <c r="G22" s="91"/>
      <c r="H22" s="91"/>
      <c r="I22" s="91"/>
      <c r="J22" s="91"/>
      <c r="K22" s="91"/>
      <c r="L22" s="91"/>
      <c r="M22" s="91"/>
      <c r="N22" s="91"/>
      <c r="O22" s="91"/>
      <c r="P22" s="91"/>
      <c r="Q22" s="91"/>
      <c r="R22" s="77"/>
      <c r="S22" s="77"/>
      <c r="T22" s="77"/>
      <c r="U22" s="77"/>
      <c r="V22" s="77"/>
      <c r="W22" s="77"/>
      <c r="X22" s="77"/>
    </row>
    <row r="23" customFormat="false" ht="15" hidden="true" customHeight="true" outlineLevel="0" collapsed="false">
      <c r="C23" s="76"/>
      <c r="D23" s="77" t="s">
        <v>38</v>
      </c>
      <c r="E23" s="91"/>
      <c r="F23" s="91"/>
      <c r="G23" s="91"/>
      <c r="H23" s="91"/>
      <c r="I23" s="91"/>
      <c r="J23" s="91"/>
      <c r="K23" s="91"/>
      <c r="L23" s="91"/>
      <c r="M23" s="91"/>
      <c r="N23" s="91"/>
      <c r="O23" s="91"/>
      <c r="P23" s="91"/>
      <c r="Q23" s="91"/>
      <c r="R23" s="77"/>
      <c r="S23" s="77"/>
      <c r="T23" s="77"/>
      <c r="U23" s="77"/>
      <c r="V23" s="77"/>
      <c r="W23" s="77"/>
      <c r="X23" s="77"/>
    </row>
    <row r="24" customFormat="false" ht="15" hidden="false" customHeight="true" outlineLevel="0" collapsed="false">
      <c r="C24" s="76" t="n">
        <v>2021</v>
      </c>
      <c r="D24" s="77" t="s">
        <v>3</v>
      </c>
      <c r="E24" s="91"/>
      <c r="F24" s="91" t="n">
        <f aca="false">+'Datos ICP (2)'!AF71</f>
        <v>0.000163145891210714</v>
      </c>
      <c r="G24" s="91" t="n">
        <f aca="false">+'Datos ICP (2)'!AG71</f>
        <v>0.000259130396311313</v>
      </c>
      <c r="H24" s="91" t="n">
        <f aca="false">+'Datos ICP (2)'!AH71</f>
        <v>0.000294342205723552</v>
      </c>
      <c r="I24" s="91" t="n">
        <f aca="false">+'Datos ICP (2)'!AI71</f>
        <v>0.000242668745581653</v>
      </c>
      <c r="J24" s="91" t="n">
        <f aca="false">+'Datos ICP (2)'!AJ71</f>
        <v>0.000272607187777885</v>
      </c>
      <c r="K24" s="91" t="n">
        <f aca="false">+'Datos ICP (2)'!AK71</f>
        <v>0.000501923514011571</v>
      </c>
      <c r="L24" s="91" t="n">
        <f aca="false">+'Datos ICP (2)'!AL71</f>
        <v>0.00062893015614951</v>
      </c>
      <c r="M24" s="91" t="n">
        <f aca="false">+'Datos ICP (2)'!AM71</f>
        <v>0.00124761014863051</v>
      </c>
      <c r="N24" s="91" t="n">
        <f aca="false">+'Datos ICP (2)'!AN71</f>
        <v>0.00207168546072567</v>
      </c>
      <c r="O24" s="91" t="n">
        <f aca="false">+'Datos ICP (2)'!AO71</f>
        <v>0.00214125696183509</v>
      </c>
      <c r="P24" s="91" t="n">
        <f aca="false">+'Datos ICP (2)'!AP71</f>
        <v>0.0031851611422884</v>
      </c>
      <c r="Q24" s="91" t="n">
        <f aca="false">+'Datos ICP (2)'!AQ71</f>
        <v>0.0118838004144361</v>
      </c>
      <c r="R24" s="77"/>
      <c r="S24" s="77"/>
      <c r="T24" s="77"/>
      <c r="U24" s="77"/>
      <c r="V24" s="77"/>
      <c r="W24" s="77"/>
      <c r="X24" s="77"/>
    </row>
    <row r="25" customFormat="false" ht="15" hidden="false" customHeight="true" outlineLevel="0" collapsed="false">
      <c r="C25" s="76"/>
      <c r="D25" s="77" t="s">
        <v>26</v>
      </c>
      <c r="E25" s="93"/>
      <c r="F25" s="91" t="n">
        <f aca="false">+'Datos ICP (2)'!AF72</f>
        <v>6.66195152189254E-005</v>
      </c>
      <c r="G25" s="91" t="n">
        <f aca="false">+'Datos ICP (2)'!AG72</f>
        <v>5.40352735418637E-005</v>
      </c>
      <c r="H25" s="91" t="n">
        <f aca="false">+'Datos ICP (2)'!AH72</f>
        <v>6.6256868343384E-005</v>
      </c>
      <c r="I25" s="91" t="n">
        <f aca="false">+'Datos ICP (2)'!AI72</f>
        <v>6.00795078637972E-005</v>
      </c>
      <c r="J25" s="91" t="n">
        <f aca="false">+'Datos ICP (2)'!AJ72</f>
        <v>5.99332972144318E-005</v>
      </c>
      <c r="K25" s="91" t="n">
        <f aca="false">+'Datos ICP (2)'!AK72</f>
        <v>6.18852634586276E-005</v>
      </c>
      <c r="L25" s="91" t="n">
        <f aca="false">+'Datos ICP (2)'!AL72</f>
        <v>6.20443869945309E-005</v>
      </c>
      <c r="M25" s="91" t="n">
        <f aca="false">+'Datos ICP (2)'!AM72</f>
        <v>-0.000117767035173966</v>
      </c>
      <c r="N25" s="91" t="n">
        <f aca="false">+'Datos ICP (2)'!AN72</f>
        <v>0.0010223227816486</v>
      </c>
      <c r="O25" s="91" t="n">
        <f aca="false">+'Datos ICP (2)'!AO72</f>
        <v>0.00125922502391873</v>
      </c>
      <c r="P25" s="91" t="n">
        <f aca="false">+'Datos ICP (2)'!AP72</f>
        <v>0.0018230922141349</v>
      </c>
      <c r="Q25" s="91" t="n">
        <f aca="false">+'Datos ICP (2)'!AQ72</f>
        <v>0.00475372596105483</v>
      </c>
      <c r="R25" s="77"/>
      <c r="S25" s="77"/>
      <c r="T25" s="77"/>
      <c r="U25" s="77"/>
      <c r="V25" s="77"/>
      <c r="W25" s="77"/>
      <c r="X25" s="77"/>
    </row>
    <row r="26" customFormat="false" ht="15" hidden="false" customHeight="true" outlineLevel="0" collapsed="false">
      <c r="C26" s="76"/>
      <c r="D26" s="77" t="s">
        <v>38</v>
      </c>
      <c r="E26" s="93"/>
      <c r="F26" s="91" t="n">
        <f aca="false">+'Datos ICP (2)'!AF73</f>
        <v>0.00140593375087899</v>
      </c>
      <c r="G26" s="91" t="n">
        <f aca="false">+'Datos ICP (2)'!AG73</f>
        <v>0.00136993539678332</v>
      </c>
      <c r="H26" s="91" t="n">
        <f aca="false">+'Datos ICP (2)'!AH73</f>
        <v>0.00198750420941907</v>
      </c>
      <c r="I26" s="91" t="n">
        <f aca="false">+'Datos ICP (2)'!AI73</f>
        <v>0.00209595541530305</v>
      </c>
      <c r="J26" s="91" t="n">
        <f aca="false">+'Datos ICP (2)'!AJ73</f>
        <v>0.00167939666892347</v>
      </c>
      <c r="K26" s="91" t="n">
        <f aca="false">+'Datos ICP (2)'!AK73</f>
        <v>0.00162153799159381</v>
      </c>
      <c r="L26" s="91" t="n">
        <f aca="false">+'Datos ICP (2)'!AL73</f>
        <v>0.00116096350564443</v>
      </c>
      <c r="M26" s="91" t="n">
        <f aca="false">+'Datos ICP (2)'!AM73</f>
        <v>0.00130925483342814</v>
      </c>
      <c r="N26" s="91" t="n">
        <f aca="false">+'Datos ICP (2)'!AN73</f>
        <v>0.00164504664159115</v>
      </c>
      <c r="O26" s="91" t="n">
        <f aca="false">+'Datos ICP (2)'!AO73</f>
        <v>0.00187910684836634</v>
      </c>
      <c r="P26" s="91" t="n">
        <f aca="false">+'Datos ICP (2)'!AP73</f>
        <v>0.00276817518696593</v>
      </c>
      <c r="Q26" s="91" t="n">
        <f aca="false">+'Datos ICP (2)'!AQ73</f>
        <v>0.0192595798192644</v>
      </c>
      <c r="R26" s="77"/>
      <c r="S26" s="77"/>
      <c r="T26" s="77"/>
      <c r="U26" s="77"/>
      <c r="V26" s="77"/>
      <c r="W26" s="77"/>
      <c r="X26" s="77"/>
    </row>
    <row r="27" customFormat="false" ht="15" hidden="false" customHeight="true" outlineLevel="0" collapsed="false">
      <c r="C27" s="76" t="n">
        <v>2022</v>
      </c>
      <c r="D27" s="77" t="s">
        <v>3</v>
      </c>
      <c r="E27" s="91"/>
      <c r="F27" s="91" t="n">
        <f aca="false">+'Datos ICP (2)'!AE74</f>
        <v>0.00343555418239894</v>
      </c>
      <c r="G27" s="91" t="n">
        <f aca="false">+'Datos ICP (2)'!AF74</f>
        <v>0.0042862298052635</v>
      </c>
      <c r="H27" s="91" t="n">
        <f aca="false">+'Datos ICP (2)'!AG74</f>
        <v>0.00483147984427568</v>
      </c>
      <c r="I27" s="91" t="n">
        <f aca="false">+'Datos ICP (2)'!AI74</f>
        <v>0.00711313258265056</v>
      </c>
      <c r="J27" s="91" t="n">
        <f aca="false">+'Datos ICP (2)'!AJ74</f>
        <v>0.00735963642867588</v>
      </c>
      <c r="K27" s="91" t="n">
        <f aca="false">+'Datos ICP (2)'!AK74</f>
        <v>0.00758934606328521</v>
      </c>
      <c r="L27" s="91" t="n">
        <f aca="false">+'Datos ICP (2)'!AL74</f>
        <v>0.00897594167289917</v>
      </c>
      <c r="M27" s="91" t="n">
        <f aca="false">+'Datos ICP (2)'!AM74</f>
        <v>0.00879983646672877</v>
      </c>
      <c r="N27" s="91" t="n">
        <f aca="false">+'Datos ICP (2)'!AN74</f>
        <v>0.00860306861798099</v>
      </c>
      <c r="O27" s="91" t="n">
        <f aca="false">+'Datos ICP (2)'!AO74</f>
        <v>0.0103612389794803</v>
      </c>
      <c r="P27" s="91" t="n">
        <f aca="false">+'Datos ICP (2)'!AP74</f>
        <v>0.00941665122241275</v>
      </c>
      <c r="Q27" s="91" t="n">
        <f aca="false">+'Datos ICP (2)'!AQ74</f>
        <v>0.0896859911813484</v>
      </c>
      <c r="R27" s="77"/>
      <c r="S27" s="77"/>
      <c r="T27" s="77"/>
      <c r="U27" s="77"/>
      <c r="V27" s="77"/>
      <c r="W27" s="77"/>
      <c r="X27" s="77"/>
    </row>
    <row r="28" customFormat="false" ht="15" hidden="false" customHeight="true" outlineLevel="0" collapsed="false">
      <c r="C28" s="76"/>
      <c r="D28" s="77" t="s">
        <v>26</v>
      </c>
      <c r="E28" s="93"/>
      <c r="F28" s="91" t="n">
        <f aca="false">+'Datos ICP (2)'!AE75</f>
        <v>0.00257166759736172</v>
      </c>
      <c r="G28" s="91" t="n">
        <f aca="false">+'Datos ICP (2)'!AF75</f>
        <v>0.00330034492532061</v>
      </c>
      <c r="H28" s="91" t="n">
        <f aca="false">+'Datos ICP (2)'!AG75</f>
        <v>0.00379260664764991</v>
      </c>
      <c r="I28" s="91" t="n">
        <f aca="false">+'Datos ICP (2)'!AI75</f>
        <v>0.00551056008510376</v>
      </c>
      <c r="J28" s="91" t="n">
        <f aca="false">+'Datos ICP (2)'!AJ75</f>
        <v>0.00588359145110817</v>
      </c>
      <c r="K28" s="91" t="n">
        <f aca="false">+'Datos ICP (2)'!AK75</f>
        <v>0.00651186691407713</v>
      </c>
      <c r="L28" s="91" t="n">
        <f aca="false">+'Datos ICP (2)'!AL75</f>
        <v>0.00703045536532287</v>
      </c>
      <c r="M28" s="91" t="n">
        <f aca="false">+'Datos ICP (2)'!AM75</f>
        <v>0.00733574547403659</v>
      </c>
      <c r="N28" s="91" t="n">
        <f aca="false">+'Datos ICP (2)'!AN75</f>
        <v>0.00724225279230772</v>
      </c>
      <c r="O28" s="91" t="n">
        <f aca="false">+'Datos ICP (2)'!AO75</f>
        <v>0.00874180469630037</v>
      </c>
      <c r="P28" s="91" t="n">
        <f aca="false">+'Datos ICP (2)'!AP75</f>
        <v>0.00792817195118678</v>
      </c>
      <c r="Q28" s="91" t="n">
        <f aca="false">+'Datos ICP (2)'!AQ75</f>
        <v>0.0727164295690508</v>
      </c>
      <c r="R28" s="77"/>
      <c r="S28" s="77"/>
      <c r="T28" s="77"/>
      <c r="U28" s="77"/>
      <c r="V28" s="77"/>
      <c r="W28" s="77"/>
      <c r="X28" s="77"/>
    </row>
    <row r="29" customFormat="false" ht="15" hidden="false" customHeight="true" outlineLevel="0" collapsed="false">
      <c r="C29" s="76"/>
      <c r="D29" s="77" t="s">
        <v>38</v>
      </c>
      <c r="E29" s="93"/>
      <c r="F29" s="91" t="n">
        <f aca="false">+'Datos ICP (2)'!AE76</f>
        <v>0.00366798006596891</v>
      </c>
      <c r="G29" s="91" t="n">
        <f aca="false">+'Datos ICP (2)'!AF76</f>
        <v>0.00430265836737531</v>
      </c>
      <c r="H29" s="91" t="n">
        <f aca="false">+'Datos ICP (2)'!AG76</f>
        <v>0.00484481490279864</v>
      </c>
      <c r="I29" s="91" t="n">
        <f aca="false">+'Datos ICP (2)'!AI76</f>
        <v>0.00840133054691772</v>
      </c>
      <c r="J29" s="91" t="n">
        <f aca="false">+'Datos ICP (2)'!AJ76</f>
        <v>0.00976736523034072</v>
      </c>
      <c r="K29" s="91" t="n">
        <f aca="false">+'Datos ICP (2)'!AK76</f>
        <v>0.0068131958905906</v>
      </c>
      <c r="L29" s="91" t="n">
        <f aca="false">+'Datos ICP (2)'!AL76</f>
        <v>0.00958169429174527</v>
      </c>
      <c r="M29" s="91" t="n">
        <f aca="false">+'Datos ICP (2)'!AM76</f>
        <v>0.00933567234841104</v>
      </c>
      <c r="N29" s="91" t="n">
        <f aca="false">+'Datos ICP (2)'!AN76</f>
        <v>0.00919107126819196</v>
      </c>
      <c r="O29" s="91" t="n">
        <f aca="false">+'Datos ICP (2)'!AO76</f>
        <v>0.0114433664157829</v>
      </c>
      <c r="P29" s="91" t="n">
        <f aca="false">+'Datos ICP (2)'!AP76</f>
        <v>0.0104367348387959</v>
      </c>
      <c r="Q29" s="91" t="n">
        <f aca="false">+'Datos ICP (2)'!AQ76</f>
        <v>0.0983254225037404</v>
      </c>
      <c r="R29" s="77"/>
      <c r="S29" s="77"/>
      <c r="T29" s="77"/>
      <c r="U29" s="77"/>
      <c r="V29" s="77"/>
      <c r="W29" s="77"/>
      <c r="X29" s="77"/>
    </row>
    <row r="30" customFormat="false" ht="15" hidden="false" customHeight="true" outlineLevel="0" collapsed="false">
      <c r="C30" s="76" t="n">
        <v>2023</v>
      </c>
      <c r="D30" s="77" t="s">
        <v>3</v>
      </c>
      <c r="E30" s="91" t="n">
        <f aca="false">+'Datos ICP (2)'!AE77</f>
        <v>0.0100469572011002</v>
      </c>
      <c r="F30" s="91" t="n">
        <f aca="false">+'Datos ICP (2)'!AF77</f>
        <v>0.0087853587137845</v>
      </c>
      <c r="G30" s="91" t="n">
        <f aca="false">+'Datos ICP (2)'!AG77</f>
        <v>0.00973181777442234</v>
      </c>
      <c r="H30" s="91" t="n">
        <f aca="false">+'Datos ICP (2)'!AH77</f>
        <v>0.00878524391320701</v>
      </c>
      <c r="I30" s="91" t="n">
        <f aca="false">+'Datos ICP (2)'!AI77</f>
        <v>0.0103616631363057</v>
      </c>
      <c r="J30" s="91" t="n">
        <f aca="false">+'Datos ICP (2)'!AJ77</f>
        <v>0.00941507013085063</v>
      </c>
      <c r="K30" s="91" t="n">
        <f aca="false">+'Datos ICP (2)'!AK77</f>
        <v>0.00973152922417442</v>
      </c>
      <c r="L30" s="91" t="n">
        <f aca="false">+'Datos ICP (2)'!AL77</f>
        <v>0.00886337395135217</v>
      </c>
      <c r="M30" s="91" t="n">
        <f aca="false">+'Datos ICP (2)'!AM77</f>
        <v>0.00779534514134506</v>
      </c>
      <c r="N30" s="91" t="n">
        <f aca="false">+'Datos ICP (2)'!AN77</f>
        <v>0.00846015350417906</v>
      </c>
      <c r="O30" s="91" t="n">
        <f aca="false">+'Datos ICP (2)'!AO77</f>
        <v>0.00752661431064561</v>
      </c>
      <c r="P30" s="91" t="n">
        <f aca="false">+'Datos ICP (2)'!AP77</f>
        <v>0.00708194994827327</v>
      </c>
      <c r="Q30" s="91" t="n">
        <f aca="false">+'Datos ICP (2)'!AQ77</f>
        <v>0.111942792636216</v>
      </c>
      <c r="R30" s="77"/>
      <c r="S30" s="77"/>
      <c r="T30" s="77"/>
      <c r="U30" s="77"/>
      <c r="V30" s="77"/>
      <c r="W30" s="77"/>
      <c r="X30" s="77"/>
    </row>
    <row r="31" customFormat="false" ht="15" hidden="false" customHeight="true" outlineLevel="0" collapsed="false">
      <c r="C31" s="76"/>
      <c r="D31" s="77" t="s">
        <v>26</v>
      </c>
      <c r="E31" s="91" t="n">
        <f aca="false">+'Datos ICP (2)'!AE78</f>
        <v>0.00844131235614931</v>
      </c>
      <c r="F31" s="91" t="n">
        <f aca="false">+'Datos ICP (2)'!AF78</f>
        <v>0.0073877688517241</v>
      </c>
      <c r="G31" s="91" t="n">
        <f aca="false">+'Datos ICP (2)'!AG78</f>
        <v>0.00821037864298546</v>
      </c>
      <c r="H31" s="91" t="n">
        <f aca="false">+'Datos ICP (2)'!AH78</f>
        <v>0.00745817908130753</v>
      </c>
      <c r="I31" s="91" t="n">
        <f aca="false">+'Datos ICP (2)'!AI78</f>
        <v>0.00882507642095476</v>
      </c>
      <c r="J31" s="91" t="n">
        <f aca="false">+'Datos ICP (2)'!AJ78</f>
        <v>0.00800289135407151</v>
      </c>
      <c r="K31" s="91" t="n">
        <f aca="false">+'Datos ICP (2)'!AK78</f>
        <v>0.00820447209350883</v>
      </c>
      <c r="L31" s="91" t="n">
        <f aca="false">+'Datos ICP (2)'!AL78</f>
        <v>0.00759628558108139</v>
      </c>
      <c r="M31" s="91" t="n">
        <f aca="false">+'Datos ICP (2)'!AM78</f>
        <v>0.00678482261305935</v>
      </c>
      <c r="N31" s="91" t="n">
        <f aca="false">+'Datos ICP (2)'!AN78</f>
        <v>0.00667608269659126</v>
      </c>
      <c r="O31" s="91" t="n">
        <f aca="false">+'Datos ICP (2)'!AO78</f>
        <v>0.00616956723192952</v>
      </c>
      <c r="P31" s="91" t="n">
        <f aca="false">+'Datos ICP (2)'!AP78</f>
        <v>0.00610155186395645</v>
      </c>
      <c r="Q31" s="91" t="n">
        <f aca="false">+'Datos ICP (2)'!AQ78</f>
        <v>0.093648405763658</v>
      </c>
      <c r="R31" s="77"/>
      <c r="S31" s="77"/>
      <c r="T31" s="77"/>
      <c r="U31" s="77"/>
      <c r="V31" s="77"/>
      <c r="W31" s="77"/>
      <c r="X31" s="77"/>
    </row>
    <row r="32" customFormat="false" ht="15" hidden="false" customHeight="true" outlineLevel="0" collapsed="false">
      <c r="C32" s="76"/>
      <c r="D32" s="77" t="s">
        <v>38</v>
      </c>
      <c r="E32" s="91" t="n">
        <f aca="false">+'Datos ICP (2)'!AE79</f>
        <v>0.011695512268143</v>
      </c>
      <c r="F32" s="91" t="n">
        <f aca="false">+'Datos ICP (2)'!AF79</f>
        <v>0.011050900699763</v>
      </c>
      <c r="G32" s="91" t="n">
        <f aca="false">+'Datos ICP (2)'!AG79</f>
        <v>0.0118538498532224</v>
      </c>
      <c r="H32" s="91" t="n">
        <f aca="false">+'Datos ICP (2)'!AH79</f>
        <v>0.0105936325911318</v>
      </c>
      <c r="I32" s="91" t="n">
        <f aca="false">+'Datos ICP (2)'!AI79</f>
        <v>0.012356173562736</v>
      </c>
      <c r="J32" s="91" t="n">
        <f aca="false">+'Datos ICP (2)'!AJ79</f>
        <v>0.0105379485157908</v>
      </c>
      <c r="K32" s="91" t="n">
        <f aca="false">+'Datos ICP (2)'!AK79</f>
        <v>0.0109597210248671</v>
      </c>
      <c r="L32" s="91" t="n">
        <f aca="false">+'Datos ICP (2)'!AL79</f>
        <v>0.0107736626645112</v>
      </c>
      <c r="M32" s="91" t="n">
        <f aca="false">+'Datos ICP (2)'!AM79</f>
        <v>0.00978856618236779</v>
      </c>
      <c r="N32" s="91" t="n">
        <f aca="false">+'Datos ICP (2)'!AN79</f>
        <v>0.0095031513541497</v>
      </c>
      <c r="O32" s="91" t="n">
        <f aca="false">+'Datos ICP (2)'!AO79</f>
        <v>0.00905298029472013</v>
      </c>
      <c r="P32" s="91" t="n">
        <f aca="false">+'Datos ICP (2)'!AP79</f>
        <v>0.00954082708982607</v>
      </c>
      <c r="Q32" s="91" t="n">
        <f aca="false">+'Datos ICP (2)'!AQ79</f>
        <v>0.135447103723408</v>
      </c>
      <c r="R32" s="77"/>
      <c r="S32" s="77"/>
      <c r="T32" s="77"/>
      <c r="U32" s="77"/>
      <c r="V32" s="77"/>
      <c r="W32" s="77"/>
      <c r="X32" s="77"/>
    </row>
    <row r="33" customFormat="false" ht="15" hidden="false" customHeight="true" outlineLevel="0" collapsed="false">
      <c r="C33" s="76" t="n">
        <v>2024</v>
      </c>
      <c r="D33" s="77" t="s">
        <v>3</v>
      </c>
      <c r="E33" s="91" t="n">
        <f aca="false">+'Datos ICP (2)'!AE80</f>
        <v>0.00735722532416316</v>
      </c>
      <c r="F33" s="91" t="n">
        <f aca="false">+'Datos ICP (2)'!AF80</f>
        <v>0.00611213912063557</v>
      </c>
      <c r="G33" s="91" t="n">
        <f aca="false">+'Datos ICP (2)'!AG80</f>
        <v>0.00564735171406094</v>
      </c>
      <c r="H33" s="91" t="n">
        <f aca="false">+'Datos ICP (2)'!AH80</f>
        <v>0.00609278396182833</v>
      </c>
      <c r="I33" s="91" t="n">
        <f aca="false">+'Datos ICP (2)'!AI80</f>
        <v>0.00551411929031809</v>
      </c>
      <c r="J33" s="91" t="n">
        <f aca="false">+'Datos ICP (2)'!AJ80</f>
        <v>0.00461354906321554</v>
      </c>
      <c r="K33" s="91" t="n">
        <f aca="false">+'Datos ICP (2)'!AK80</f>
        <v>0.00528435035284347</v>
      </c>
      <c r="L33" s="91" t="n">
        <f aca="false">+'Datos ICP (2)'!AL80</f>
        <v>0.00480235203759283</v>
      </c>
      <c r="M33" s="91" t="n">
        <f aca="false">+'Datos ICP (2)'!AM80</f>
        <v>0.00478104349541386</v>
      </c>
      <c r="N33" s="91" t="n">
        <f aca="false">+'Datos ICP (2)'!AN80</f>
        <v>0.00451044051641847</v>
      </c>
      <c r="O33" s="91" t="n">
        <f aca="false">+'Datos ICP (2)'!AO80</f>
        <v>0.0043843255475724</v>
      </c>
      <c r="P33" s="91" t="n">
        <f aca="false">+'Datos ICP (2)'!AP80</f>
        <v>0.00444626417327787</v>
      </c>
      <c r="Q33" s="91" t="n">
        <f aca="false">+'Datos ICP (2)'!AQ80</f>
        <v>0.0654251259349719</v>
      </c>
      <c r="R33" s="77"/>
      <c r="S33" s="77"/>
      <c r="T33" s="77"/>
      <c r="U33" s="77"/>
      <c r="V33" s="77"/>
      <c r="W33" s="77"/>
      <c r="X33" s="77"/>
    </row>
    <row r="34" customFormat="false" ht="15" hidden="false" customHeight="true" outlineLevel="0" collapsed="false">
      <c r="C34" s="76"/>
      <c r="D34" s="77" t="s">
        <v>26</v>
      </c>
      <c r="E34" s="91" t="n">
        <f aca="false">+'Datos ICP (2)'!AE81</f>
        <v>0.00587192975175177</v>
      </c>
      <c r="F34" s="91" t="n">
        <f aca="false">+'Datos ICP (2)'!AF81</f>
        <v>0.00508491077058904</v>
      </c>
      <c r="G34" s="91" t="n">
        <f aca="false">+'Datos ICP (2)'!AG81</f>
        <v>0.0044501495538698</v>
      </c>
      <c r="H34" s="91" t="n">
        <f aca="false">+'Datos ICP (2)'!AH81</f>
        <v>0.00472012403360989</v>
      </c>
      <c r="I34" s="91" t="n">
        <f aca="false">+'Datos ICP (2)'!AI81</f>
        <v>0.00416779685595303</v>
      </c>
      <c r="J34" s="91" t="n">
        <f aca="false">+'Datos ICP (2)'!AJ81</f>
        <v>0.00365019312776771</v>
      </c>
      <c r="K34" s="91" t="n">
        <f aca="false">+'Datos ICP (2)'!AK81</f>
        <v>0.00363412607508162</v>
      </c>
      <c r="L34" s="91" t="n">
        <f aca="false">+'Datos ICP (2)'!AL81</f>
        <v>0.00362766941593184</v>
      </c>
      <c r="M34" s="91" t="n">
        <f aca="false">+'Datos ICP (2)'!AM81</f>
        <v>0.0033754452875443</v>
      </c>
      <c r="N34" s="91" t="n">
        <f aca="false">+'Datos ICP (2)'!AN81</f>
        <v>0.00341081299567914</v>
      </c>
      <c r="O34" s="91" t="n">
        <f aca="false">+'Datos ICP (2)'!AO81</f>
        <v>0.00322037460491331</v>
      </c>
      <c r="P34" s="91" t="n">
        <f aca="false">+'Datos ICP (2)'!AP81</f>
        <v>0.003229855901979</v>
      </c>
      <c r="Q34" s="91" t="n">
        <f aca="false">+'Datos ICP (2)'!AQ81</f>
        <v>0.0495295629197707</v>
      </c>
      <c r="R34" s="77"/>
      <c r="S34" s="77"/>
      <c r="T34" s="77"/>
      <c r="U34" s="77"/>
      <c r="V34" s="77"/>
      <c r="W34" s="77"/>
      <c r="X34" s="77"/>
    </row>
    <row r="35" customFormat="false" ht="15" hidden="false" customHeight="true" outlineLevel="0" collapsed="false">
      <c r="C35" s="76"/>
      <c r="D35" s="77" t="s">
        <v>38</v>
      </c>
      <c r="E35" s="91" t="n">
        <f aca="false">+'Datos ICP (2)'!AE82</f>
        <v>0.00854027169005578</v>
      </c>
      <c r="F35" s="91" t="n">
        <f aca="false">+'Datos ICP (2)'!AF82</f>
        <v>0.00693659029754046</v>
      </c>
      <c r="G35" s="91" t="n">
        <f aca="false">+'Datos ICP (2)'!AG82</f>
        <v>0.00637907758195611</v>
      </c>
      <c r="H35" s="91" t="n">
        <f aca="false">+'Datos ICP (2)'!AH82</f>
        <v>0.00715680058605339</v>
      </c>
      <c r="I35" s="91" t="n">
        <f aca="false">+'Datos ICP (2)'!AI82</f>
        <v>0.00568090206520466</v>
      </c>
      <c r="J35" s="91" t="n">
        <f aca="false">+'Datos ICP (2)'!AJ82</f>
        <v>0.00602235285148245</v>
      </c>
      <c r="K35" s="91" t="n">
        <f aca="false">+'Datos ICP (2)'!AK82</f>
        <v>0.00583968374789068</v>
      </c>
      <c r="L35" s="91" t="n">
        <f aca="false">+'Datos ICP (2)'!AL82</f>
        <v>0.00573447458370668</v>
      </c>
      <c r="M35" s="91" t="n">
        <f aca="false">+'Datos ICP (2)'!AM82</f>
        <v>0.00553211413108445</v>
      </c>
      <c r="N35" s="91" t="n">
        <f aca="false">+'Datos ICP (2)'!AN82</f>
        <v>0.00540211915953481</v>
      </c>
      <c r="O35" s="91" t="n">
        <f aca="false">+'Datos ICP (2)'!AO82</f>
        <v>0.00490295019804021</v>
      </c>
      <c r="P35" s="91" t="n">
        <f aca="false">+'Datos ICP (2)'!AP82</f>
        <v>0.00368327324519546</v>
      </c>
      <c r="Q35" s="91" t="n">
        <f aca="false">+'Datos ICP (2)'!AQ82</f>
        <v>0.0742133417332851</v>
      </c>
      <c r="R35" s="77"/>
      <c r="S35" s="77"/>
      <c r="T35" s="77"/>
      <c r="U35" s="77"/>
      <c r="V35" s="77"/>
      <c r="W35" s="77"/>
      <c r="X35" s="77"/>
    </row>
    <row r="36" customFormat="false" ht="15" hidden="false" customHeight="false" outlineLevel="0" collapsed="false">
      <c r="C36" s="76" t="n">
        <v>2025</v>
      </c>
      <c r="D36" s="77" t="s">
        <v>3</v>
      </c>
      <c r="E36" s="91" t="n">
        <f aca="false">+'Datos ICP (2)'!AE83</f>
        <v>0.00445443017437541</v>
      </c>
      <c r="F36" s="91" t="n">
        <f aca="false">+'Datos ICP (2)'!AF83</f>
        <v>0.00389626305099444</v>
      </c>
      <c r="G36" s="91" t="n">
        <f aca="false">+'Datos ICP (2)'!AG83</f>
        <v>0.0043138020854181</v>
      </c>
      <c r="H36" s="91" t="n">
        <f aca="false">+'Datos ICP (2)'!AH83</f>
        <v>0.00417571644342774</v>
      </c>
      <c r="I36" s="91" t="n">
        <f aca="false">+'Datos ICP (2)'!AI83</f>
        <v>0.00417422694650416</v>
      </c>
      <c r="J36" s="91" t="n">
        <f aca="false">+'Datos ICP (2)'!AJ83</f>
        <v>0.00431456613652492</v>
      </c>
      <c r="K36" s="91" t="n">
        <f aca="false">+'Datos ICP (2)'!AK83</f>
        <v>0.00430626208344687</v>
      </c>
      <c r="L36" s="91" t="n">
        <f aca="false">+'Datos ICP (2)'!AL83</f>
        <v>0.00383327468941586</v>
      </c>
      <c r="M36" s="91" t="n">
        <f aca="false">+'Datos ICP (2)'!AM83</f>
        <v>0.00423004876441735</v>
      </c>
      <c r="N36" s="91" t="n">
        <f aca="false">+'Datos ICP (2)'!AN83</f>
        <v>0.00396619021077105</v>
      </c>
      <c r="O36" s="91" t="n">
        <f aca="false">+'Datos ICP (2)'!AO83</f>
        <v>0.00383243965233548</v>
      </c>
      <c r="P36" s="91" t="n">
        <f aca="false">+'Datos ICP (2)'!AP83</f>
        <v>0.00413946203577598</v>
      </c>
      <c r="Q36" s="91" t="n">
        <f aca="false">+'Datos ICP (2)'!AQ83</f>
        <v>0.0461215166375695</v>
      </c>
    </row>
    <row r="37" customFormat="false" ht="15" hidden="false" customHeight="false" outlineLevel="0" collapsed="false">
      <c r="C37" s="76"/>
      <c r="D37" s="77" t="s">
        <v>26</v>
      </c>
      <c r="E37" s="91" t="n">
        <f aca="false">+'Datos ICP (2)'!AE84</f>
        <v>0.00302021033404665</v>
      </c>
      <c r="F37" s="91" t="n">
        <f aca="false">+'Datos ICP (2)'!AF84</f>
        <v>0.00276213771028111</v>
      </c>
      <c r="G37" s="91" t="n">
        <f aca="false">+'Datos ICP (2)'!AG84</f>
        <v>0.00306282692323312</v>
      </c>
      <c r="H37" s="91" t="n">
        <f aca="false">+'Datos ICP (2)'!AH84</f>
        <v>0.00297594968581905</v>
      </c>
      <c r="I37" s="91" t="n">
        <f aca="false">+'Datos ICP (2)'!AI84</f>
        <v>0.00308976252279503</v>
      </c>
      <c r="J37" s="91" t="n">
        <f aca="false">+'Datos ICP (2)'!AJ84</f>
        <v>0.00299705245742721</v>
      </c>
      <c r="K37" s="91" t="n">
        <f aca="false">+'Datos ICP (2)'!AK84</f>
        <v>0.00295054952791363</v>
      </c>
      <c r="L37" s="91" t="n">
        <f aca="false">+'Datos ICP (2)'!AL84</f>
        <v>0.00300054219083834</v>
      </c>
      <c r="M37" s="91" t="n">
        <f aca="false">+'Datos ICP (2)'!AM84</f>
        <v>0.00276161496613736</v>
      </c>
      <c r="N37" s="91" t="n">
        <f aca="false">+'Datos ICP (2)'!AN84</f>
        <v>0.00286519472447866</v>
      </c>
      <c r="O37" s="91" t="n">
        <f aca="false">+'Datos ICP (2)'!AO84</f>
        <v>0.00279501576319907</v>
      </c>
      <c r="P37" s="91" t="n">
        <f aca="false">+'Datos ICP (2)'!AP84</f>
        <v>0.00283776649927603</v>
      </c>
      <c r="Q37" s="91" t="n">
        <f aca="false">+'Datos ICP (2)'!AQ84</f>
        <v>0.0325707862057447</v>
      </c>
    </row>
    <row r="38" customFormat="false" ht="15" hidden="false" customHeight="false" outlineLevel="0" collapsed="false">
      <c r="C38" s="76"/>
      <c r="D38" s="77" t="s">
        <v>38</v>
      </c>
      <c r="E38" s="91" t="n">
        <f aca="false">+'Datos ICP (2)'!AE85</f>
        <v>0.00389647490310496</v>
      </c>
      <c r="F38" s="91" t="n">
        <f aca="false">+'Datos ICP (2)'!AF85</f>
        <v>0.00398338266350184</v>
      </c>
      <c r="G38" s="91" t="n">
        <f aca="false">+'Datos ICP (2)'!AG85</f>
        <v>0.0042990639615561</v>
      </c>
      <c r="H38" s="91" t="n">
        <f aca="false">+'Datos ICP (2)'!AH85</f>
        <v>0.00507672989676489</v>
      </c>
      <c r="I38" s="91" t="n">
        <f aca="false">+'Datos ICP (2)'!AI85</f>
        <v>0.0052704520022937</v>
      </c>
      <c r="J38" s="91" t="n">
        <f aca="false">+'Datos ICP (2)'!AJ85</f>
        <v>0.00483490260089936</v>
      </c>
      <c r="K38" s="91" t="n">
        <f aca="false">+'Datos ICP (2)'!AK85</f>
        <v>0.00467724742655595</v>
      </c>
      <c r="L38" s="91" t="n">
        <f aca="false">+'Datos ICP (2)'!AL85</f>
        <v>0.00503491309238857</v>
      </c>
      <c r="M38" s="91" t="n">
        <f aca="false">+'Datos ICP (2)'!AM85</f>
        <v>0.00456627313457014</v>
      </c>
      <c r="N38" s="91" t="n">
        <f aca="false">+'Datos ICP (2)'!AN85</f>
        <v>0.0055911736521479</v>
      </c>
      <c r="O38" s="91" t="n">
        <f aca="false">+'Datos ICP (2)'!AO85</f>
        <v>0.00491110197355926</v>
      </c>
      <c r="P38" s="91" t="n">
        <f aca="false">+'Datos ICP (2)'!AP85</f>
        <v>0.0053459513102061</v>
      </c>
      <c r="Q38" s="91" t="n">
        <f aca="false">+'Datos ICP (2)'!AQ85</f>
        <v>0.0549147605709657</v>
      </c>
    </row>
    <row r="39" customFormat="false" ht="15" hidden="false" customHeight="false" outlineLevel="0" collapsed="false">
      <c r="C39" s="76" t="n">
        <v>2026</v>
      </c>
      <c r="D39" s="77" t="s">
        <v>3</v>
      </c>
      <c r="E39" s="91" t="n">
        <f aca="false">+'Datos ICP (2)'!AE86</f>
        <v>0.00388234363273376</v>
      </c>
      <c r="F39" s="91" t="n">
        <f aca="false">+'Datos ICP (2)'!AF86</f>
        <v>0.00363126461056962</v>
      </c>
      <c r="G39" s="91" t="n">
        <f aca="false">+'Datos ICP (2)'!AG86</f>
        <v>0.0038819280865483</v>
      </c>
      <c r="H39" s="91" t="n">
        <f aca="false">+'Datos ICP (2)'!AH86</f>
        <v>-0.243672722859896</v>
      </c>
      <c r="I39" s="91"/>
      <c r="J39" s="91"/>
      <c r="K39" s="91"/>
      <c r="L39" s="91"/>
      <c r="M39" s="91"/>
      <c r="N39" s="91"/>
      <c r="O39" s="91"/>
      <c r="P39" s="91"/>
      <c r="Q39" s="91" t="n">
        <f aca="false">+'Datos ICP (2)'!AQ86</f>
        <v>-0.71393888658704</v>
      </c>
    </row>
    <row r="40" customFormat="false" ht="15" hidden="false" customHeight="false" outlineLevel="0" collapsed="false">
      <c r="C40" s="76"/>
      <c r="D40" s="77" t="s">
        <v>26</v>
      </c>
      <c r="E40" s="91" t="n">
        <f aca="false">+'Datos ICP (2)'!AE87</f>
        <v>0.00272443815472734</v>
      </c>
      <c r="F40" s="91" t="n">
        <f aca="false">+'Datos ICP (2)'!AF87</f>
        <v>0.00244521636660222</v>
      </c>
      <c r="G40" s="91" t="n">
        <f aca="false">+'Datos ICP (2)'!AG87</f>
        <v>0.00268777625151762</v>
      </c>
      <c r="H40" s="91" t="n">
        <f aca="false">+'Datos ICP (2)'!AH87</f>
        <v>-1</v>
      </c>
      <c r="I40" s="91"/>
      <c r="J40" s="91"/>
      <c r="K40" s="91"/>
      <c r="L40" s="91"/>
      <c r="M40" s="91"/>
      <c r="N40" s="91"/>
      <c r="O40" s="91"/>
      <c r="P40" s="91"/>
      <c r="Q40" s="91" t="n">
        <f aca="false">+'Datos ICP (2)'!AQ87</f>
        <v>-3</v>
      </c>
    </row>
    <row r="41" customFormat="false" ht="15" hidden="false" customHeight="false" outlineLevel="0" collapsed="false">
      <c r="C41" s="76"/>
      <c r="D41" s="77" t="s">
        <v>38</v>
      </c>
      <c r="E41" s="91" t="n">
        <f aca="false">+'Datos ICP (2)'!AE88</f>
        <v>0.00548806398738955</v>
      </c>
      <c r="F41" s="91" t="n">
        <f aca="false">+'Datos ICP (2)'!AF88</f>
        <v>0.00485192050073824</v>
      </c>
      <c r="G41" s="91" t="n">
        <f aca="false">+'Datos ICP (2)'!AG88</f>
        <v>0.00502871304118635</v>
      </c>
      <c r="H41" s="91" t="n">
        <f aca="false">+'Datos ICP (2)'!AH88</f>
        <v>0.00501820001251629</v>
      </c>
      <c r="I41" s="91"/>
      <c r="J41" s="91"/>
      <c r="K41" s="91"/>
      <c r="L41" s="91"/>
      <c r="M41" s="91"/>
      <c r="N41" s="91"/>
      <c r="O41" s="91"/>
      <c r="P41" s="91"/>
      <c r="Q41" s="91" t="n">
        <f aca="false">+'Datos ICP (2)'!AQ88</f>
        <v>0.0449188137130252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L5" activeCellId="0" sqref="L5"/>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9" min="9" style="0" width="11.57"/>
    <col collapsed="false" customWidth="true" hidden="false" outlineLevel="0" max="10" min="10" style="94" width="11.57"/>
    <col collapsed="false" customWidth="true" hidden="false" outlineLevel="0" max="11" min="11" style="94" width="28.42"/>
    <col collapsed="false" customWidth="true" hidden="false" outlineLevel="0" max="12" min="12" style="94" width="11.71"/>
    <col collapsed="false" customWidth="true" hidden="false" outlineLevel="0" max="13" min="13" style="94" width="11.57"/>
    <col collapsed="false" customWidth="true" hidden="false" outlineLevel="0" max="14" min="14" style="94" width="16.14"/>
    <col collapsed="false" customWidth="true" hidden="false" outlineLevel="0" max="15" min="15" style="94" width="36.71"/>
    <col collapsed="false" customWidth="true" hidden="false" outlineLevel="0" max="16" min="16" style="94" width="9.71"/>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5"/>
      <c r="C1" s="96"/>
      <c r="J1" s="97" t="s">
        <v>50</v>
      </c>
      <c r="K1" s="98"/>
      <c r="L1" s="99"/>
      <c r="N1" s="97" t="s">
        <v>51</v>
      </c>
      <c r="O1" s="98"/>
      <c r="P1" s="99"/>
      <c r="R1" s="100" t="s">
        <v>52</v>
      </c>
      <c r="S1" s="95"/>
      <c r="T1" s="101"/>
    </row>
    <row r="2" customFormat="false" ht="15.75" hidden="false" customHeight="true" outlineLevel="0" collapsed="false">
      <c r="C2" s="96"/>
      <c r="O2" s="102" t="s">
        <v>53</v>
      </c>
      <c r="P2" s="103" t="n">
        <v>0</v>
      </c>
    </row>
    <row r="3" customFormat="false" ht="15.75" hidden="false" customHeight="true" outlineLevel="0" collapsed="false">
      <c r="C3" s="96"/>
      <c r="K3" s="102" t="s">
        <v>54</v>
      </c>
      <c r="L3" s="103" t="n">
        <v>0.0079</v>
      </c>
      <c r="O3" s="102" t="s">
        <v>55</v>
      </c>
      <c r="P3" s="103" t="n">
        <v>0</v>
      </c>
      <c r="S3" s="102" t="s">
        <v>56</v>
      </c>
      <c r="T3" s="103" t="n">
        <v>1</v>
      </c>
    </row>
    <row r="4" customFormat="false" ht="15.75" hidden="false" customHeight="true" outlineLevel="0" collapsed="false">
      <c r="C4" s="96"/>
      <c r="K4" s="102" t="s">
        <v>57</v>
      </c>
      <c r="L4" s="103" t="n">
        <v>0.9921</v>
      </c>
      <c r="O4" s="102" t="s">
        <v>58</v>
      </c>
      <c r="P4" s="103" t="n">
        <v>0</v>
      </c>
      <c r="S4" s="102" t="s">
        <v>59</v>
      </c>
      <c r="T4" s="103" t="n">
        <v>0</v>
      </c>
    </row>
    <row r="5" customFormat="false" ht="15.75" hidden="false" customHeight="true" outlineLevel="0" collapsed="false">
      <c r="A5" s="95"/>
      <c r="B5" s="95"/>
      <c r="C5" s="96"/>
      <c r="K5" s="102" t="s">
        <v>60</v>
      </c>
      <c r="L5" s="103" t="n">
        <v>0</v>
      </c>
      <c r="O5" s="102" t="s">
        <v>61</v>
      </c>
      <c r="P5" s="103" t="n">
        <v>0</v>
      </c>
    </row>
    <row r="6" customFormat="false" ht="15.75" hidden="false" customHeight="true" outlineLevel="0" collapsed="false">
      <c r="A6" s="95"/>
      <c r="B6" s="95"/>
      <c r="C6" s="96"/>
      <c r="K6" s="102" t="s">
        <v>62</v>
      </c>
      <c r="L6" s="103" t="n">
        <v>0</v>
      </c>
      <c r="O6" s="102" t="s">
        <v>63</v>
      </c>
      <c r="P6" s="103" t="n">
        <v>1</v>
      </c>
    </row>
    <row r="7" customFormat="false" ht="15.75" hidden="false" customHeight="true" outlineLevel="0" collapsed="false">
      <c r="B7" s="95"/>
      <c r="C7" s="96"/>
      <c r="L7" s="104" t="n">
        <f aca="false">SUM(L3:L6)</f>
        <v>1</v>
      </c>
      <c r="O7" s="102" t="s">
        <v>64</v>
      </c>
      <c r="P7" s="103" t="n">
        <v>0</v>
      </c>
      <c r="Q7" s="105"/>
    </row>
    <row r="8" customFormat="false" ht="15.75" hidden="false" customHeight="true" outlineLevel="0" collapsed="false">
      <c r="C8" s="96"/>
      <c r="O8" s="102" t="s">
        <v>65</v>
      </c>
      <c r="P8" s="103" t="n">
        <v>0</v>
      </c>
    </row>
    <row r="9" customFormat="false" ht="15.75" hidden="false" customHeight="true" outlineLevel="0" collapsed="false">
      <c r="C9" s="96"/>
      <c r="O9" s="102" t="s">
        <v>66</v>
      </c>
      <c r="P9" s="103" t="n">
        <v>0</v>
      </c>
    </row>
    <row r="10" customFormat="false" ht="15.75" hidden="false" customHeight="true" outlineLevel="0" collapsed="false">
      <c r="C10" s="96"/>
      <c r="O10" s="102" t="s">
        <v>67</v>
      </c>
      <c r="P10" s="103" t="n">
        <v>0</v>
      </c>
    </row>
    <row r="11" customFormat="false" ht="15.75" hidden="false" customHeight="true" outlineLevel="0" collapsed="false">
      <c r="C11" s="96"/>
      <c r="O11" s="102" t="s">
        <v>68</v>
      </c>
      <c r="P11" s="103" t="n">
        <v>0</v>
      </c>
    </row>
    <row r="12" customFormat="false" ht="15.75" hidden="true" customHeight="true" outlineLevel="0" collapsed="false">
      <c r="C12" s="96"/>
      <c r="O12" s="102"/>
      <c r="P12" s="103"/>
    </row>
    <row r="13" customFormat="false" ht="15.75" hidden="false" customHeight="true" outlineLevel="0" collapsed="false">
      <c r="C13" s="96"/>
      <c r="O13" s="102" t="s">
        <v>69</v>
      </c>
      <c r="P13" s="103" t="n">
        <v>0</v>
      </c>
    </row>
    <row r="14" customFormat="false" ht="15" hidden="true" customHeight="false" outlineLevel="0" collapsed="false">
      <c r="A14" s="95" t="s">
        <v>70</v>
      </c>
      <c r="B14" s="106" t="n">
        <v>0</v>
      </c>
      <c r="C14" s="96"/>
    </row>
    <row r="15" customFormat="false" ht="15" hidden="false" customHeight="false" outlineLevel="0" collapsed="false">
      <c r="A15" s="95"/>
      <c r="B15" s="106"/>
      <c r="C15" s="96"/>
      <c r="P15" s="104" t="n">
        <f aca="false">SUM(P2:P14)</f>
        <v>1</v>
      </c>
    </row>
    <row r="16" customFormat="false" ht="15" hidden="false" customHeight="false" outlineLevel="0" collapsed="false">
      <c r="B16" s="95"/>
      <c r="C16" s="96"/>
    </row>
    <row r="17" customFormat="false" ht="15" hidden="false" customHeight="false" outlineLevel="0" collapsed="false">
      <c r="C17" s="96"/>
    </row>
    <row r="18" customFormat="false" ht="15" hidden="false" customHeight="false" outlineLevel="0" collapsed="false">
      <c r="C18" s="96"/>
    </row>
    <row r="19" customFormat="false" ht="15" hidden="false" customHeight="false" outlineLevel="0" collapsed="false">
      <c r="C19" s="96"/>
    </row>
    <row r="20" customFormat="false" ht="15" hidden="false" customHeight="false" outlineLevel="0" collapsed="false">
      <c r="C20" s="96"/>
    </row>
    <row r="21" customFormat="false" ht="15" hidden="false" customHeight="false" outlineLevel="0" collapsed="false">
      <c r="C21" s="96"/>
      <c r="N21" s="107"/>
      <c r="O21" s="108"/>
    </row>
    <row r="22" customFormat="false" ht="15" hidden="false" customHeight="false" outlineLevel="0" collapsed="false">
      <c r="A22" s="96"/>
      <c r="B22" s="96"/>
      <c r="C22" s="96"/>
    </row>
    <row r="23" customFormat="false" ht="15" hidden="false" customHeight="false" outlineLevel="0" collapsed="false">
      <c r="A23" s="96"/>
      <c r="B23" s="96"/>
      <c r="C23" s="96"/>
    </row>
    <row r="24" customFormat="false" ht="15" hidden="false" customHeight="false" outlineLevel="0" collapsed="false">
      <c r="A24" s="96"/>
      <c r="B24" s="96"/>
      <c r="C24" s="96"/>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2026-05-19T15:28:47Z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