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<sst xmlns="http://schemas.openxmlformats.org/spreadsheetml/2006/main" count="245" uniqueCount="70">
  <si>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</si>
  <si>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</si>
  <si>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</si>
  <si>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</si>
  <si>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</si>
  <si>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</si>
  <si>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</si>
  <si>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</si>
  <si>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</si>
  <si>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</si>
  <si>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</si>
  <si>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</si>
  <si>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</si>
  <si>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</si>
  <si>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</si>
  <si>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</si>
  <si>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</si>
  <si>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</si>
  <si>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</si>
  <si>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Continua</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</si>
  <si>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</si>
  <si>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</si>
  <si>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</si>
  <si>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</si>
  <si>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</si>
  <si>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</si>
  <si>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</si>
  <si>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Continua</t>
  </si>
  <si>
    <t xml:space="preserve">(*) Acum a Mar</t>
  </si>
  <si>
    <t xml:space="preserve">FONDO LIQUIDEZ Continua</t>
  </si>
  <si>
    <t xml:space="preserve">Continua</t>
  </si>
  <si>
    <t xml:space="preserve">Rentabilidad</t>
  </si>
  <si>
    <t xml:space="preserve">Mensual</t>
  </si>
  <si>
    <t xml:space="preserve">Trimestral</t>
  </si>
  <si>
    <t xml:space="preserve">Semestral</t>
  </si>
  <si>
    <t xml:space="preserve">Anual</t>
  </si>
  <si>
    <t xml:space="preserve">Acum. 2026&amp;</t>
  </si>
  <si>
    <t xml:space="preserve">ICP (Bechmark)</t>
  </si>
  <si>
    <t xml:space="preserve">FIP LIQUIDEZ Continua</t>
  </si>
  <si>
    <t xml:space="preserve">Año</t>
  </si>
  <si>
    <t xml:space="preserve">Fondo</t>
  </si>
  <si>
    <t xml:space="preserve">DIVIDENDO 2016</t>
  </si>
  <si>
    <t xml:space="preserve">Dividendo 2017</t>
  </si>
  <si>
    <t xml:space="preserve">Dividendo 2018</t>
  </si>
  <si>
    <t xml:space="preserve">Dividendo 2021</t>
  </si>
  <si>
    <t xml:space="preserve">Dividendo 2022</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</si>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</sst>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s>
  <fonts count="43">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20"/>
      <color rgb="FF000000"/>
      <name val="Be Vietnam Pro Medium"/>
      <family val="2"/>
    </font>
    <font>
      <sz val="12"/>
      <color rgb="FF000000"/>
      <name val="Be Vietnam Pro Light"/>
      <family val="2"/>
    </font>
    <font>
      <sz val="10"/>
      <color rgb="FF595959"/>
      <name val="Calibri"/>
      <family val="2"/>
    </font>
    <font>
      <sz val="18"/>
      <color rgb="FF000000"/>
      <name val="Be Vietnam Pro Light"/>
      <family val="2"/>
    </font>
    <font>
      <sz val="9"/>
      <color theme="1"/>
      <name val="Be Vietnam Pro Medium"/>
      <family val="0"/>
      <charset val="1"/>
    </font>
    <font>
      <b val="true"/>
      <sz val="11"/>
      <color theme="1"/>
      <name val="Aileron"/>
      <family val="3"/>
      <charset val="1"/>
    </font>
    <font>
      <sz val="11"/>
      <color theme="1"/>
      <name val="Aileron"/>
      <family val="3"/>
      <charset val="1"/>
    </font>
    <font>
      <sz val="11"/>
      <color theme="1"/>
      <name val="Be Vietnam Pro Light"/>
      <family val="0"/>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1">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theme="9" tint="0.7999"/>
        <bgColor rgb="FFDAF2D0"/>
      </patternFill>
    </fill>
    <fill>
      <patternFill patternType="solid">
        <fgColor rgb="FFF8F8F8"/>
        <bgColor rgb="FFF2F2F2"/>
      </patternFill>
    </fill>
    <fill>
      <patternFill patternType="solid">
        <fgColor rgb="FFDAF2D0"/>
        <bgColor rgb="FFE2F0D9"/>
      </patternFill>
    </fill>
    <fill>
      <patternFill patternType="solid">
        <fgColor theme="1"/>
        <bgColor rgb="FF003300"/>
      </patternFill>
    </fill>
  </fills>
  <borders count="5">
    <border diagonalUp="false" diagonalDown="false">
      <left/>
      <right/>
      <top/>
      <bottom/>
      <diagonal/>
    </border>
    <border diagonalUp="false" diagonalDown="false">
      <left style="thin"/>
      <right/>
      <top/>
      <bottom/>
      <diagonal/>
    </border>
    <border diagonalUp="false" diagonalDown="false">
      <left/>
      <right/>
      <top style="thin">
        <color theme="9" tint="0.3999"/>
      </top>
      <bottom style="thin">
        <color theme="9" tint="0.3999"/>
      </bottom>
      <diagonal/>
    </border>
    <border diagonalUp="false" diagonalDown="false">
      <left style="thick">
        <color rgb="FFFFFFFF"/>
      </left>
      <right style="thick">
        <color rgb="FFFFFFFF"/>
      </right>
      <top style="thick">
        <color rgb="FFFFFFFF"/>
      </top>
      <bottom style="thick">
        <color rgb="FFD4D4D4"/>
      </bottom>
      <diagonal/>
    </border>
    <border diagonalUp="false" diagonalDown="false">
      <left/>
      <right/>
      <top style="thin">
        <color rgb="FF8ED973"/>
      </top>
      <bottom style="thin">
        <color rgb="FF8ED973"/>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21" applyFont="true" applyBorder="false" applyAlignment="false" applyProtection="false">
      <alignment horizontal="general" vertical="bottom" textRotation="0" wrapText="false" indent="0" shrinkToFit="false"/>
      <protection locked="true" hidden="false"/>
    </xf>
    <xf numFmtId="167" fontId="7" fillId="0" borderId="0" xfId="21" applyFont="true" applyBorder="false" applyAlignment="false" applyProtection="false">
      <alignment horizontal="general" vertical="bottom" textRotation="0" wrapText="false" indent="0" shrinkToFit="false"/>
      <protection locked="true" hidden="false"/>
    </xf>
    <xf numFmtId="168" fontId="7" fillId="0"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true" applyProtection="false">
      <alignment horizontal="center" vertical="bottom" textRotation="0" wrapText="false" indent="0" shrinkToFit="false"/>
      <protection locked="true" hidden="false"/>
    </xf>
    <xf numFmtId="164" fontId="7" fillId="4"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center" vertical="bottom" textRotation="0" wrapText="false" indent="0" shrinkToFit="false"/>
      <protection locked="true" hidden="false"/>
    </xf>
    <xf numFmtId="167" fontId="7" fillId="0" borderId="0" xfId="21" applyFont="true" applyBorder="false" applyAlignment="true" applyProtection="false">
      <alignment horizontal="center" vertical="bottom" textRotation="0" wrapText="false" indent="0" shrinkToFit="false"/>
      <protection locked="true" hidden="false"/>
    </xf>
    <xf numFmtId="164" fontId="7" fillId="0" borderId="1" xfId="22" applyFont="true" applyBorder="true" applyAlignment="false" applyProtection="false">
      <alignment horizontal="general" vertical="bottom" textRotation="0" wrapText="false" indent="0" shrinkToFit="false"/>
      <protection locked="true" hidden="false"/>
    </xf>
    <xf numFmtId="169" fontId="7" fillId="0" borderId="0" xfId="24" applyFont="true" applyBorder="false" applyAlignment="false" applyProtection="false">
      <alignment horizontal="general" vertical="bottom" textRotation="0" wrapText="false" indent="0" shrinkToFit="false"/>
      <protection locked="true" hidden="false"/>
    </xf>
    <xf numFmtId="164" fontId="9" fillId="2" borderId="0" xfId="21" applyFont="true" applyBorder="false" applyAlignment="true" applyProtection="false">
      <alignment horizontal="center" vertical="bottom" textRotation="0" wrapText="false" indent="0" shrinkToFit="false"/>
      <protection locked="true" hidden="false"/>
    </xf>
    <xf numFmtId="169" fontId="10" fillId="2" borderId="0" xfId="23" applyFont="true" applyBorder="false" applyAlignment="true" applyProtection="false">
      <alignment horizontal="center" vertical="bottom" textRotation="0" wrapText="false" indent="0" shrinkToFit="false"/>
      <protection locked="true" hidden="false"/>
    </xf>
    <xf numFmtId="169" fontId="11" fillId="2" borderId="0" xfId="23" applyFont="true" applyBorder="false" applyAlignment="true" applyProtection="false">
      <alignment horizontal="center" vertical="bottom" textRotation="0" wrapText="false" indent="0" shrinkToFit="false"/>
      <protection locked="true" hidden="false"/>
    </xf>
    <xf numFmtId="170" fontId="7" fillId="0" borderId="0" xfId="21" applyFont="true" applyBorder="false" applyAlignment="false" applyProtection="false">
      <alignment horizontal="general" vertical="bottom" textRotation="0" wrapText="false" indent="0" shrinkToFit="false"/>
      <protection locked="true" hidden="false"/>
    </xf>
    <xf numFmtId="171" fontId="7" fillId="0" borderId="0" xfId="21" applyFont="true" applyBorder="false" applyAlignment="false" applyProtection="false">
      <alignment horizontal="general" vertical="bottom" textRotation="0" wrapText="false" indent="0" shrinkToFit="false"/>
      <protection locked="true" hidden="false"/>
    </xf>
    <xf numFmtId="172" fontId="7" fillId="0" borderId="0" xfId="21" applyFont="true" applyBorder="false" applyAlignment="false" applyProtection="false">
      <alignment horizontal="general" vertical="bottom" textRotation="0" wrapText="false" indent="0" shrinkToFit="false"/>
      <protection locked="true" hidden="false"/>
    </xf>
    <xf numFmtId="173" fontId="7" fillId="0" borderId="0" xfId="21" applyFont="true" applyBorder="false" applyAlignment="false" applyProtection="false">
      <alignment horizontal="general" vertical="bottom" textRotation="0" wrapText="false" indent="0" shrinkToFit="false"/>
      <protection locked="true" hidden="false"/>
    </xf>
    <xf numFmtId="164" fontId="9" fillId="4" borderId="0" xfId="21" applyFont="true" applyBorder="false" applyAlignment="true" applyProtection="false">
      <alignment horizontal="center" vertical="bottom" textRotation="0" wrapText="false" indent="0" shrinkToFit="false"/>
      <protection locked="true" hidden="false"/>
    </xf>
    <xf numFmtId="169" fontId="10" fillId="4" borderId="0" xfId="23" applyFont="true" applyBorder="false" applyAlignment="true" applyProtection="false">
      <alignment horizontal="center" vertical="bottom" textRotation="0" wrapText="false" indent="0" shrinkToFit="false"/>
      <protection locked="true" hidden="false"/>
    </xf>
    <xf numFmtId="169" fontId="11" fillId="4" borderId="0" xfId="23" applyFont="true" applyBorder="false" applyAlignment="true" applyProtection="false">
      <alignment horizontal="center" vertical="bottom" textRotation="0" wrapText="false" indent="0" shrinkToFit="false"/>
      <protection locked="true" hidden="false"/>
    </xf>
    <xf numFmtId="174" fontId="7" fillId="0" borderId="0" xfId="21" applyFont="true" applyBorder="false" applyAlignment="false" applyProtection="false">
      <alignment horizontal="general" vertical="bottom"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0" fillId="4" borderId="0" xfId="21" applyFont="true" applyBorder="false" applyAlignment="true" applyProtection="false">
      <alignment horizontal="left" vertical="bottom" textRotation="0" wrapText="false" indent="0" shrinkToFit="false"/>
      <protection locked="true" hidden="false"/>
    </xf>
    <xf numFmtId="169" fontId="10" fillId="0" borderId="0" xfId="23" applyFont="true" applyBorder="false" applyAlignment="true" applyProtection="false">
      <alignment horizontal="center" vertical="bottom" textRotation="0" wrapText="false" indent="0" shrinkToFit="false"/>
      <protection locked="true" hidden="false"/>
    </xf>
    <xf numFmtId="175" fontId="7" fillId="2" borderId="0" xfId="21" applyFont="true" applyBorder="false" applyAlignment="false" applyProtection="false">
      <alignment horizontal="general" vertical="bottom" textRotation="0" wrapText="false" indent="0" shrinkToFit="false"/>
      <protection locked="true" hidden="false"/>
    </xf>
    <xf numFmtId="172" fontId="7" fillId="2"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true" applyProtection="false">
      <alignment horizontal="right" vertical="bottom" textRotation="0" wrapText="false" indent="0" shrinkToFit="false"/>
      <protection locked="true" hidden="false"/>
    </xf>
    <xf numFmtId="170" fontId="7" fillId="5" borderId="0" xfId="21" applyFont="true" applyBorder="false" applyAlignment="false" applyProtection="false">
      <alignment horizontal="general" vertical="bottom" textRotation="0" wrapText="false" indent="0" shrinkToFit="false"/>
      <protection locked="true" hidden="false"/>
    </xf>
    <xf numFmtId="170" fontId="7" fillId="2" borderId="0" xfId="21" applyFont="true" applyBorder="false" applyAlignment="false" applyProtection="false">
      <alignment horizontal="general" vertical="bottom" textRotation="0" wrapText="false" indent="0" shrinkToFit="false"/>
      <protection locked="true" hidden="false"/>
    </xf>
    <xf numFmtId="171" fontId="7" fillId="2"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right"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true" applyProtection="false">
      <alignment horizontal="right" vertical="bottom" textRotation="0" wrapText="false" indent="0" shrinkToFit="false"/>
      <protection locked="true" hidden="false"/>
    </xf>
    <xf numFmtId="164" fontId="12" fillId="4" borderId="0" xfId="21" applyFont="true" applyBorder="false" applyAlignment="true" applyProtection="false">
      <alignment horizontal="center" vertical="bottom" textRotation="0" wrapText="false" indent="0" shrinkToFit="false"/>
      <protection locked="true" hidden="false"/>
    </xf>
    <xf numFmtId="164" fontId="13" fillId="2" borderId="0" xfId="21" applyFont="true" applyBorder="false" applyAlignment="true" applyProtection="false">
      <alignment horizontal="center" vertical="bottom" textRotation="0" wrapText="false" indent="0" shrinkToFit="false"/>
      <protection locked="true" hidden="false"/>
    </xf>
    <xf numFmtId="164" fontId="13" fillId="4" borderId="0" xfId="21" applyFont="true" applyBorder="false" applyAlignment="true" applyProtection="false">
      <alignment horizontal="center" vertical="bottom" textRotation="0" wrapText="false" indent="0" shrinkToFit="false"/>
      <protection locked="true" hidden="false"/>
    </xf>
    <xf numFmtId="164" fontId="9" fillId="0" borderId="0" xfId="21" applyFont="true" applyBorder="false" applyAlignment="true" applyProtection="false">
      <alignment horizontal="center" vertical="bottom" textRotation="0" wrapText="false" indent="0" shrinkToFit="false"/>
      <protection locked="true" hidden="false"/>
    </xf>
    <xf numFmtId="176"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21" applyFont="true" applyBorder="true" applyAlignment="true" applyProtection="false">
      <alignment horizontal="center" vertical="center" textRotation="0" wrapText="false" indent="0" shrinkToFit="false"/>
      <protection locked="true" hidden="false"/>
    </xf>
    <xf numFmtId="169" fontId="14" fillId="2" borderId="0" xfId="23" applyFont="true" applyBorder="false" applyAlignment="true" applyProtection="false">
      <alignment horizontal="center" vertical="bottom" textRotation="0" wrapText="false" indent="0" shrinkToFit="false"/>
      <protection locked="true" hidden="false"/>
    </xf>
    <xf numFmtId="169" fontId="14" fillId="4" borderId="0" xfId="23" applyFont="true" applyBorder="false" applyAlignment="true" applyProtection="false">
      <alignment horizontal="center" vertical="bottom" textRotation="0" wrapText="false" indent="0" shrinkToFit="false"/>
      <protection locked="true" hidden="false"/>
    </xf>
    <xf numFmtId="164" fontId="15" fillId="4" borderId="0" xfId="21" applyFont="true" applyBorder="false" applyAlignment="true" applyProtection="false">
      <alignment horizontal="left" vertical="bottom" textRotation="0" wrapText="false" indent="0" shrinkToFit="false"/>
      <protection locked="true" hidden="false"/>
    </xf>
    <xf numFmtId="177"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23" applyFont="true" applyBorder="false" applyAlignment="true" applyProtection="false">
      <alignment horizontal="center" vertical="bottom" textRotation="0" wrapText="false" indent="0" shrinkToFit="false"/>
      <protection locked="true" hidden="false"/>
    </xf>
    <xf numFmtId="178" fontId="7" fillId="0" borderId="0" xfId="25" applyFont="true" applyBorder="false" applyAlignment="false" applyProtection="false">
      <alignment horizontal="general" vertical="bottom" textRotation="0" wrapText="false" indent="0" shrinkToFit="false"/>
      <protection locked="true" hidden="false"/>
    </xf>
    <xf numFmtId="164" fontId="10" fillId="0" borderId="0" xfId="21" applyFont="true" applyBorder="false" applyAlignment="true" applyProtection="false">
      <alignment horizontal="left" vertical="bottom" textRotation="0" wrapText="false" indent="0" shrinkToFit="false"/>
      <protection locked="true" hidden="false"/>
    </xf>
    <xf numFmtId="164" fontId="16" fillId="3" borderId="0" xfId="21" applyFont="true" applyBorder="false" applyAlignment="true" applyProtection="false">
      <alignment horizontal="center" vertical="bottom" textRotation="0" wrapText="false" indent="0" shrinkToFit="false"/>
      <protection locked="true" hidden="false"/>
    </xf>
    <xf numFmtId="164" fontId="17" fillId="3" borderId="0" xfId="21" applyFont="true" applyBorder="false" applyAlignment="true" applyProtection="false">
      <alignment horizontal="center" vertical="bottom" textRotation="0" wrapText="false" indent="0" shrinkToFit="false"/>
      <protection locked="true" hidden="false"/>
    </xf>
    <xf numFmtId="164" fontId="18" fillId="4" borderId="0" xfId="21" applyFont="true" applyBorder="false" applyAlignment="true" applyProtection="false">
      <alignment horizontal="left" vertical="bottom" textRotation="0" wrapText="false" indent="0" shrinkToFit="false"/>
      <protection locked="true" hidden="false"/>
    </xf>
    <xf numFmtId="164" fontId="17" fillId="6" borderId="0" xfId="21" applyFont="true" applyBorder="false" applyAlignment="true" applyProtection="false">
      <alignment horizontal="center" vertical="bottom" textRotation="0" wrapText="false" indent="0" shrinkToFit="false"/>
      <protection locked="true" hidden="false"/>
    </xf>
    <xf numFmtId="169" fontId="19" fillId="6" borderId="0" xfId="23" applyFont="true" applyBorder="false" applyAlignment="true" applyProtection="false">
      <alignment horizontal="center" vertical="bottom" textRotation="0" wrapText="false" indent="0" shrinkToFit="false"/>
      <protection locked="true" hidden="false"/>
    </xf>
    <xf numFmtId="169" fontId="17" fillId="2" borderId="0" xfId="23" applyFont="true" applyBorder="false" applyAlignment="true" applyProtection="false">
      <alignment horizontal="center" vertical="bottom" textRotation="0" wrapText="false" indent="0" shrinkToFit="false"/>
      <protection locked="true" hidden="false"/>
    </xf>
    <xf numFmtId="164" fontId="17" fillId="2" borderId="0" xfId="21" applyFont="true" applyBorder="false" applyAlignment="true" applyProtection="false">
      <alignment horizontal="center" vertical="bottom" textRotation="0" wrapText="false" indent="0" shrinkToFit="false"/>
      <protection locked="true" hidden="false"/>
    </xf>
    <xf numFmtId="169" fontId="19" fillId="2" borderId="0" xfId="23" applyFont="true" applyBorder="false" applyAlignment="true" applyProtection="false">
      <alignment horizontal="center" vertical="bottom" textRotation="0" wrapText="false" indent="0" shrinkToFit="false"/>
      <protection locked="true" hidden="false"/>
    </xf>
    <xf numFmtId="164" fontId="16" fillId="6" borderId="0" xfId="21" applyFont="true" applyBorder="false" applyAlignment="true" applyProtection="false">
      <alignment horizontal="center" vertical="center" textRotation="0" wrapText="false" indent="0" shrinkToFit="false"/>
      <protection locked="true" hidden="false"/>
    </xf>
    <xf numFmtId="164" fontId="16" fillId="2" borderId="0" xfId="21" applyFont="true" applyBorder="false" applyAlignment="true" applyProtection="false">
      <alignment horizontal="center" vertical="center" textRotation="0" wrapText="false" indent="0" shrinkToFit="false"/>
      <protection locked="true" hidden="false"/>
    </xf>
    <xf numFmtId="169" fontId="7" fillId="0" borderId="0" xfId="21" applyFont="true" applyBorder="false" applyAlignment="false" applyProtection="false">
      <alignment horizontal="general" vertical="bottom" textRotation="0" wrapText="false" indent="0" shrinkToFit="false"/>
      <protection locked="true" hidden="false"/>
    </xf>
    <xf numFmtId="164" fontId="16" fillId="2" borderId="0" xfId="21"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73" fontId="7" fillId="5" borderId="0" xfId="21" applyFont="true" applyBorder="false" applyAlignment="false" applyProtection="false">
      <alignment horizontal="general" vertical="bottom" textRotation="0" wrapText="false" indent="0" shrinkToFit="false"/>
      <protection locked="true" hidden="false"/>
    </xf>
    <xf numFmtId="164" fontId="20" fillId="0" borderId="0" xfId="21" applyFont="true" applyBorder="false" applyAlignment="false" applyProtection="false">
      <alignment horizontal="general" vertical="bottom" textRotation="0" wrapText="false" indent="0" shrinkToFit="false"/>
      <protection locked="true" hidden="false"/>
    </xf>
    <xf numFmtId="165" fontId="7" fillId="0" borderId="0" xfId="25" applyFont="true" applyBorder="false" applyAlignment="false" applyProtection="false">
      <alignment horizontal="general" vertical="bottom" textRotation="0" wrapText="false" indent="0" shrinkToFit="false"/>
      <protection locked="true" hidden="false"/>
    </xf>
    <xf numFmtId="165" fontId="7" fillId="0" borderId="0" xfId="21" applyFont="true" applyBorder="false" applyAlignment="false" applyProtection="false">
      <alignment horizontal="general" vertical="bottom" textRotation="0" wrapText="false" indent="0" shrinkToFit="false"/>
      <protection locked="true" hidden="false"/>
    </xf>
    <xf numFmtId="169" fontId="21" fillId="0" borderId="0" xfId="23" applyFont="true" applyBorder="false" applyAlignment="false" applyProtection="false">
      <alignment horizontal="general" vertical="bottom" textRotation="0" wrapText="false" indent="0" shrinkToFit="false"/>
      <protection locked="true" hidden="false"/>
    </xf>
    <xf numFmtId="164" fontId="0" fillId="7" borderId="2"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70" fontId="23" fillId="0" borderId="0" xfId="0" applyFont="true" applyBorder="false" applyAlignment="false" applyProtection="false">
      <alignment horizontal="general"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64" fontId="24" fillId="8" borderId="3" xfId="0" applyFont="true" applyBorder="true" applyAlignment="true" applyProtection="false">
      <alignment horizontal="general" vertical="bottom" textRotation="0" wrapText="tru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24" fillId="8" borderId="3" xfId="0" applyFont="true" applyBorder="true" applyAlignment="false" applyProtection="false">
      <alignment horizontal="general" vertical="bottom" textRotation="0" wrapText="false" indent="0" shrinkToFit="false"/>
      <protection locked="true" hidden="false"/>
    </xf>
    <xf numFmtId="179" fontId="25" fillId="9" borderId="4"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9" fontId="5"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right" vertical="bottom" textRotation="0" wrapText="false" indent="0" shrinkToFit="false"/>
      <protection locked="true" hidden="false"/>
    </xf>
    <xf numFmtId="164" fontId="35" fillId="0" borderId="0" xfId="0" applyFont="true" applyBorder="false" applyAlignment="true" applyProtection="false">
      <alignment horizontal="right" vertical="bottom" textRotation="0" wrapText="true" indent="0" shrinkToFit="false"/>
      <protection locked="true" hidden="false"/>
    </xf>
    <xf numFmtId="164" fontId="36" fillId="0" borderId="0" xfId="0" applyFont="true" applyBorder="false" applyAlignment="true" applyProtection="false">
      <alignment horizontal="right" vertical="bottom" textRotation="0" wrapText="false" indent="0" shrinkToFit="false"/>
      <protection locked="true" hidden="false"/>
    </xf>
    <xf numFmtId="169" fontId="37" fillId="0" borderId="0" xfId="19"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center" vertical="bottom" textRotation="0" wrapText="false" indent="0" shrinkToFit="false"/>
      <protection locked="true" hidden="false"/>
    </xf>
    <xf numFmtId="164" fontId="41" fillId="10" borderId="0" xfId="0" applyFont="true" applyBorder="false" applyAlignment="false" applyProtection="false">
      <alignment horizontal="general" vertical="bottom" textRotation="0" wrapText="false" indent="0" shrinkToFit="false"/>
      <protection locked="true" hidden="false"/>
    </xf>
    <xf numFmtId="169" fontId="41" fillId="10"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8"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E2F0D9"/>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F2F2F2"/>
      <rgbColor rgb="FFDAF2D0"/>
      <rgbColor rgb="FFFFFF99"/>
      <rgbColor rgb="FFA9D18E"/>
      <rgbColor rgb="FF9F9F9F"/>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Continua</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7039422"/>
        <c:axId val="78685335"/>
      </c:lineChart>
      <c:dateAx>
        <c:axId val="7039422"/>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78685335"/>
        <c:crosses val="autoZero"/>
        <c:auto val="1"/>
        <c:lblOffset val="100"/>
        <c:baseTimeUnit val="months"/>
        <c:majorUnit val="6"/>
        <c:majorTimeUnit val="months"/>
        <c:minorUnit val="6"/>
        <c:minorTimeUnit val="months"/>
        <c:noMultiLvlLbl val="0"/>
      </c:dateAx>
      <c:valAx>
        <c:axId val="78685335"/>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7039422"/>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2000" spc="-1" strike="noStrike">
                <a:solidFill>
                  <a:srgbClr val="000000"/>
                </a:solidFill>
                <a:latin typeface="Be Vietnam Pro Medium"/>
              </a:defRPr>
            </a:pPr>
            <a:r>
              <a:rPr b="0" lang="en-US" sz="2000" spc="-1" strike="noStrike">
                <a:solidFill>
                  <a:srgbClr val="000000"/>
                </a:solidFill>
                <a:latin typeface="Be Vietnam Pro Medium"/>
              </a:rPr>
              <a:t>FIP Liquidez Continua</a:t>
            </a:r>
          </a:p>
        </c:rich>
      </c:tx>
      <c:overlay val="0"/>
      <c:spPr>
        <a:noFill/>
        <a:ln w="0">
          <a:noFill/>
        </a:ln>
      </c:spPr>
    </c:title>
    <c:autoTitleDeleted val="0"/>
    <c:plotArea>
      <c:lineChart>
        <c:grouping val="standard"/>
        <c:varyColors val="0"/>
        <c:ser>
          <c:idx val="0"/>
          <c:order val="0"/>
          <c:tx>
            <c:strRef>
              <c:f>"FIP Liquidez Continua"</c:f>
              <c:strCache>
                <c:ptCount val="1"/>
                <c:pt idx="0">
                  <c:v>FIP Liquidez Continua</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(2)'!$F$218:$F$244</c:f>
              <c:numCache>
                <c:formatCode>m/d/yyyy</c:formatCode>
                <c:ptCount val="27"/>
                <c:pt idx="0">
                  <c:v>9/30/2023</c:v>
                </c:pt>
                <c:pt idx="1">
                  <c:v>11/7/2023</c:v>
                </c:pt>
                <c:pt idx="2">
                  <c:v>11/30/2023</c:v>
                </c:pt>
                <c:pt idx="3">
                  <c:v>12/31/2023</c:v>
                </c:pt>
                <c:pt idx="4">
                  <c:v>1/31/2024</c:v>
                </c:pt>
                <c:pt idx="5">
                  <c:v>2/29/2024</c:v>
                </c:pt>
                <c:pt idx="6">
                  <c:v>3/28/2024</c:v>
                </c:pt>
                <c:pt idx="7">
                  <c:v>4/30/2024</c:v>
                </c:pt>
                <c:pt idx="8">
                  <c:v>5/31/2024</c:v>
                </c:pt>
                <c:pt idx="9">
                  <c:v>6/30/2024</c:v>
                </c:pt>
                <c:pt idx="10">
                  <c:v>7/31/2024</c:v>
                </c:pt>
                <c:pt idx="11">
                  <c:v>8/31/2024</c:v>
                </c:pt>
                <c:pt idx="12">
                  <c:v>9/30/2024</c:v>
                </c:pt>
                <c:pt idx="13">
                  <c:v>10/31/2024</c:v>
                </c:pt>
                <c:pt idx="14">
                  <c:v>11/30/2024</c:v>
                </c:pt>
                <c:pt idx="15">
                  <c:v>12/31/2024</c:v>
                </c:pt>
                <c:pt idx="16">
                  <c:v>1/31/2025</c:v>
                </c:pt>
                <c:pt idx="17">
                  <c:v>2/28/2025</c:v>
                </c:pt>
                <c:pt idx="18">
                  <c:v>3/31/2025</c:v>
                </c:pt>
                <c:pt idx="19">
                  <c:v>4/30/2025</c:v>
                </c:pt>
                <c:pt idx="20">
                  <c:v>5/31/2025</c:v>
                </c:pt>
                <c:pt idx="21">
                  <c:v>6/30/2025</c:v>
                </c:pt>
                <c:pt idx="22">
                  <c:v>7/31/2025</c:v>
                </c:pt>
                <c:pt idx="23">
                  <c:v>8/31/2025</c:v>
                </c:pt>
                <c:pt idx="24">
                  <c:v>9/30/2025</c:v>
                </c:pt>
                <c:pt idx="25">
                  <c:v>10/31/2025</c:v>
                </c:pt>
                <c:pt idx="26">
                  <c:v>11/30/2025</c:v>
                </c:pt>
              </c:numCache>
            </c:numRef>
          </c:cat>
          <c:val>
            <c:numRef>
              <c:f>'Datos ICP (2)'!$J$218:$J$244</c:f>
              <c:numCache>
                <c:formatCode>#,##0.00</c:formatCode>
                <c:ptCount val="27"/>
                <c:pt idx="1">
                  <c:v>100</c:v>
                </c:pt>
                <c:pt idx="2">
                  <c:v>100.7845</c:v>
                </c:pt>
                <c:pt idx="3">
                  <c:v>101.823399806565</c:v>
                </c:pt>
                <c:pt idx="4">
                  <c:v>102.618160582714</c:v>
                </c:pt>
                <c:pt idx="5">
                  <c:v>103.331291952182</c:v>
                </c:pt>
                <c:pt idx="6">
                  <c:v>104.069354082142</c:v>
                </c:pt>
                <c:pt idx="7">
                  <c:v>104.709274196932</c:v>
                </c:pt>
                <c:pt idx="8">
                  <c:v>105.351196342797</c:v>
                </c:pt>
                <c:pt idx="9">
                  <c:v>105.8968509655</c:v>
                </c:pt>
                <c:pt idx="10">
                  <c:v>106.393359195148</c:v>
                </c:pt>
                <c:pt idx="11">
                  <c:v>106.909589709106</c:v>
                </c:pt>
                <c:pt idx="12">
                  <c:v>107.445914414632</c:v>
                </c:pt>
                <c:pt idx="13">
                  <c:v>107.923069684341</c:v>
                </c:pt>
                <c:pt idx="14">
                  <c:v>108.476066158543</c:v>
                </c:pt>
                <c:pt idx="15">
                  <c:v>108.932108520999</c:v>
                </c:pt>
                <c:pt idx="16">
                  <c:v>109.343403388912</c:v>
                </c:pt>
                <c:pt idx="17">
                  <c:v>109.847809269958</c:v>
                </c:pt>
                <c:pt idx="18">
                  <c:v>110.371629823323</c:v>
                </c:pt>
                <c:pt idx="19">
                  <c:v>110.936367869945</c:v>
                </c:pt>
                <c:pt idx="20">
                  <c:v>111.560232605188</c:v>
                </c:pt>
                <c:pt idx="21">
                  <c:v>112.199770977651</c:v>
                </c:pt>
                <c:pt idx="22">
                  <c:v>112.792899309705</c:v>
                </c:pt>
                <c:pt idx="23">
                  <c:v>113.415483445626</c:v>
                </c:pt>
                <c:pt idx="24">
                  <c:v>114.07601240014</c:v>
                </c:pt>
                <c:pt idx="25">
                  <c:v>114.797645494151</c:v>
                </c:pt>
                <c:pt idx="26">
                  <c:v>115.496967263228</c:v>
                </c:pt>
              </c:numCache>
            </c:numRef>
          </c:val>
          <c:smooth val="0"/>
        </c:ser>
        <c:ser>
          <c:idx val="1"/>
          <c:order val="1"/>
          <c:tx>
            <c:strRef>
              <c:f>"Competencia Relevante"</c:f>
              <c:strCache>
                <c:ptCount val="1"/>
                <c:pt idx="0">
                  <c:v>Competencia Relevante</c:v>
                </c:pt>
              </c:strCache>
            </c:strRef>
          </c:tx>
          <c:spPr>
            <a:solidFill>
              <a:srgbClr val="a6a6a6"/>
            </a:solidFill>
            <a:ln cap="rnd" w="3816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(2)'!$F$218:$F$244</c:f>
              <c:numCache>
                <c:formatCode>m/d/yyyy</c:formatCode>
                <c:ptCount val="27"/>
                <c:pt idx="0">
                  <c:v>9/30/2023</c:v>
                </c:pt>
                <c:pt idx="1">
                  <c:v>11/7/2023</c:v>
                </c:pt>
                <c:pt idx="2">
                  <c:v>11/30/2023</c:v>
                </c:pt>
                <c:pt idx="3">
                  <c:v>12/31/2023</c:v>
                </c:pt>
                <c:pt idx="4">
                  <c:v>1/31/2024</c:v>
                </c:pt>
                <c:pt idx="5">
                  <c:v>2/29/2024</c:v>
                </c:pt>
                <c:pt idx="6">
                  <c:v>3/28/2024</c:v>
                </c:pt>
                <c:pt idx="7">
                  <c:v>4/30/2024</c:v>
                </c:pt>
                <c:pt idx="8">
                  <c:v>5/31/2024</c:v>
                </c:pt>
                <c:pt idx="9">
                  <c:v>6/30/2024</c:v>
                </c:pt>
                <c:pt idx="10">
                  <c:v>7/31/2024</c:v>
                </c:pt>
                <c:pt idx="11">
                  <c:v>8/31/2024</c:v>
                </c:pt>
                <c:pt idx="12">
                  <c:v>9/30/2024</c:v>
                </c:pt>
                <c:pt idx="13">
                  <c:v>10/31/2024</c:v>
                </c:pt>
                <c:pt idx="14">
                  <c:v>11/30/2024</c:v>
                </c:pt>
                <c:pt idx="15">
                  <c:v>12/31/2024</c:v>
                </c:pt>
                <c:pt idx="16">
                  <c:v>1/31/2025</c:v>
                </c:pt>
                <c:pt idx="17">
                  <c:v>2/28/2025</c:v>
                </c:pt>
                <c:pt idx="18">
                  <c:v>3/31/2025</c:v>
                </c:pt>
                <c:pt idx="19">
                  <c:v>4/30/2025</c:v>
                </c:pt>
                <c:pt idx="20">
                  <c:v>5/31/2025</c:v>
                </c:pt>
                <c:pt idx="21">
                  <c:v>6/30/2025</c:v>
                </c:pt>
                <c:pt idx="22">
                  <c:v>7/31/2025</c:v>
                </c:pt>
                <c:pt idx="23">
                  <c:v>8/31/2025</c:v>
                </c:pt>
                <c:pt idx="24">
                  <c:v>9/30/2025</c:v>
                </c:pt>
                <c:pt idx="25">
                  <c:v>10/31/2025</c:v>
                </c:pt>
                <c:pt idx="26">
                  <c:v>11/30/2025</c:v>
                </c:pt>
              </c:numCache>
            </c:numRef>
          </c:cat>
          <c:val>
            <c:numRef>
              <c:f>'Datos ICP (2)'!$M$218:$M$244</c:f>
              <c:numCache>
                <c:formatCode>0.00</c:formatCode>
                <c:ptCount val="27"/>
                <c:pt idx="0">
                  <c:v>100</c:v>
                </c:pt>
                <c:pt idx="1">
                  <c:v>100.527061961256</c:v>
                </c:pt>
                <c:pt idx="2">
                  <c:v>101.147270428655</c:v>
                </c:pt>
                <c:pt idx="3">
                  <c:v>101.744517509059</c:v>
                </c:pt>
                <c:pt idx="4">
                  <c:v>102.322682018194</c:v>
                </c:pt>
                <c:pt idx="5">
                  <c:v>102.860925164266</c:v>
                </c:pt>
                <c:pt idx="6">
                  <c:v>103.351367843084</c:v>
                </c:pt>
                <c:pt idx="7">
                  <c:v>103.794850820596</c:v>
                </c:pt>
                <c:pt idx="8">
                  <c:v>104.213491968577</c:v>
                </c:pt>
                <c:pt idx="9">
                  <c:v>104.593891340782</c:v>
                </c:pt>
                <c:pt idx="10">
                  <c:v>104.961737199958</c:v>
                </c:pt>
                <c:pt idx="11">
                  <c:v>105.330220894039</c:v>
                </c:pt>
                <c:pt idx="12">
                  <c:v>105.685757291792</c:v>
                </c:pt>
                <c:pt idx="13">
                  <c:v>106.034603441239</c:v>
                </c:pt>
                <c:pt idx="14">
                  <c:v>106.376074585403</c:v>
                </c:pt>
                <c:pt idx="15">
                  <c:v>106.708570771528</c:v>
                </c:pt>
                <c:pt idx="16">
                  <c:v>107.020456895569</c:v>
                </c:pt>
                <c:pt idx="17">
                  <c:v>107.337176795315</c:v>
                </c:pt>
                <c:pt idx="18">
                  <c:v>107.655326983979</c:v>
                </c:pt>
                <c:pt idx="19">
                  <c:v>107.975703820493</c:v>
                </c:pt>
                <c:pt idx="20">
                  <c:v>108.298561191174</c:v>
                </c:pt>
                <c:pt idx="21">
                  <c:v>108.623137660128</c:v>
                </c:pt>
                <c:pt idx="22">
                  <c:v>108.933296964203</c:v>
                </c:pt>
                <c:pt idx="23">
                  <c:v>109.24961208052</c:v>
                </c:pt>
                <c:pt idx="24">
                  <c:v>109.551317444286</c:v>
                </c:pt>
                <c:pt idx="25">
                  <c:v>109.855077950868</c:v>
                </c:pt>
                <c:pt idx="26">
                  <c:v>110.162124625408</c:v>
                </c:pt>
              </c:numCache>
            </c:numRef>
          </c:val>
          <c:smooth val="0"/>
        </c:ser>
        <c:ser>
          <c:idx val="2"/>
          <c:order val="2"/>
          <c:tx>
            <c:strRef>
              <c:f>"ICP Nom"</c:f>
              <c:strCache>
                <c:ptCount val="1"/>
                <c:pt idx="0">
                  <c:v>ICP Nom</c:v>
                </c:pt>
              </c:strCache>
            </c:strRef>
          </c:tx>
          <c:spPr>
            <a:solidFill>
              <a:srgbClr val="bfbfbf"/>
            </a:solidFill>
            <a:ln cap="rnd" w="3816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(2)'!$F$218:$F$244</c:f>
              <c:numCache>
                <c:formatCode>m/d/yyyy</c:formatCode>
                <c:ptCount val="27"/>
                <c:pt idx="0">
                  <c:v>9/30/2023</c:v>
                </c:pt>
                <c:pt idx="1">
                  <c:v>11/7/2023</c:v>
                </c:pt>
                <c:pt idx="2">
                  <c:v>11/30/2023</c:v>
                </c:pt>
                <c:pt idx="3">
                  <c:v>12/31/2023</c:v>
                </c:pt>
                <c:pt idx="4">
                  <c:v>1/31/2024</c:v>
                </c:pt>
                <c:pt idx="5">
                  <c:v>2/29/2024</c:v>
                </c:pt>
                <c:pt idx="6">
                  <c:v>3/28/2024</c:v>
                </c:pt>
                <c:pt idx="7">
                  <c:v>4/30/2024</c:v>
                </c:pt>
                <c:pt idx="8">
                  <c:v>5/31/2024</c:v>
                </c:pt>
                <c:pt idx="9">
                  <c:v>6/30/2024</c:v>
                </c:pt>
                <c:pt idx="10">
                  <c:v>7/31/2024</c:v>
                </c:pt>
                <c:pt idx="11">
                  <c:v>8/31/2024</c:v>
                </c:pt>
                <c:pt idx="12">
                  <c:v>9/30/2024</c:v>
                </c:pt>
                <c:pt idx="13">
                  <c:v>10/31/2024</c:v>
                </c:pt>
                <c:pt idx="14">
                  <c:v>11/30/2024</c:v>
                </c:pt>
                <c:pt idx="15">
                  <c:v>12/31/2024</c:v>
                </c:pt>
                <c:pt idx="16">
                  <c:v>1/31/2025</c:v>
                </c:pt>
                <c:pt idx="17">
                  <c:v>2/28/2025</c:v>
                </c:pt>
                <c:pt idx="18">
                  <c:v>3/31/2025</c:v>
                </c:pt>
                <c:pt idx="19">
                  <c:v>4/30/2025</c:v>
                </c:pt>
                <c:pt idx="20">
                  <c:v>5/31/2025</c:v>
                </c:pt>
                <c:pt idx="21">
                  <c:v>6/30/2025</c:v>
                </c:pt>
                <c:pt idx="22">
                  <c:v>7/31/2025</c:v>
                </c:pt>
                <c:pt idx="23">
                  <c:v>8/31/2025</c:v>
                </c:pt>
                <c:pt idx="24">
                  <c:v>9/30/2025</c:v>
                </c:pt>
                <c:pt idx="25">
                  <c:v>10/31/2025</c:v>
                </c:pt>
                <c:pt idx="26">
                  <c:v>11/30/2025</c:v>
                </c:pt>
              </c:numCache>
            </c:numRef>
          </c:cat>
          <c:val>
            <c:numRef>
              <c:f>'Datos ICP (2)'!$D$218:$D$244</c:f>
              <c:numCache>
                <c:formatCode>0.00</c:formatCode>
                <c:ptCount val="27"/>
                <c:pt idx="0">
                  <c:v>100</c:v>
                </c:pt>
                <c:pt idx="1">
                  <c:v>100.818724532663</c:v>
                </c:pt>
                <c:pt idx="2">
                  <c:v>101.577548187511</c:v>
                </c:pt>
                <c:pt idx="3">
                  <c:v>102.273709908929</c:v>
                </c:pt>
                <c:pt idx="4">
                  <c:v>103.001888033321</c:v>
                </c:pt>
                <c:pt idx="5">
                  <c:v>103.653158932646</c:v>
                </c:pt>
                <c:pt idx="6">
                  <c:v>104.280336623467</c:v>
                </c:pt>
                <c:pt idx="7">
                  <c:v>104.85793440757</c:v>
                </c:pt>
                <c:pt idx="8">
                  <c:v>105.41748198066</c:v>
                </c:pt>
                <c:pt idx="9">
                  <c:v>105.903830705899</c:v>
                </c:pt>
                <c:pt idx="10">
                  <c:v>106.445410975407</c:v>
                </c:pt>
                <c:pt idx="11">
                  <c:v>106.940109365365</c:v>
                </c:pt>
                <c:pt idx="12">
                  <c:v>107.451394679645</c:v>
                </c:pt>
                <c:pt idx="13">
                  <c:v>107.920413832008</c:v>
                </c:pt>
                <c:pt idx="14">
                  <c:v>108.393572059477</c:v>
                </c:pt>
                <c:pt idx="15">
                  <c:v>108.859971855665</c:v>
                </c:pt>
                <c:pt idx="16">
                  <c:v>109.329238768648</c:v>
                </c:pt>
                <c:pt idx="17">
                  <c:v>109.785641061585</c:v>
                </c:pt>
                <c:pt idx="18">
                  <c:v>110.243957378385</c:v>
                </c:pt>
                <c:pt idx="19">
                  <c:v>110.704304883999</c:v>
                </c:pt>
                <c:pt idx="20">
                  <c:v>111.151503167103</c:v>
                </c:pt>
                <c:pt idx="21">
                  <c:v>111.631073678691</c:v>
                </c:pt>
                <c:pt idx="22">
                  <c:v>112.096279478611</c:v>
                </c:pt>
                <c:pt idx="23">
                  <c:v>112.512114153679</c:v>
                </c:pt>
                <c:pt idx="24">
                  <c:v>112.988045883136</c:v>
                </c:pt>
                <c:pt idx="25">
                  <c:v>113.421722091055</c:v>
                </c:pt>
                <c:pt idx="26">
                  <c:v>113.856403996233</c:v>
                </c:pt>
              </c:numCache>
            </c:numRef>
          </c:val>
          <c:smooth val="0"/>
        </c:ser>
        <c:hiLowLines>
          <c:spPr>
            <a:ln w="0">
              <a:noFill/>
            </a:ln>
          </c:spPr>
        </c:hiLowLines>
        <c:marker val="1"/>
        <c:axId val="57654928"/>
        <c:axId val="93963044"/>
      </c:lineChart>
      <c:dateAx>
        <c:axId val="57654928"/>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93963044"/>
        <c:auto val="1"/>
        <c:lblOffset val="100"/>
        <c:baseTimeUnit val="days"/>
        <c:noMultiLvlLbl val="0"/>
      </c:dateAx>
      <c:valAx>
        <c:axId val="93963044"/>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200" spc="-1" strike="noStrike">
                <a:solidFill>
                  <a:srgbClr val="000000"/>
                </a:solidFill>
                <a:latin typeface="Be Vietnam Pro Light"/>
              </a:defRPr>
            </a:pPr>
          </a:p>
        </c:txPr>
        <c:crossAx val="57654928"/>
        <c:crosses val="autoZero"/>
        <c:crossBetween val="between"/>
        <c:majorUnit val="5"/>
        <c:minorUnit val="5"/>
      </c:valAx>
      <c:spPr>
        <a:noFill/>
        <a:ln w="0">
          <a:noFill/>
        </a:ln>
      </c:spPr>
    </c:plotArea>
    <c:legend>
      <c:legendPos val="b"/>
      <c:overlay val="0"/>
      <c:spPr>
        <a:noFill/>
        <a:ln w="0">
          <a:noFill/>
        </a:ln>
      </c:spPr>
      <c:txPr>
        <a:bodyPr/>
        <a:lstStyle/>
        <a:p>
          <a:pPr>
            <a:defRPr b="0" sz="1800" spc="-1" strike="noStrike">
              <a:solidFill>
                <a:srgbClr val="000000"/>
              </a:solidFill>
              <a:latin typeface="Be Vietnam Pro Light"/>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0.0072</c:v>
                </c:pt>
                <c:pt idx="1">
                  <c:v>0.9718</c:v>
                </c:pt>
                <c:pt idx="2">
                  <c:v>0.021</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c:v>
                </c:pt>
                <c:pt idx="3">
                  <c:v>0.214</c:v>
                </c:pt>
                <c:pt idx="4">
                  <c:v>0</c:v>
                </c:pt>
                <c:pt idx="5">
                  <c:v>0.786</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791772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1039680</xdr:colOff>
      <xdr:row>266</xdr:row>
      <xdr:rowOff>5400</xdr:rowOff>
    </xdr:from>
    <xdr:to>
      <xdr:col>11</xdr:col>
      <xdr:colOff>505800</xdr:colOff>
      <xdr:row>294</xdr:row>
      <xdr:rowOff>127440</xdr:rowOff>
    </xdr:to>
    <xdr:graphicFrame>
      <xdr:nvGraphicFramePr>
        <xdr:cNvPr id="1" name="Chart 2"/>
        <xdr:cNvGraphicFramePr/>
      </xdr:nvGraphicFramePr>
      <xdr:xfrm>
        <a:off x="2328840" y="50763960"/>
        <a:ext cx="9405000" cy="54561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71"/>
  </cols>
  <sheetData>
    <row r="2" customFormat="false" ht="191.25"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J1" colorId="64" zoomScale="132" zoomScaleNormal="132"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4" min="34" style="3" width="7.86"/>
    <col collapsed="false" customWidth="true" hidden="false" outlineLevel="0" max="35" min="35" style="3" width="7.29"/>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39" min="39" style="3" width="7.57"/>
    <col collapsed="false" customWidth="true" hidden="false" outlineLevel="0" max="40" min="40" style="3" width="7.29"/>
    <col collapsed="false" customWidth="true" hidden="false" outlineLevel="0" max="41" min="41" style="3" width="7.15"/>
    <col collapsed="false" customWidth="true" hidden="false" outlineLevel="0" max="42" min="42" style="3" width="7.71"/>
    <col collapsed="false" customWidth="true" hidden="false" outlineLevel="0" max="43" min="43" style="3" width="8.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t="n">
        <f aca="false">+C186</f>
        <v>0.000163145891210714</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+(AA18/Q18-1)/COUNTA(AF17:AP17)*12</f>
        <v>0.0118838004144361</v>
      </c>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P18" s="20" t="n">
        <f aca="false">+B186</f>
        <v>18982.04</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19259.35</v>
      </c>
      <c r="Q19" s="19" t="n">
        <f aca="false">+B199</f>
        <v>19341.9</v>
      </c>
      <c r="R19" s="3"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+(AA20/P20-1)/COUNTA(AE19:AP19)*12</f>
        <v>0.100882275530511</v>
      </c>
      <c r="AR19" s="26"/>
      <c r="AS19" s="9"/>
      <c r="AV19" s="30" t="s">
        <v>25</v>
      </c>
      <c r="AW19" s="31" t="n">
        <v>46142</v>
      </c>
      <c r="AX19" s="32" t="n">
        <f aca="false">EOMONTH($AW19,AX18)+6+1</f>
        <v>46119</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1188.5089</v>
      </c>
      <c r="AX22" s="33" t="n">
        <f aca="false">LOOKUP(AX19,$F$2:$F$2972,$H$2:$H$2972)</f>
        <v>1181.8809</v>
      </c>
      <c r="AY22" s="33" t="n">
        <f aca="false">LOOKUP(AY19,$F$2:$F$2972,$H$2:$H$2972)</f>
        <v>1168.3414</v>
      </c>
      <c r="AZ22" s="33" t="n">
        <f aca="false">LOOKUP(AZ19,$F$2:$F$2972,$H$2:$H$2972)</f>
        <v>1148.2362</v>
      </c>
      <c r="BA22" s="33" t="n">
        <f aca="false">LOOKUP(BA19,$F$2:$F$2972,$H$2:$H$2972)</f>
        <v>1108.7782</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0.0056080100795266</v>
      </c>
      <c r="AY31" s="43" t="n">
        <f aca="false">$AW22/AY22-1</f>
        <v>0.0172616497198508</v>
      </c>
      <c r="AZ31" s="43" t="n">
        <f aca="false">$AW22/AZ22-1</f>
        <v>0.0350735327801022</v>
      </c>
      <c r="BA31" s="43" t="n">
        <f aca="false">$AW22/BA22-1</f>
        <v>0.0719086107573184</v>
      </c>
      <c r="BB31" s="43" t="n">
        <f aca="false">+AQ88</f>
        <v>0.0517849491595523</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t="n">
        <f aca="false">+G190</f>
        <v>0</v>
      </c>
      <c r="U32" s="20" t="n">
        <f aca="false">+G191</f>
        <v>0</v>
      </c>
      <c r="V32" s="20" t="n">
        <f aca="false">+G192</f>
        <v>0</v>
      </c>
      <c r="W32" s="20" t="n">
        <f aca="false">+G193</f>
        <v>0</v>
      </c>
      <c r="X32" s="20" t="n">
        <f aca="false">+G194</f>
        <v>0</v>
      </c>
      <c r="Y32" s="20" t="n">
        <f aca="false">+G195</f>
        <v>0</v>
      </c>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t="n">
        <f aca="false">+G202+S156</f>
        <v>0</v>
      </c>
      <c r="U33" s="20" t="n">
        <f aca="false">+G203+S156</f>
        <v>0</v>
      </c>
      <c r="V33" s="20" t="n">
        <f aca="false">+G204+S156</f>
        <v>0</v>
      </c>
      <c r="W33" s="20" t="n">
        <f aca="false">+G205+S156</f>
        <v>0</v>
      </c>
      <c r="X33" s="20" t="n">
        <f aca="false">+G206+S156</f>
        <v>0</v>
      </c>
      <c r="Y33" s="20" t="n">
        <f aca="false">+G207+S156</f>
        <v>0</v>
      </c>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t="n">
        <f aca="false">+H217</f>
        <v>0</v>
      </c>
      <c r="X34" s="20" t="n">
        <f aca="false">+H218</f>
        <v>0</v>
      </c>
      <c r="Y34" s="20" t="n">
        <f aca="false">+H219</f>
        <v>1000</v>
      </c>
      <c r="Z34" s="20" t="n">
        <f aca="false">+H220</f>
        <v>1006.0145</v>
      </c>
      <c r="AA34" s="20" t="n">
        <f aca="false">+H221</f>
        <v>1016.7303</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+H222</f>
        <v>1024.9307</v>
      </c>
      <c r="Q35" s="20" t="n">
        <f aca="false">+H223</f>
        <v>1031.8159</v>
      </c>
      <c r="R35" s="20" t="n">
        <f aca="false">+H224</f>
        <v>1038.6945</v>
      </c>
      <c r="S35" s="20" t="n">
        <f aca="false">+H225</f>
        <v>1045.7201</v>
      </c>
      <c r="T35" s="20" t="n">
        <f aca="false">+H226</f>
        <v>1052.3446</v>
      </c>
      <c r="U35" s="20" t="n">
        <f aca="false">+H227</f>
        <v>1057.7951</v>
      </c>
      <c r="V35" s="20" t="n">
        <f aca="false">+H228</f>
        <v>1062.92</v>
      </c>
      <c r="W35" s="20" t="n">
        <f aca="false">+H229</f>
        <v>1068.2493</v>
      </c>
      <c r="X35" s="20" t="n">
        <f aca="false">+H230</f>
        <v>1073.6083</v>
      </c>
      <c r="Y35" s="20" t="n">
        <f aca="false">+H231</f>
        <v>1078.535</v>
      </c>
      <c r="Z35" s="20" t="n">
        <f aca="false">+H232</f>
        <v>1084.0614</v>
      </c>
      <c r="AA35" s="20" t="n">
        <f aca="false">+H233</f>
        <v>1088.7708</v>
      </c>
      <c r="AD35" s="21" t="n">
        <v>2023</v>
      </c>
      <c r="AE35" s="22"/>
      <c r="AF35" s="22"/>
      <c r="AG35" s="22"/>
      <c r="AH35" s="22"/>
      <c r="AI35" s="22"/>
      <c r="AJ35" s="22"/>
      <c r="AK35" s="22"/>
      <c r="AL35" s="22"/>
      <c r="AM35" s="22"/>
      <c r="AN35" s="22"/>
      <c r="AO35" s="22" t="n">
        <f aca="false">+(Z34/Y34-1)</f>
        <v>0.00601450000000003</v>
      </c>
      <c r="AP35" s="22" t="n">
        <f aca="false">+(AA34/Z34-1)</f>
        <v>0.0106517351390065</v>
      </c>
      <c r="AQ35" s="23" t="n">
        <f aca="false">+(AA34/Y34-1)/COUNTA(AE35:AP35)*12</f>
        <v>0.100381800000001</v>
      </c>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f>
        <v>1093.0187</v>
      </c>
      <c r="Q36" s="20" t="n">
        <f aca="false">+H235</f>
        <v>1097.7247</v>
      </c>
      <c r="R36" s="20" t="n">
        <f aca="false">+H236</f>
        <v>1103.1338</v>
      </c>
      <c r="S36" s="20" t="n">
        <f aca="false">+H237</f>
        <v>1108.7782</v>
      </c>
      <c r="T36" s="20" t="n">
        <f aca="false">+H238</f>
        <v>1115.2214</v>
      </c>
      <c r="U36" s="20" t="n">
        <f aca="false">+H239</f>
        <v>1121.6146</v>
      </c>
      <c r="V36" s="20" t="n">
        <f aca="false">+H240</f>
        <v>1127.7415</v>
      </c>
      <c r="W36" s="20" t="n">
        <f aca="false">+H241</f>
        <v>1134.1738</v>
      </c>
      <c r="X36" s="20" t="n">
        <f aca="false">+H242</f>
        <v>1140.7792</v>
      </c>
      <c r="Y36" s="20" t="n">
        <f aca="false">+H243</f>
        <v>1148.2362</v>
      </c>
      <c r="Z36" s="20" t="n">
        <f aca="false">+H244</f>
        <v>1155.231</v>
      </c>
      <c r="AA36" s="20" t="n">
        <f aca="false">+H245</f>
        <v>1161.8528</v>
      </c>
      <c r="AD36" s="21" t="n">
        <v>2024</v>
      </c>
      <c r="AE36" s="22" t="n">
        <f aca="false">+(P35/AA34-1)</f>
        <v>0.00806546239450112</v>
      </c>
      <c r="AF36" s="22" t="n">
        <f aca="false">+(Q35/P35-1)</f>
        <v>0.00671772247626135</v>
      </c>
      <c r="AG36" s="22" t="n">
        <f aca="false">+(R35/Q35-1)</f>
        <v>0.00666649932415275</v>
      </c>
      <c r="AH36" s="22" t="n">
        <f aca="false">+(S35/R35-1)</f>
        <v>0.00676387522991595</v>
      </c>
      <c r="AI36" s="22" t="n">
        <f aca="false">+(T35/S35-1)</f>
        <v>0.00633486914901971</v>
      </c>
      <c r="AJ36" s="22" t="n">
        <f aca="false">+(U35/T35-1)</f>
        <v>0.00517938705629328</v>
      </c>
      <c r="AK36" s="22" t="n">
        <f aca="false">+(V35/U35-1)</f>
        <v>0.00484488914724612</v>
      </c>
      <c r="AL36" s="22" t="n">
        <f aca="false">+(W35/V35-1)</f>
        <v>0.00501382982726817</v>
      </c>
      <c r="AM36" s="22" t="n">
        <f aca="false">+(X35/W35-1)</f>
        <v>0.00501661924796037</v>
      </c>
      <c r="AN36" s="22" t="n">
        <f aca="false">+(Y35/X35-1)</f>
        <v>0.00458891757822655</v>
      </c>
      <c r="AO36" s="22" t="n">
        <f aca="false">+(Z35/Y35-1)</f>
        <v>0.00512398763137023</v>
      </c>
      <c r="AP36" s="22" t="n">
        <f aca="false">+(AA35/Z35-1)</f>
        <v>0.00434421887911518</v>
      </c>
      <c r="AQ36" s="23" t="n">
        <f aca="false">+(AA35/AA34-1)/COUNTA(AE36:AP36)*12</f>
        <v>0.0708550733660638</v>
      </c>
      <c r="AR36" s="9"/>
      <c r="AS36" s="9"/>
    </row>
    <row r="37" customFormat="false" ht="15" hidden="false" customHeight="false" outlineLevel="0" collapsed="false">
      <c r="A37" s="17"/>
      <c r="B37" s="20"/>
      <c r="C37" s="25"/>
      <c r="D37" s="19"/>
      <c r="E37" s="19"/>
      <c r="F37" s="19"/>
      <c r="O37" s="3" t="n">
        <v>2026</v>
      </c>
      <c r="P37" s="20" t="n">
        <f aca="false">+H246</f>
        <v>1168.3414</v>
      </c>
      <c r="Q37" s="20" t="n">
        <f aca="false">+H247</f>
        <v>1174.8528</v>
      </c>
      <c r="R37" s="20" t="n">
        <f aca="false">+H248</f>
        <v>1181.8809</v>
      </c>
      <c r="S37" s="20" t="n">
        <f aca="false">+H249</f>
        <v>1188.5089</v>
      </c>
      <c r="T37" s="20"/>
      <c r="U37" s="20"/>
      <c r="V37" s="20"/>
      <c r="W37" s="20"/>
      <c r="X37" s="20"/>
      <c r="Y37" s="20"/>
      <c r="Z37" s="20"/>
      <c r="AA37" s="20"/>
      <c r="AD37" s="21" t="n">
        <v>2025</v>
      </c>
      <c r="AE37" s="22" t="n">
        <f aca="false">+(P36/AA35-1)</f>
        <v>0.00390155577280371</v>
      </c>
      <c r="AF37" s="22" t="n">
        <f aca="false">+(Q36/P36-1)</f>
        <v>0.00430550730742296</v>
      </c>
      <c r="AG37" s="22" t="n">
        <f aca="false">+(R36/Q36-1)</f>
        <v>0.00492755606209827</v>
      </c>
      <c r="AH37" s="22" t="n">
        <f aca="false">+(S36/R36-1)</f>
        <v>0.00511669572630247</v>
      </c>
      <c r="AI37" s="22" t="n">
        <f aca="false">+(T36/S36-1)</f>
        <v>0.00581108106201933</v>
      </c>
      <c r="AJ37" s="22" t="n">
        <f aca="false">+(U36/T36-1)</f>
        <v>0.00573267335078054</v>
      </c>
      <c r="AK37" s="22" t="n">
        <f aca="false">+(V36/U36-1)</f>
        <v>0.00546257154641183</v>
      </c>
      <c r="AL37" s="22" t="n">
        <f aca="false">+(W36/V36-1)</f>
        <v>0.00570370071510173</v>
      </c>
      <c r="AM37" s="22" t="n">
        <f aca="false">+(X36/W36-1)</f>
        <v>0.0058239751262108</v>
      </c>
      <c r="AN37" s="22" t="n">
        <f aca="false">+(Y36/X36-1)</f>
        <v>0.00653676013728166</v>
      </c>
      <c r="AO37" s="22" t="n">
        <f aca="false">+(Z36/Y36-1)</f>
        <v>0.00609177798087179</v>
      </c>
      <c r="AP37" s="22" t="n">
        <f aca="false">+(AA36/Z36-1)</f>
        <v>0.005732013770406</v>
      </c>
      <c r="AQ37" s="23" t="n">
        <f aca="false">+(AA36/P36-1)/COUNTA(AE37:AP37)*12</f>
        <v>0.0629761412133203</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0.0055847005748062</v>
      </c>
      <c r="AF38" s="22" t="n">
        <f aca="false">+(Q37/P37-1)</f>
        <v>0.00557319975137394</v>
      </c>
      <c r="AG38" s="22" t="n">
        <f aca="false">+(R37/Q37-1)</f>
        <v>0.0059821111206444</v>
      </c>
      <c r="AH38" s="22" t="n">
        <f aca="false">+(S37/R37-1)</f>
        <v>0.0056080100795266</v>
      </c>
      <c r="AQ38" s="23" t="n">
        <f aca="false">+(S37/P37-1)/COUNTA(AE38:AP38)*12</f>
        <v>0.0517849491595523</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P46" s="3" t="n">
        <f aca="false">+K186</f>
        <v>4907.6377</v>
      </c>
      <c r="Q46" s="3" t="n">
        <f aca="false">+K187</f>
        <v>4907.9052</v>
      </c>
      <c r="R46" s="3" t="n">
        <f aca="false">+K188</f>
        <v>4908.1704</v>
      </c>
      <c r="S46" s="3" t="n">
        <f aca="false">+K189</f>
        <v>4908.4956</v>
      </c>
      <c r="T46" s="3" t="n">
        <f aca="false">+K190</f>
        <v>4908.7905</v>
      </c>
      <c r="U46" s="3" t="n">
        <f aca="false">+K191</f>
        <v>4909.0847</v>
      </c>
      <c r="V46" s="3" t="n">
        <f aca="false">+K192</f>
        <v>4909.3885</v>
      </c>
      <c r="W46" s="3" t="n">
        <f aca="false">+K193</f>
        <v>4909.6931</v>
      </c>
      <c r="X46" s="18" t="n">
        <f aca="false">+K194</f>
        <v>4909.1149</v>
      </c>
      <c r="Y46" s="3" t="n">
        <f aca="false">+K195</f>
        <v>4914.1336</v>
      </c>
      <c r="Z46" s="18" t="n">
        <f aca="false">+K196</f>
        <v>4920.3216</v>
      </c>
      <c r="AA46" s="3" t="n">
        <f aca="false">+K197</f>
        <v>4929.2918</v>
      </c>
      <c r="AD46" s="21" t="n">
        <v>2021</v>
      </c>
      <c r="AE46" s="22"/>
      <c r="AF46" s="22" t="n">
        <f aca="false">+L187</f>
        <v>6.66195152189254E-005</v>
      </c>
      <c r="AG46" s="22" t="n">
        <f aca="false">+(R46/Q46-1)</f>
        <v>5.40352735418637E-005</v>
      </c>
      <c r="AH46" s="22" t="n">
        <f aca="false">+(S46/R46-1)</f>
        <v>6.6256868343384E-005</v>
      </c>
      <c r="AI46" s="22" t="n">
        <f aca="false">+(T46/S46-1)</f>
        <v>6.00795078637972E-005</v>
      </c>
      <c r="AJ46" s="22" t="n">
        <f aca="false">+(U46/T46-1)</f>
        <v>5.99332972144318E-005</v>
      </c>
      <c r="AK46" s="22" t="n">
        <f aca="false">+(V46/U46-1)</f>
        <v>6.18852634586276E-005</v>
      </c>
      <c r="AL46" s="22" t="n">
        <f aca="false">+(W46/V46-1)</f>
        <v>6.20443869945309E-005</v>
      </c>
      <c r="AM46" s="22" t="n">
        <f aca="false">+(X46/W46-1)</f>
        <v>-0.000117767035173966</v>
      </c>
      <c r="AN46" s="22" t="n">
        <f aca="false">+(Y46/X46-1)</f>
        <v>0.0010223227816486</v>
      </c>
      <c r="AO46" s="22" t="n">
        <f aca="false">+(Z46/Y46-1)</f>
        <v>0.00125922502391873</v>
      </c>
      <c r="AP46" s="22" t="n">
        <f aca="false">+(AA46/Z46-1)</f>
        <v>0.0018230922141349</v>
      </c>
      <c r="AQ46" s="23" t="n">
        <f aca="false">+(AA46/Q46-1)/COUNTA(AF46:AP46)*12</f>
        <v>0.00475372596105483</v>
      </c>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4941.9683</v>
      </c>
      <c r="Q47" s="3" t="n">
        <f aca="false">+K199</f>
        <v>4958.2785</v>
      </c>
      <c r="R47" s="3" t="n">
        <f aca="false">+K200</f>
        <v>4977.0833</v>
      </c>
      <c r="S47" s="3" t="n">
        <f aca="false">+K201</f>
        <v>4999.8366</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3" t="n">
        <f aca="false">+K209</f>
        <v>5287.7323</v>
      </c>
      <c r="AD47" s="21" t="n">
        <v>2022</v>
      </c>
      <c r="AE47" s="22" t="n">
        <f aca="false">+(P47/AA46-1)</f>
        <v>0.00257166759736172</v>
      </c>
      <c r="AF47" s="22" t="n">
        <f aca="false">+(Q47/P47-1)</f>
        <v>0.00330034492532061</v>
      </c>
      <c r="AG47" s="22" t="n">
        <f aca="false">+(R47/Q47-1)</f>
        <v>0.00379260664764991</v>
      </c>
      <c r="AH47" s="22" t="n">
        <f aca="false">+(S47/R47-1)</f>
        <v>0.00457161325790945</v>
      </c>
      <c r="AI47" s="22" t="n">
        <f aca="false">+(T47/S47-1)</f>
        <v>0.00551056008510376</v>
      </c>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+(AA47/AA46-1)/COUNTA(AE47:AP47)*12</f>
        <v>0.0727164295690508</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18" t="n">
        <f aca="false">+K217</f>
        <v>5636.4775</v>
      </c>
      <c r="X48" s="18" t="n">
        <f aca="false">+K218</f>
        <v>5674.7198</v>
      </c>
      <c r="Y48" s="3" t="n">
        <f aca="false">+K219</f>
        <v>5712.6049</v>
      </c>
      <c r="Z48" s="18"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0.00678478712990516</v>
      </c>
      <c r="AN48" s="22" t="n">
        <f aca="false">+(Y48/X48-1)</f>
        <v>0.00667611817591429</v>
      </c>
      <c r="AO48" s="22" t="n">
        <f aca="false">+(Z48/Y48-1)</f>
        <v>0.00616956723192952</v>
      </c>
      <c r="AP48" s="22" t="n">
        <f aca="false">+(AA48/Z48-1)</f>
        <v>0.00610155186395645</v>
      </c>
      <c r="AQ48" s="23" t="n">
        <f aca="false">+(AA48/P48-1)/COUNTA(AE48:AP48)*12</f>
        <v>0.0844938543904241</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18" t="n">
        <f aca="false">+K222</f>
        <v>5816.8769</v>
      </c>
      <c r="Q49" s="3" t="n">
        <f aca="false">+K223</f>
        <v>5846.4552</v>
      </c>
      <c r="R49" s="3" t="n">
        <f aca="false">+K224</f>
        <v>5872.4728</v>
      </c>
      <c r="S49" s="3" t="n">
        <f aca="false">+K225</f>
        <v>5900.1916</v>
      </c>
      <c r="T49" s="3" t="n">
        <f aca="false">+K226</f>
        <v>5924.7824</v>
      </c>
      <c r="U49" s="3"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t="n">
        <f aca="false">+(P49/AA48-1)</f>
        <v>0.00587192975175177</v>
      </c>
      <c r="AF49" s="22" t="n">
        <f aca="false">+(Q49/P49-1)</f>
        <v>0.00508491077058904</v>
      </c>
      <c r="AG49" s="22" t="n">
        <f aca="false">+(R49/Q49-1)</f>
        <v>0.0044501495538698</v>
      </c>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+(AA49/AA48-1)/COUNTA(AE49:AP49)*12</f>
        <v>0.0495295629197707</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3"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3"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3"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3"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3"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3"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3" t="s">
        <v>3</v>
      </c>
      <c r="AE77" s="60"/>
      <c r="AF77" s="60"/>
      <c r="AG77" s="60"/>
      <c r="AH77" s="60"/>
      <c r="AI77" s="60"/>
      <c r="AJ77" s="60"/>
      <c r="AK77" s="60"/>
      <c r="AL77" s="60"/>
      <c r="AM77" s="60"/>
      <c r="AN77" s="60"/>
      <c r="AO77" s="60" t="n">
        <f aca="false">+AO19</f>
        <v>0.00752661431064561</v>
      </c>
      <c r="AP77" s="60" t="n">
        <f aca="false">+AP19</f>
        <v>0.00708194994827327</v>
      </c>
      <c r="AQ77" s="60" t="n">
        <f aca="false">+AQ19</f>
        <v>0.100882275530511</v>
      </c>
    </row>
    <row r="78" s="4" customFormat="true" ht="15" hidden="false" customHeight="false" outlineLevel="0" collapsed="false">
      <c r="A78" s="17" t="n">
        <v>40939</v>
      </c>
      <c r="B78" s="20" t="n">
        <v>14236.38</v>
      </c>
      <c r="C78" s="25" t="n">
        <f aca="false">(B78/B77-1)/(A78-A77)*30</f>
        <v>0.00421697490162375</v>
      </c>
      <c r="D78" s="19"/>
      <c r="E78" s="19"/>
      <c r="F78" s="19"/>
      <c r="I78" s="5"/>
      <c r="AC78" s="61"/>
      <c r="AD78" s="53" t="s">
        <v>26</v>
      </c>
      <c r="AE78" s="60"/>
      <c r="AF78" s="60"/>
      <c r="AG78" s="60"/>
      <c r="AH78" s="60"/>
      <c r="AI78" s="60"/>
      <c r="AJ78" s="60"/>
      <c r="AK78" s="60"/>
      <c r="AL78" s="60"/>
      <c r="AM78" s="60"/>
      <c r="AN78" s="60"/>
      <c r="AO78" s="60" t="n">
        <f aca="false">+AO48</f>
        <v>0.00616956723192952</v>
      </c>
      <c r="AP78" s="60" t="n">
        <f aca="false">+AP48</f>
        <v>0.00610155186395645</v>
      </c>
      <c r="AQ78" s="60" t="n">
        <f aca="false">+AQ48</f>
        <v>0.0844938543904241</v>
      </c>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c r="AM79" s="60"/>
      <c r="AN79" s="60"/>
      <c r="AO79" s="60" t="n">
        <f aca="false">+AO35</f>
        <v>0.00601450000000003</v>
      </c>
      <c r="AP79" s="60" t="n">
        <f aca="false">+AP35</f>
        <v>0.0106517351390065</v>
      </c>
      <c r="AQ79" s="60" t="n">
        <f aca="false">+AQ35</f>
        <v>0.100381800000001</v>
      </c>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3" t="s">
        <v>3</v>
      </c>
      <c r="AE80" s="60" t="n">
        <f aca="false">+AE20</f>
        <v>0.00735722532416316</v>
      </c>
      <c r="AF80" s="60" t="n">
        <f aca="false">+AF20</f>
        <v>0.00611213912063557</v>
      </c>
      <c r="AG80" s="60" t="n">
        <f aca="false">+AG20</f>
        <v>0.00564735171406094</v>
      </c>
      <c r="AH80" s="60" t="n">
        <f aca="false">+AH20</f>
        <v>0.00609278396182833</v>
      </c>
      <c r="AI80" s="60" t="n">
        <f aca="false">+AI20</f>
        <v>0.00551411929031809</v>
      </c>
      <c r="AJ80" s="60" t="n">
        <f aca="false">+AJ20</f>
        <v>0.00461354906321554</v>
      </c>
      <c r="AK80" s="60" t="n">
        <f aca="false">+AK20</f>
        <v>0.00528435035284347</v>
      </c>
      <c r="AL80" s="60" t="n">
        <f aca="false">+AL20</f>
        <v>0.00480235203759283</v>
      </c>
      <c r="AM80" s="60" t="n">
        <f aca="false">+AM20</f>
        <v>0.00478104349541386</v>
      </c>
      <c r="AN80" s="60" t="n">
        <f aca="false">+AN20</f>
        <v>0.00451044051641847</v>
      </c>
      <c r="AO80" s="60" t="n">
        <f aca="false">+AO20</f>
        <v>0.0043843255475724</v>
      </c>
      <c r="AP80" s="60" t="n">
        <f aca="false">+AP20</f>
        <v>0.00444626417327787</v>
      </c>
      <c r="AQ80" s="60" t="n">
        <f aca="false">+AQ20</f>
        <v>0.0654251259349719</v>
      </c>
    </row>
    <row r="81" s="4" customFormat="true" ht="15" hidden="false" customHeight="false" outlineLevel="0" collapsed="false">
      <c r="A81" s="17" t="n">
        <v>41029</v>
      </c>
      <c r="B81" s="20" t="n">
        <v>14415.21</v>
      </c>
      <c r="C81" s="25" t="n">
        <f aca="false">(B81/B80-1)/(A81-A80)*30</f>
        <v>0.00417144675374423</v>
      </c>
      <c r="D81" s="19"/>
      <c r="E81" s="19"/>
      <c r="F81" s="19"/>
      <c r="I81" s="5"/>
      <c r="AC81" s="61"/>
      <c r="AD81" s="53" t="s">
        <v>26</v>
      </c>
      <c r="AE81" s="60" t="n">
        <f aca="false">+AE49</f>
        <v>0.00587192975175177</v>
      </c>
      <c r="AF81" s="60" t="n">
        <f aca="false">+AF49</f>
        <v>0.00508491077058904</v>
      </c>
      <c r="AG81" s="60" t="n">
        <f aca="false">+AG49</f>
        <v>0.0044501495538698</v>
      </c>
      <c r="AH81" s="60" t="n">
        <f aca="false">+AH49</f>
        <v>0.00472012403360989</v>
      </c>
      <c r="AI81" s="60" t="n">
        <f aca="false">+AI49</f>
        <v>0.00416779685595303</v>
      </c>
      <c r="AJ81" s="60" t="n">
        <f aca="false">+AJ49</f>
        <v>0.00365019312776771</v>
      </c>
      <c r="AK81" s="60" t="n">
        <f aca="false">+AK49</f>
        <v>0.00363412607508162</v>
      </c>
      <c r="AL81" s="60" t="n">
        <f aca="false">+AL49</f>
        <v>0.00362766941593184</v>
      </c>
      <c r="AM81" s="60" t="n">
        <f aca="false">+AM49</f>
        <v>0.0033754452875443</v>
      </c>
      <c r="AN81" s="60" t="n">
        <f aca="false">+AN49</f>
        <v>0.00341081299567914</v>
      </c>
      <c r="AO81" s="60" t="n">
        <f aca="false">+AO49</f>
        <v>0.00322037460491331</v>
      </c>
      <c r="AP81" s="60" t="n">
        <f aca="false">+AP49</f>
        <v>0.003229855901979</v>
      </c>
      <c r="AQ81" s="60" t="n">
        <f aca="false">+AQ49</f>
        <v>0.0495295629197707</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t="n">
        <f aca="false">+AE36</f>
        <v>0.00806546239450112</v>
      </c>
      <c r="AF82" s="60" t="n">
        <f aca="false">+AF36</f>
        <v>0.00671772247626135</v>
      </c>
      <c r="AG82" s="60" t="n">
        <f aca="false">+AG36</f>
        <v>0.00666649932415275</v>
      </c>
      <c r="AH82" s="60" t="n">
        <f aca="false">+AH36</f>
        <v>0.00676387522991595</v>
      </c>
      <c r="AI82" s="60" t="n">
        <f aca="false">+AI36</f>
        <v>0.00633486914901971</v>
      </c>
      <c r="AJ82" s="60" t="n">
        <f aca="false">+AJ36</f>
        <v>0.00517938705629328</v>
      </c>
      <c r="AK82" s="60" t="n">
        <f aca="false">+AK36</f>
        <v>0.00484488914724612</v>
      </c>
      <c r="AL82" s="60" t="n">
        <f aca="false">+AL36</f>
        <v>0.00501382982726817</v>
      </c>
      <c r="AM82" s="60" t="n">
        <f aca="false">+AM36</f>
        <v>0.00501661924796037</v>
      </c>
      <c r="AN82" s="60" t="n">
        <f aca="false">+AN36</f>
        <v>0.00458891757822655</v>
      </c>
      <c r="AO82" s="60" t="n">
        <f aca="false">+AO36</f>
        <v>0.00512398763137023</v>
      </c>
      <c r="AP82" s="60" t="n">
        <f aca="false">+AP36</f>
        <v>0.00434421887911518</v>
      </c>
      <c r="AQ82" s="60" t="n">
        <f aca="false">+AQ36</f>
        <v>0.0708550733660638</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3"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3"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0.00390155577280371</v>
      </c>
      <c r="AF85" s="60" t="n">
        <f aca="false">+AF37</f>
        <v>0.00430550730742296</v>
      </c>
      <c r="AG85" s="60" t="n">
        <f aca="false">+AG37</f>
        <v>0.00492755606209827</v>
      </c>
      <c r="AH85" s="60" t="n">
        <f aca="false">+AH37</f>
        <v>0.00511669572630247</v>
      </c>
      <c r="AI85" s="60" t="n">
        <f aca="false">+AI37</f>
        <v>0.00581108106201933</v>
      </c>
      <c r="AJ85" s="60" t="n">
        <f aca="false">+AJ37</f>
        <v>0.00573267335078054</v>
      </c>
      <c r="AK85" s="60" t="n">
        <f aca="false">+AK37</f>
        <v>0.00546257154641183</v>
      </c>
      <c r="AL85" s="60" t="n">
        <f aca="false">+AL37</f>
        <v>0.00570370071510173</v>
      </c>
      <c r="AM85" s="60" t="n">
        <f aca="false">+AM37</f>
        <v>0.0058239751262108</v>
      </c>
      <c r="AN85" s="60" t="n">
        <f aca="false">+AN37</f>
        <v>0.00653676013728166</v>
      </c>
      <c r="AO85" s="60" t="n">
        <f aca="false">+AO37</f>
        <v>0.00609177798087179</v>
      </c>
      <c r="AP85" s="60" t="n">
        <f aca="false">+AP37</f>
        <v>0.005732013770406</v>
      </c>
      <c r="AQ85" s="60" t="n">
        <f aca="false">+AQ37</f>
        <v>0.0629761412133203</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3"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3"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0.0055847005748062</v>
      </c>
      <c r="AF88" s="60" t="n">
        <f aca="false">+AF38</f>
        <v>0.00557319975137394</v>
      </c>
      <c r="AG88" s="60" t="n">
        <f aca="false">+AG38</f>
        <v>0.0059821111206444</v>
      </c>
      <c r="AH88" s="60" t="n">
        <f aca="false">+AH38</f>
        <v>0.0056080100795266</v>
      </c>
      <c r="AI88" s="60"/>
      <c r="AJ88" s="60"/>
      <c r="AK88" s="60"/>
      <c r="AL88" s="60"/>
      <c r="AM88" s="60"/>
      <c r="AN88" s="60"/>
      <c r="AO88" s="60"/>
      <c r="AP88" s="60"/>
      <c r="AQ88" s="60" t="n">
        <f aca="false">+AQ38</f>
        <v>0.0517849491595523</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43008</v>
      </c>
      <c r="AE96" s="62" t="n">
        <v>0.00311210000000006</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D97" s="17" t="n">
        <v>43039</v>
      </c>
      <c r="AE97" s="62" t="n">
        <v>0.00266354947734888</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C98" s="3"/>
      <c r="AD98" s="17" t="n">
        <v>43069</v>
      </c>
      <c r="AE98" s="62" t="n">
        <v>0.00270401929468234</v>
      </c>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D99" s="17" t="n">
        <v>43100</v>
      </c>
      <c r="AE99" s="62" t="n">
        <v>0.00300965446914445</v>
      </c>
      <c r="AF99" s="3"/>
      <c r="AG99" s="3"/>
      <c r="AH99" s="3"/>
      <c r="AI99" s="3"/>
      <c r="AJ99" s="3"/>
      <c r="AK99" s="3"/>
      <c r="AL99" s="3"/>
      <c r="AM99" s="3"/>
      <c r="AN99" s="3"/>
      <c r="AO99" s="3"/>
      <c r="AP99" s="3"/>
      <c r="AQ99" s="3"/>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43131</v>
      </c>
      <c r="AE100" s="62" t="n">
        <v>0.00473727239934226</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43159</v>
      </c>
      <c r="AE101" s="62" t="n">
        <v>0.00378152301954046</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43190</v>
      </c>
      <c r="AE102" s="62" t="n">
        <v>0.00300527511908573</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43220</v>
      </c>
      <c r="AE103" s="62" t="n">
        <v>0.00316130254575997</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43251</v>
      </c>
      <c r="AE104" s="62" t="n">
        <v>0.00310067866389014</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43281</v>
      </c>
      <c r="AE105" s="62" t="n">
        <v>0.00287709140845549</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43312</v>
      </c>
      <c r="AE106" s="62" t="n">
        <v>0.00279025405786912</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43343</v>
      </c>
      <c r="AE107" s="62" t="n">
        <v>0.00269722002207049</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43373</v>
      </c>
      <c r="AE108" s="62" t="n">
        <v>0.00294678677406712</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43404</v>
      </c>
      <c r="AE109" s="62" t="n">
        <v>0.00273411579812808</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43434</v>
      </c>
      <c r="AE110" s="62" t="n">
        <v>0.00284409288655185</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43465</v>
      </c>
      <c r="AE111" s="62" t="n">
        <v>0.00262659891580654</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43496</v>
      </c>
      <c r="AE112" s="62" t="n">
        <v>0.00281430328228941</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43524</v>
      </c>
      <c r="AE113" s="62" t="n">
        <v>0.00282360638687196</v>
      </c>
    </row>
    <row r="114" s="4" customFormat="true" ht="15" hidden="false" customHeight="false" outlineLevel="0" collapsed="false">
      <c r="A114" s="17" t="n">
        <v>42034</v>
      </c>
      <c r="B114" s="20" t="n">
        <v>16325.65</v>
      </c>
      <c r="C114" s="25" t="n">
        <f aca="false">(B114/B113-1)/(A114-A113)*30</f>
        <v>0.00258912554986668</v>
      </c>
      <c r="D114" s="19"/>
      <c r="E114" s="19"/>
      <c r="F114" s="19"/>
      <c r="I114" s="5"/>
      <c r="AD114" s="17" t="n">
        <v>43555</v>
      </c>
      <c r="AE114" s="62" t="n">
        <v>0.00286536279403882</v>
      </c>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17" t="n">
        <v>43585</v>
      </c>
      <c r="AE115" s="62" t="n">
        <v>0.00293240905161363</v>
      </c>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c r="AD147" s="4"/>
      <c r="AE147" s="4"/>
      <c r="AF147" s="4"/>
      <c r="AG147" s="4"/>
      <c r="AH147" s="4"/>
      <c r="AI147" s="4"/>
      <c r="AJ147" s="4"/>
      <c r="AK147" s="4"/>
      <c r="AL147" s="4"/>
      <c r="AM147" s="4"/>
      <c r="AN147" s="4"/>
      <c r="AO147" s="4"/>
      <c r="AP147" s="4"/>
      <c r="AQ147" s="4"/>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43</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44</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45</v>
      </c>
      <c r="AR157" s="65"/>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0</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c r="AD180" s="65"/>
      <c r="AE180" s="65"/>
      <c r="AF180" s="65"/>
      <c r="AG180" s="65"/>
      <c r="AH180" s="65"/>
      <c r="AI180" s="65"/>
      <c r="AJ180" s="65"/>
      <c r="AK180" s="65"/>
      <c r="AL180" s="65"/>
      <c r="AM180" s="65"/>
      <c r="AN180" s="65"/>
      <c r="AO180" s="65"/>
      <c r="AP180" s="65"/>
      <c r="AQ180" s="65"/>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I187" s="25"/>
      <c r="J187" s="18"/>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I188" s="25"/>
      <c r="J188" s="18"/>
      <c r="K188" s="3" t="n">
        <v>4908.1704</v>
      </c>
      <c r="L188" s="25" t="n">
        <f aca="false">+(K188/K187-1)/(F188-F187)*30</f>
        <v>5.22922002018035E-005</v>
      </c>
      <c r="M188" s="19" t="n">
        <f aca="false">+M187*(1+L188)</f>
        <v>100.00522922002</v>
      </c>
      <c r="Q188" s="17"/>
      <c r="R188" s="66"/>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I189" s="25"/>
      <c r="J189" s="18"/>
      <c r="K189" s="3" t="n">
        <v>4908.4956</v>
      </c>
      <c r="L189" s="25" t="n">
        <f aca="false">+(K189/K188-1)/(F189-F188)*30</f>
        <v>6.6256868343384E-005</v>
      </c>
      <c r="M189" s="19" t="n">
        <f aca="false">+M188*(1+L189)</f>
        <v>100.011855253326</v>
      </c>
      <c r="Q189" s="67"/>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I190" s="25"/>
      <c r="J190" s="18"/>
      <c r="K190" s="3" t="n">
        <v>4908.7905</v>
      </c>
      <c r="L190" s="25" t="n">
        <f aca="false">+(K190/K189-1)/(F190-F189)*30</f>
        <v>5.81414592230296E-005</v>
      </c>
      <c r="M190" s="19" t="n">
        <v>100</v>
      </c>
      <c r="Q190" s="67"/>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I191" s="25"/>
      <c r="J191" s="18"/>
      <c r="K191" s="3" t="n">
        <v>4909.0847</v>
      </c>
      <c r="L191" s="25" t="n">
        <f aca="false">+(K191/K190-1)/(F191-F190)*30</f>
        <v>5.99332972144318E-005</v>
      </c>
      <c r="M191" s="19" t="n">
        <f aca="false">+M190*(1+L191)</f>
        <v>100.005993329721</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I192" s="25"/>
      <c r="J192" s="18"/>
      <c r="K192" s="3" t="n">
        <v>4909.3885</v>
      </c>
      <c r="L192" s="25" t="n">
        <f aca="false">+(K192/K191-1)/(F192-F191)*30</f>
        <v>5.98889646373815E-005</v>
      </c>
      <c r="M192" s="19" t="n">
        <f aca="false">+M191*(1+L192)</f>
        <v>100.01198258512</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I193" s="25"/>
      <c r="J193" s="18"/>
      <c r="K193" s="3" t="n">
        <v>4909.6931</v>
      </c>
      <c r="L193" s="25" t="n">
        <f aca="false">+(K193/K192-1)/(F193-F192)*30</f>
        <v>6.00429551559976E-005</v>
      </c>
      <c r="M193" s="19" t="n">
        <f aca="false">+M192*(1+L193)</f>
        <v>100.017987600105</v>
      </c>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I194" s="25"/>
      <c r="J194" s="18"/>
      <c r="K194" s="18" t="n">
        <v>4909.1149</v>
      </c>
      <c r="L194" s="25" t="n">
        <f aca="false">+(K194/K193-1)/(F194-F193)*30</f>
        <v>-0.000117767035173966</v>
      </c>
      <c r="M194" s="19" t="n">
        <f aca="false">+M193*(1+L194)</f>
        <v>100.006208778241</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I195" s="25"/>
      <c r="J195" s="18"/>
      <c r="K195" s="3" t="n">
        <v>4914.1336</v>
      </c>
      <c r="L195" s="25" t="n">
        <f aca="false">+(K195/K194-1)/(F195-F194)*30</f>
        <v>0.00098934462740187</v>
      </c>
      <c r="M195" s="19" t="n">
        <f aca="false">+M194*(1+L195)</f>
        <v>100.105149383603</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I196" s="25"/>
      <c r="J196" s="18"/>
      <c r="K196" s="18" t="n">
        <v>4920.3216</v>
      </c>
      <c r="L196" s="25" t="n">
        <f aca="false">+(K196/K195-1)/(F196-F195)*30</f>
        <v>0.00125922502391873</v>
      </c>
      <c r="M196" s="19" t="n">
        <f aca="false">+M195*(1+L196)</f>
        <v>100.23120429273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I197" s="25"/>
      <c r="J197" s="18"/>
      <c r="K197" s="3" t="n">
        <v>4929.2918</v>
      </c>
      <c r="L197" s="25" t="n">
        <f aca="false">+(K197/K196-1)/(F197-F196)*30</f>
        <v>0.00176428278787249</v>
      </c>
      <c r="M197" s="19" t="n">
        <f aca="false">+M196*(1+L197)</f>
        <v>100.408040481271</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I198" s="25"/>
      <c r="J198" s="18"/>
      <c r="K198" s="3" t="n">
        <v>4941.9683</v>
      </c>
      <c r="L198" s="25" t="n">
        <f aca="false">+(K198/K197-1)/(F198-F197)*30</f>
        <v>0.00248871057809198</v>
      </c>
      <c r="M198" s="19" t="n">
        <f aca="false">+M197*(1+L198)</f>
        <v>100.657927033742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I199" s="25"/>
      <c r="J199" s="18"/>
      <c r="K199" s="3" t="n">
        <v>4958.2785</v>
      </c>
      <c r="L199" s="25" t="n">
        <f aca="false">+(K199/K198-1)/(F199-F198)*30</f>
        <v>0.00353608384855779</v>
      </c>
      <c r="M199" s="19" t="n">
        <f aca="false">+M198*(1+L199)</f>
        <v>101.013861903756</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I200" s="25"/>
      <c r="J200" s="18"/>
      <c r="K200" s="3" t="n">
        <v>4977.0833</v>
      </c>
      <c r="L200" s="25" t="n">
        <f aca="false">+(K200/K199-1)/(F200-F199)*30</f>
        <v>0.00367026449772572</v>
      </c>
      <c r="M200" s="19" t="n">
        <f aca="false">+M199*(1+L200)</f>
        <v>101.384609494879</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I201" s="25"/>
      <c r="J201" s="18"/>
      <c r="K201" s="3" t="n">
        <v>4999.8366</v>
      </c>
      <c r="L201" s="25" t="n">
        <f aca="false">+(K201/K200-1)/(F201-F200)*30</f>
        <v>0.00457161325790945</v>
      </c>
      <c r="M201" s="19" t="n">
        <f aca="false">+M200*(1+L201)</f>
        <v>101.848100719794</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44735</v>
      </c>
      <c r="I202" s="25"/>
      <c r="J202" s="18"/>
      <c r="K202" s="3" t="n">
        <v>5027.3885</v>
      </c>
      <c r="L202" s="25" t="n">
        <f aca="false">+(K202/K201-1)/(F202-F201)*30</f>
        <v>0.00306142226950209</v>
      </c>
      <c r="M202" s="19" t="n">
        <f aca="false">+M201*(1+L202)</f>
        <v>102.159900763444</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I203" s="25"/>
      <c r="J203" s="18"/>
      <c r="K203" s="18" t="n">
        <v>5056.9676</v>
      </c>
      <c r="L203" s="68" t="n">
        <f aca="false">+(K203/K202-1)/(F203-A202)*30</f>
        <v>0.00588359145110817</v>
      </c>
      <c r="M203" s="19" t="n">
        <f aca="false">+M202*(1+L203)</f>
        <v>102.760967882222</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I204" s="25"/>
      <c r="J204" s="18"/>
      <c r="K204" s="3" t="n">
        <v>5089.8979</v>
      </c>
      <c r="L204" s="68" t="n">
        <f aca="false">+(K204/K203-1)/(F204-A203)*30</f>
        <v>0.00630180669104238</v>
      </c>
      <c r="M204" s="19" t="n">
        <f aca="false">+M203*(1+L204)</f>
        <v>103.4085476372</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I205" s="25"/>
      <c r="J205" s="18"/>
      <c r="K205" s="18" t="n">
        <v>5125.6822</v>
      </c>
      <c r="L205" s="68" t="n">
        <f aca="false">+(K205/K204-1)/(F205-A204)*30</f>
        <v>0.00680366648257052</v>
      </c>
      <c r="M205" s="19" t="n">
        <f aca="false">+M204*(1+L205)</f>
        <v>104.112104906771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I206" s="25"/>
      <c r="J206" s="18"/>
      <c r="K206" s="18" t="n">
        <v>5163.2829</v>
      </c>
      <c r="L206" s="68" t="n">
        <f aca="false">+(K206/K205-1)/(F206-A205)*30</f>
        <v>0.00733574547403659</v>
      </c>
      <c r="M206" s="19" t="n">
        <f aca="false">+M205*(1+L206)</f>
        <v>104.875844809133</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I207" s="25"/>
      <c r="J207" s="18"/>
      <c r="K207" s="18" t="n">
        <v>5200.6767</v>
      </c>
      <c r="L207" s="68" t="n">
        <f aca="false">+(K207/K206-1)/(F207-A206)*30</f>
        <v>0.00775955656318685</v>
      </c>
      <c r="M207" s="19" t="n">
        <f aca="false">+M206*(1+L207)</f>
        <v>105.689634859041</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I208" s="25"/>
      <c r="J208" s="18"/>
      <c r="K208" s="3" t="n">
        <v>5246.14</v>
      </c>
      <c r="L208" s="68" t="n">
        <f aca="false">+(K208/K207-1)/(F208-A207)*30</f>
        <v>0.00794709517845488</v>
      </c>
      <c r="M208" s="19" t="n">
        <f aca="false">+M207*(1+L208)</f>
        <v>106.529560446642</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I209" s="25"/>
      <c r="J209" s="18"/>
      <c r="K209" s="3" t="n">
        <v>5287.7323</v>
      </c>
      <c r="L209" s="68" t="n">
        <f aca="false">+(K209/K208-1)/(F209-A208)*30</f>
        <v>0.00792817195118678</v>
      </c>
      <c r="M209" s="19" t="n">
        <f aca="false">+M208*(1+L209)</f>
        <v>107.374145119748</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I210" s="25"/>
      <c r="J210" s="18"/>
      <c r="K210" s="3" t="n">
        <v>5332.3677</v>
      </c>
      <c r="L210" s="68" t="n">
        <f aca="false">+(K210/K209-1)/(F210-A209)*30</f>
        <v>0.00791373033388998</v>
      </c>
      <c r="M210" s="19" t="n">
        <f aca="false">+M209*(1+L210)</f>
        <v>108.223875149057</v>
      </c>
    </row>
    <row r="211" customFormat="false" ht="15" hidden="false" customHeight="false" outlineLevel="0" collapsed="false">
      <c r="A211" s="17" t="n">
        <v>44985</v>
      </c>
      <c r="B211" s="3" t="n">
        <v>21310.51</v>
      </c>
      <c r="C211" s="25" t="n">
        <f aca="false">(B211/B210-1)/(A211-A210)*30</f>
        <v>0.00941288433619768</v>
      </c>
      <c r="D211" s="19" t="n">
        <f aca="false">+D210*(1+C211)</f>
        <v>112.130838375386</v>
      </c>
      <c r="F211" s="17" t="n">
        <v>45014</v>
      </c>
      <c r="I211" s="25"/>
      <c r="J211" s="18"/>
      <c r="K211" s="3" t="n">
        <v>5371.762</v>
      </c>
      <c r="L211" s="68" t="n">
        <f aca="false">+(K211/K210-1)/(F211-A210)*30</f>
        <v>0.00388829939564426</v>
      </c>
      <c r="M211" s="19" t="n">
        <f aca="false">+M210*(1+L211)</f>
        <v>108.644681977394</v>
      </c>
    </row>
    <row r="212" customFormat="false" ht="15" hidden="false" customHeight="false" outlineLevel="0" collapsed="false">
      <c r="A212" s="17" t="n">
        <v>45016</v>
      </c>
      <c r="B212" s="3" t="n">
        <v>21517.9</v>
      </c>
      <c r="C212" s="25" t="n">
        <f aca="false">(B212/B211-1)/(A212-A211)*30</f>
        <v>0.00941788816879581</v>
      </c>
      <c r="D212" s="19" t="n">
        <f aca="false">+D211*(1+C212)</f>
        <v>113.186874071478</v>
      </c>
      <c r="F212" s="17" t="n">
        <v>45016</v>
      </c>
      <c r="I212" s="25"/>
      <c r="J212" s="18"/>
      <c r="K212" s="3" t="n">
        <v>5415.8662</v>
      </c>
      <c r="L212" s="68" t="n">
        <f aca="false">+(K212/K211-1)/(F212-A211)*30</f>
        <v>0.00794552771901819</v>
      </c>
      <c r="M212" s="19" t="n">
        <f aca="false">+M211*(1+L212)</f>
        <v>109.507921309569</v>
      </c>
    </row>
    <row r="213" customFormat="false" ht="15" hidden="false" customHeight="false" outlineLevel="0" collapsed="false">
      <c r="A213" s="17" t="n">
        <v>45044</v>
      </c>
      <c r="B213" s="3" t="n">
        <v>21706.94</v>
      </c>
      <c r="C213" s="25" t="n">
        <f aca="false">(B213/B212-1)/(A213-A212)*30</f>
        <v>0.00941276133557894</v>
      </c>
      <c r="D213" s="19" t="n">
        <f aca="false">+D212*(1+C213)</f>
        <v>114.252275103434</v>
      </c>
      <c r="F213" s="17" t="n">
        <v>45044</v>
      </c>
      <c r="I213" s="25"/>
      <c r="J213" s="18"/>
      <c r="K213" s="3" t="n">
        <v>5456.2587</v>
      </c>
      <c r="L213" s="68" t="n">
        <f aca="false">+(K213/K212-1)/(F213-A212)*30</f>
        <v>0.00799090615854378</v>
      </c>
      <c r="M213" s="19" t="n">
        <f aca="false">+M212*(1+L213)</f>
        <v>110.382988832371</v>
      </c>
    </row>
    <row r="214" customFormat="false" ht="15" hidden="false" customHeight="false" outlineLevel="0" collapsed="false">
      <c r="A214" s="17" t="n">
        <v>45077</v>
      </c>
      <c r="B214" s="3" t="n">
        <v>21931.86</v>
      </c>
      <c r="C214" s="25" t="n">
        <f aca="false">(B214/B213-1)/(A214-A213)*30</f>
        <v>0.00941969376027792</v>
      </c>
      <c r="D214" s="19" t="n">
        <f aca="false">+D213*(1+C214)</f>
        <v>115.328496546323</v>
      </c>
      <c r="F214" s="17" t="n">
        <v>45077</v>
      </c>
      <c r="I214" s="25"/>
      <c r="J214" s="18"/>
      <c r="K214" s="18" t="n">
        <v>5504.4106</v>
      </c>
      <c r="L214" s="68" t="n">
        <f aca="false">+(K214/K213-1)/(F214-A213)*30</f>
        <v>0.00802279674632251</v>
      </c>
      <c r="M214" s="19" t="n">
        <f aca="false">+M213*(1+L214)</f>
        <v>111.268569116025</v>
      </c>
    </row>
    <row r="215" customFormat="false" ht="15" hidden="false" customHeight="false" outlineLevel="0" collapsed="false">
      <c r="A215" s="17" t="n">
        <v>45107</v>
      </c>
      <c r="B215" s="3" t="n">
        <v>22138.35</v>
      </c>
      <c r="C215" s="25" t="n">
        <f aca="false">(B215/B214-1)/(A215-A214)*30</f>
        <v>0.00941507013085063</v>
      </c>
      <c r="D215" s="19" t="n">
        <f aca="false">+D214*(1+C215)</f>
        <v>116.414322429392</v>
      </c>
      <c r="F215" s="17" t="n">
        <v>45107</v>
      </c>
      <c r="I215" s="25"/>
      <c r="J215" s="18"/>
      <c r="K215" s="3" t="n">
        <v>5548.4618</v>
      </c>
      <c r="L215" s="68" t="n">
        <f aca="false">+(K215/K214-1)/(F215-A214)*30</f>
        <v>0.00800289135407151</v>
      </c>
      <c r="M215" s="19" t="n">
        <f aca="false">+M214*(1+L215)</f>
        <v>112.159039385783</v>
      </c>
    </row>
    <row r="216" customFormat="false" ht="15" hidden="false" customHeight="false" outlineLevel="0" collapsed="false">
      <c r="A216" s="17" t="n">
        <v>45138</v>
      </c>
      <c r="B216" s="3" t="n">
        <v>22353.79</v>
      </c>
      <c r="C216" s="25" t="n">
        <f aca="false">(B216/B215-1)/(A216-A215)*30</f>
        <v>0.00941760892662041</v>
      </c>
      <c r="D216" s="19" t="n">
        <f aca="false">+D215*(1+C216)</f>
        <v>117.51066699149</v>
      </c>
      <c r="F216" s="17" t="n">
        <v>45138</v>
      </c>
      <c r="I216" s="25"/>
      <c r="J216" s="18"/>
      <c r="K216" s="3" t="n">
        <v>5593.984</v>
      </c>
      <c r="L216" s="68" t="n">
        <f aca="false">+(K216/K215-1)/(F216-A215)*30</f>
        <v>0.00793981170339564</v>
      </c>
      <c r="M216" s="19" t="n">
        <f aca="false">+M215*(1+L216)</f>
        <v>113.04956103934</v>
      </c>
    </row>
    <row r="217" customFormat="false" ht="15" hidden="false" customHeight="false" outlineLevel="0" collapsed="false">
      <c r="A217" s="17" t="n">
        <v>45169</v>
      </c>
      <c r="B217" s="3" t="n">
        <v>22551.92</v>
      </c>
      <c r="C217" s="25" t="n">
        <f aca="false">(B217/B216-1)/(A217-A216)*30</f>
        <v>0.00857745866259888</v>
      </c>
      <c r="D217" s="19" t="n">
        <f aca="false">+D216*(1+C217)</f>
        <v>118.518609880024</v>
      </c>
      <c r="F217" s="17" t="n">
        <v>45175</v>
      </c>
      <c r="I217" s="25"/>
      <c r="J217" s="18"/>
      <c r="K217" s="18" t="n">
        <v>5636.4775</v>
      </c>
      <c r="L217" s="68" t="n">
        <f aca="false">+(K217/K216-1)/(F217-A216)*30</f>
        <v>0.00615915047114707</v>
      </c>
      <c r="M217" s="19" t="n">
        <v>100</v>
      </c>
    </row>
    <row r="218" customFormat="false" ht="15" hidden="false" customHeight="false" outlineLevel="0" collapsed="false">
      <c r="A218" s="17" t="n">
        <v>45199</v>
      </c>
      <c r="B218" s="3" t="n">
        <v>22727.72</v>
      </c>
      <c r="C218" s="25" t="n">
        <f aca="false">(B218/B217-1)/(A218-A217)*30</f>
        <v>0.00779534514134506</v>
      </c>
      <c r="D218" s="19" t="n">
        <v>100</v>
      </c>
      <c r="F218" s="17" t="n">
        <v>45199</v>
      </c>
      <c r="I218" s="25"/>
      <c r="J218" s="18"/>
      <c r="K218" s="18" t="n">
        <v>5674.7198</v>
      </c>
      <c r="L218" s="68" t="n">
        <f aca="false">+(K218/K217-1)/(F218-A217)*30</f>
        <v>0.00678478712990516</v>
      </c>
      <c r="M218" s="19" t="n">
        <v>100</v>
      </c>
    </row>
    <row r="219" customFormat="false" ht="15" hidden="false" customHeight="false" outlineLevel="0" collapsed="false">
      <c r="A219" s="17" t="n">
        <v>45230</v>
      </c>
      <c r="B219" s="19" t="n">
        <v>22920</v>
      </c>
      <c r="C219" s="25" t="n">
        <f aca="false">(B219/B218-1)/(A219-A218)*30</f>
        <v>0.0081872453266249</v>
      </c>
      <c r="D219" s="19" t="n">
        <f aca="false">+D218*(1+C219)</f>
        <v>100.818724532663</v>
      </c>
      <c r="F219" s="17" t="n">
        <v>45237</v>
      </c>
      <c r="G219" s="4" t="n">
        <v>1000</v>
      </c>
      <c r="H219" s="4" t="n">
        <f aca="false">+G219+$S$148+$S$150+$S$152+$S$154+$S$156+$S$158</f>
        <v>1000</v>
      </c>
      <c r="I219" s="25" t="n">
        <v>0</v>
      </c>
      <c r="J219" s="18" t="n">
        <v>100</v>
      </c>
      <c r="K219" s="3" t="n">
        <v>5712.6049</v>
      </c>
      <c r="L219" s="68" t="n">
        <f aca="false">+(K219/K218-1)/(F219-A218)*30</f>
        <v>0.00527061961256391</v>
      </c>
      <c r="M219" s="19" t="n">
        <f aca="false">+M218*(1+L219)</f>
        <v>100.527061961256</v>
      </c>
    </row>
    <row r="220" customFormat="false" ht="15" hidden="false" customHeight="false" outlineLevel="0" collapsed="false">
      <c r="A220" s="17" t="n">
        <v>45260</v>
      </c>
      <c r="B220" s="3" t="n">
        <v>23092.51</v>
      </c>
      <c r="C220" s="25" t="n">
        <f aca="false">(B220/B219-1)/(A220-A219)*30</f>
        <v>0.00752661431064561</v>
      </c>
      <c r="D220" s="19" t="n">
        <f aca="false">+D219*(1+C220)</f>
        <v>101.577548187511</v>
      </c>
      <c r="F220" s="17" t="n">
        <v>45260</v>
      </c>
      <c r="G220" s="4" t="n">
        <v>1006.0145</v>
      </c>
      <c r="H220" s="4" t="n">
        <f aca="false">+G220+$S$148+$S$150+$S$152+$S$154+$S$156+$S$158</f>
        <v>1006.0145</v>
      </c>
      <c r="I220" s="25" t="n">
        <f aca="false">+(H220/H219-1)/(F220-F219)*30</f>
        <v>0.00784500000000005</v>
      </c>
      <c r="J220" s="18" t="n">
        <f aca="false">+J219*(1+I220)</f>
        <v>100.7845</v>
      </c>
      <c r="K220" s="18" t="n">
        <v>5747.8492</v>
      </c>
      <c r="L220" s="68" t="n">
        <f aca="false">+(K220/K219-1)/(F220-A219)*30</f>
        <v>0.00616956723192952</v>
      </c>
      <c r="M220" s="19" t="n">
        <f aca="false">+M219*(1+L220)</f>
        <v>101.147270428655</v>
      </c>
    </row>
    <row r="221" customFormat="false" ht="15" hidden="false" customHeight="false" outlineLevel="0" collapsed="false">
      <c r="A221" s="17" t="n">
        <v>45291</v>
      </c>
      <c r="B221" s="3" t="n">
        <v>23256.05</v>
      </c>
      <c r="C221" s="25" t="n">
        <f aca="false">(B221/B220-1)/(A221-A220)*30</f>
        <v>0.00685349994994187</v>
      </c>
      <c r="D221" s="19" t="n">
        <f aca="false">+D220*(1+C221)</f>
        <v>102.273709908929</v>
      </c>
      <c r="F221" s="17" t="n">
        <v>45291</v>
      </c>
      <c r="G221" s="4" t="n">
        <v>1016.7303</v>
      </c>
      <c r="H221" s="4" t="n">
        <f aca="false">+G221+$S$148+$S$150+$S$152+$S$154+$S$156+$S$158</f>
        <v>1016.7303</v>
      </c>
      <c r="I221" s="25" t="n">
        <f aca="false">+(H221/H220-1)/(F221-F220)*30</f>
        <v>0.0103081307796837</v>
      </c>
      <c r="J221" s="18" t="n">
        <f aca="false">+J220*(1+I221)</f>
        <v>101.823399806565</v>
      </c>
      <c r="K221" s="3" t="n">
        <v>5782.92</v>
      </c>
      <c r="L221" s="25" t="n">
        <f aca="false">+(K221/K220-1)/(F221-F220)*30</f>
        <v>0.00590472761028043</v>
      </c>
      <c r="M221" s="19" t="n">
        <f aca="false">+M220*(1+L221)</f>
        <v>101.744517509059</v>
      </c>
    </row>
    <row r="222" customFormat="false" ht="15" hidden="false" customHeight="false" outlineLevel="0" collapsed="false">
      <c r="A222" s="17" t="n">
        <v>45322</v>
      </c>
      <c r="B222" s="3" t="n">
        <v>23427.15</v>
      </c>
      <c r="C222" s="25" t="n">
        <f aca="false">(B222/B221-1)/(A222-A221)*30</f>
        <v>0.00711989547499661</v>
      </c>
      <c r="D222" s="19" t="n">
        <f aca="false">+D221*(1+C222)</f>
        <v>103.001888033321</v>
      </c>
      <c r="F222" s="17" t="n">
        <v>45322</v>
      </c>
      <c r="G222" s="4" t="n">
        <v>1024.9307</v>
      </c>
      <c r="H222" s="4" t="n">
        <f aca="false">+G222+$S$148+$S$150+$S$152+$S$154+$S$156+$S$158</f>
        <v>1024.9307</v>
      </c>
      <c r="I222" s="25" t="n">
        <f aca="false">+(H222/H221-1)/(F222-F221)*30</f>
        <v>0.00780528618822689</v>
      </c>
      <c r="J222" s="18" t="n">
        <f aca="false">+J221*(1+I222)</f>
        <v>102.618160582714</v>
      </c>
      <c r="K222" s="18" t="n">
        <v>5816.8769</v>
      </c>
      <c r="L222" s="25" t="n">
        <f aca="false">+(K222/K221-1)/(F222-F221)*30</f>
        <v>0.00568251266298558</v>
      </c>
      <c r="M222" s="19" t="n">
        <f aca="false">+M221*(1+L222)</f>
        <v>102.322682018194</v>
      </c>
    </row>
    <row r="223" customFormat="false" ht="15" hidden="false" customHeight="false" outlineLevel="0" collapsed="false">
      <c r="A223" s="17" t="n">
        <v>45351</v>
      </c>
      <c r="B223" s="3" t="n">
        <v>23570.34</v>
      </c>
      <c r="C223" s="25" t="n">
        <f aca="false">(B223/B222-1)/(A223-A222)*30</f>
        <v>0.00632290253858852</v>
      </c>
      <c r="D223" s="19" t="n">
        <f aca="false">+D222*(1+C223)</f>
        <v>103.653158932646</v>
      </c>
      <c r="F223" s="17" t="n">
        <v>45351</v>
      </c>
      <c r="G223" s="4" t="n">
        <v>1031.8159</v>
      </c>
      <c r="H223" s="4" t="n">
        <f aca="false">+G223+$S$148+$S$150+$S$152+$S$154+$S$156+$S$158</f>
        <v>1031.8159</v>
      </c>
      <c r="I223" s="25" t="n">
        <f aca="false">+(H223/H222-1)/(F223-F222)*30</f>
        <v>0.00694936807889105</v>
      </c>
      <c r="J223" s="18" t="n">
        <f aca="false">+J222*(1+I223)</f>
        <v>103.331291952182</v>
      </c>
      <c r="K223" s="3" t="n">
        <v>5846.4552</v>
      </c>
      <c r="L223" s="25" t="n">
        <f aca="false">+(K223/K222-1)/(F223-F222)*30</f>
        <v>0.005260252521299</v>
      </c>
      <c r="M223" s="19" t="n">
        <f aca="false">+M222*(1+L223)</f>
        <v>102.860925164266</v>
      </c>
    </row>
    <row r="224" customFormat="false" ht="15" hidden="false" customHeight="false" outlineLevel="0" collapsed="false">
      <c r="A224" s="17" t="n">
        <v>45379</v>
      </c>
      <c r="B224" s="3" t="n">
        <v>23703.45</v>
      </c>
      <c r="C224" s="25" t="n">
        <f aca="false">(B224/B223-1)/(A224-A223)*30</f>
        <v>0.00605073397935101</v>
      </c>
      <c r="D224" s="19" t="n">
        <f aca="false">+D223*(1+C224)</f>
        <v>104.280336623467</v>
      </c>
      <c r="F224" s="17" t="n">
        <v>45379</v>
      </c>
      <c r="G224" s="4" t="n">
        <v>1038.6945</v>
      </c>
      <c r="H224" s="4" t="n">
        <f aca="false">+G224+$S$148+$S$150+$S$152+$S$154+$S$156+$S$158</f>
        <v>1038.6945</v>
      </c>
      <c r="I224" s="25" t="n">
        <f aca="false">+(H224/H223-1)/(F224-F223)*30</f>
        <v>0.00714267784730652</v>
      </c>
      <c r="J224" s="18" t="n">
        <f aca="false">+J223*(1+I224)</f>
        <v>104.069354082142</v>
      </c>
      <c r="K224" s="3" t="n">
        <v>5872.4728</v>
      </c>
      <c r="L224" s="25" t="n">
        <f aca="false">+(K224/K223-1)/(F224-F223)*30</f>
        <v>0.00476801737914621</v>
      </c>
      <c r="M224" s="19" t="n">
        <f aca="false">+M223*(1+L224)</f>
        <v>103.351367843084</v>
      </c>
    </row>
    <row r="225" customFormat="false" ht="15" hidden="false" customHeight="false" outlineLevel="0" collapsed="false">
      <c r="A225" s="17" t="n">
        <v>45412</v>
      </c>
      <c r="B225" s="3" t="n">
        <v>23847.87</v>
      </c>
      <c r="C225" s="25" t="n">
        <f aca="false">(B225/B224-1)/(A225-A224)*30</f>
        <v>0.00553889451075303</v>
      </c>
      <c r="D225" s="19" t="n">
        <f aca="false">+D224*(1+C225)</f>
        <v>104.85793440757</v>
      </c>
      <c r="F225" s="17" t="n">
        <v>45412</v>
      </c>
      <c r="G225" s="4" t="n">
        <v>1045.7201</v>
      </c>
      <c r="H225" s="4" t="n">
        <f aca="false">+G225+$S$148+$S$150+$S$152+$S$154+$S$156+$S$158</f>
        <v>1045.7201</v>
      </c>
      <c r="I225" s="25" t="n">
        <f aca="false">+(H225/H224-1)/(F225-F224)*30</f>
        <v>0.00614897748174177</v>
      </c>
      <c r="J225" s="18" t="n">
        <f aca="false">+J224*(1+I225)</f>
        <v>104.709274196932</v>
      </c>
      <c r="K225" s="3" t="n">
        <v>5900.1916</v>
      </c>
      <c r="L225" s="25" t="n">
        <f aca="false">+(K225/K224-1)/(F225-F224)*30</f>
        <v>0.00429102184873626</v>
      </c>
      <c r="M225" s="19" t="n">
        <f aca="false">+M224*(1+L225)</f>
        <v>103.794850820596</v>
      </c>
    </row>
    <row r="226" customFormat="false" ht="15" hidden="false" customHeight="false" outlineLevel="0" collapsed="false">
      <c r="A226" s="17" t="n">
        <v>45443</v>
      </c>
      <c r="B226" s="3" t="n">
        <v>23979.37</v>
      </c>
      <c r="C226" s="25" t="n">
        <f aca="false">(B226/B225-1)/(A226-A225)*30</f>
        <v>0.00533624447450137</v>
      </c>
      <c r="D226" s="19" t="n">
        <f aca="false">+D225*(1+C226)</f>
        <v>105.41748198066</v>
      </c>
      <c r="F226" s="17" t="n">
        <v>45443</v>
      </c>
      <c r="G226" s="4" t="n">
        <v>1052.3446</v>
      </c>
      <c r="H226" s="4" t="n">
        <f aca="false">+G226+$S$148+$S$150+$S$152+$S$154+$S$156+$S$158</f>
        <v>1052.3446</v>
      </c>
      <c r="I226" s="25" t="n">
        <f aca="false">+(H226/H225-1)/(F226-F225)*30</f>
        <v>0.00613051853130939</v>
      </c>
      <c r="J226" s="18" t="n">
        <f aca="false">+J225*(1+I226)</f>
        <v>105.351196342797</v>
      </c>
      <c r="K226" s="3" t="n">
        <v>5924.7824</v>
      </c>
      <c r="L226" s="25" t="n">
        <f aca="false">+(K226/K225-1)/(F226-F225)*30</f>
        <v>0.00403335179608358</v>
      </c>
      <c r="M226" s="19" t="n">
        <f aca="false">+M225*(1+L226)</f>
        <v>104.213491968577</v>
      </c>
    </row>
    <row r="227" customFormat="false" ht="15" hidden="false" customHeight="false" outlineLevel="0" collapsed="false">
      <c r="A227" s="17" t="n">
        <v>45473</v>
      </c>
      <c r="B227" s="19" t="n">
        <v>24090</v>
      </c>
      <c r="C227" s="25" t="n">
        <f aca="false">(B227/B226-1)/(A227-A226)*30</f>
        <v>0.00461354906321554</v>
      </c>
      <c r="D227" s="19" t="n">
        <f aca="false">+D226*(1+C227)</f>
        <v>105.903830705899</v>
      </c>
      <c r="F227" s="17" t="n">
        <v>45473</v>
      </c>
      <c r="G227" s="4" t="n">
        <v>1057.7951</v>
      </c>
      <c r="H227" s="4" t="n">
        <f aca="false">+G227+$S$148+$S$150+$S$152+$S$154+$S$156+$S$158</f>
        <v>1057.7951</v>
      </c>
      <c r="I227" s="25" t="n">
        <f aca="false">+(H227/H226-1)/(F227-F226)*30</f>
        <v>0.00517938705629328</v>
      </c>
      <c r="J227" s="18" t="n">
        <f aca="false">+J226*(1+I227)</f>
        <v>105.8968509655</v>
      </c>
      <c r="K227" s="3" t="n">
        <v>5946.409</v>
      </c>
      <c r="L227" s="25" t="n">
        <f aca="false">+(K227/K226-1)/(F227-F226)*30</f>
        <v>0.00365019312776771</v>
      </c>
      <c r="M227" s="19" t="n">
        <f aca="false">+M226*(1+L227)</f>
        <v>104.593891340782</v>
      </c>
    </row>
    <row r="228" customFormat="false" ht="15" hidden="false" customHeight="false" outlineLevel="0" collapsed="false">
      <c r="A228" s="17" t="n">
        <v>45504</v>
      </c>
      <c r="B228" s="3" t="n">
        <v>24217.3</v>
      </c>
      <c r="C228" s="25" t="n">
        <f aca="false">(B228/B227-1)/(A228-A227)*30</f>
        <v>0.00511388743823562</v>
      </c>
      <c r="D228" s="19" t="n">
        <f aca="false">+D227*(1+C228)</f>
        <v>106.445410975407</v>
      </c>
      <c r="F228" s="17" t="n">
        <v>45504</v>
      </c>
      <c r="G228" s="4" t="n">
        <v>1062.92</v>
      </c>
      <c r="H228" s="4" t="n">
        <f aca="false">+G228+$S$148+$S$150+$S$152+$S$154+$S$156+$S$158</f>
        <v>1062.92</v>
      </c>
      <c r="I228" s="25" t="n">
        <f aca="false">+(H228/H227-1)/(F228-F227)*30</f>
        <v>0.00468860240056076</v>
      </c>
      <c r="J228" s="18" t="n">
        <f aca="false">+J227*(1+I228)</f>
        <v>106.393359195148</v>
      </c>
      <c r="K228" s="3" t="n">
        <v>5968.019</v>
      </c>
      <c r="L228" s="25" t="n">
        <f aca="false">+(K228/K227-1)/(F228-F227)*30</f>
        <v>0.00351689620169189</v>
      </c>
      <c r="M228" s="19" t="n">
        <f aca="false">+M227*(1+L228)</f>
        <v>104.961737199958</v>
      </c>
    </row>
    <row r="229" customFormat="false" ht="15" hidden="false" customHeight="false" outlineLevel="0" collapsed="false">
      <c r="A229" s="17" t="n">
        <v>45535</v>
      </c>
      <c r="B229" s="3" t="n">
        <v>24333.6</v>
      </c>
      <c r="C229" s="25" t="n">
        <f aca="false">(B229/B228-1)/(A229-A228)*30</f>
        <v>0.004647437455735</v>
      </c>
      <c r="D229" s="19" t="n">
        <f aca="false">+D228*(1+C229)</f>
        <v>106.940109365365</v>
      </c>
      <c r="F229" s="17" t="n">
        <v>45535</v>
      </c>
      <c r="G229" s="4" t="n">
        <v>1068.2493</v>
      </c>
      <c r="H229" s="4" t="n">
        <f aca="false">+G229+$S$148+$S$150+$S$152+$S$154+$S$156+$S$158</f>
        <v>1068.2493</v>
      </c>
      <c r="I229" s="25" t="n">
        <f aca="false">+(H229/H228-1)/(F229-F228)*30</f>
        <v>0.00485209338122726</v>
      </c>
      <c r="J229" s="18" t="n">
        <f aca="false">+J228*(1+I229)</f>
        <v>106.909589709106</v>
      </c>
      <c r="K229" s="3" t="n">
        <v>5989.669</v>
      </c>
      <c r="L229" s="25" t="n">
        <f aca="false">+(K229/K228-1)/(F229-F228)*30</f>
        <v>0.00351064782186953</v>
      </c>
      <c r="M229" s="19" t="n">
        <f aca="false">+M228*(1+L229)</f>
        <v>105.330220894039</v>
      </c>
    </row>
    <row r="230" customFormat="false" ht="15" hidden="false" customHeight="false" outlineLevel="0" collapsed="false">
      <c r="A230" s="17" t="n">
        <v>45565</v>
      </c>
      <c r="B230" s="3" t="n">
        <v>24449.94</v>
      </c>
      <c r="C230" s="25" t="n">
        <f aca="false">(B230/B229-1)/(A230-A229)*30</f>
        <v>0.00478104349541386</v>
      </c>
      <c r="D230" s="19" t="n">
        <f aca="false">+D229*(1+C230)</f>
        <v>107.451394679645</v>
      </c>
      <c r="F230" s="17" t="n">
        <v>45565</v>
      </c>
      <c r="G230" s="4" t="n">
        <v>1073.6083</v>
      </c>
      <c r="H230" s="4" t="n">
        <f aca="false">+G230+$S$148+$S$150+$S$152+$S$154+$S$156+$S$158</f>
        <v>1073.6083</v>
      </c>
      <c r="I230" s="25" t="n">
        <f aca="false">+(H230/H229-1)/(F230-F229)*30</f>
        <v>0.00501661924796037</v>
      </c>
      <c r="J230" s="18" t="n">
        <f aca="false">+J229*(1+I230)</f>
        <v>107.445914414632</v>
      </c>
      <c r="K230" s="3" t="n">
        <v>6009.8868</v>
      </c>
      <c r="L230" s="25" t="n">
        <f aca="false">+(K230/K229-1)/(F230-F229)*30</f>
        <v>0.0033754452875443</v>
      </c>
      <c r="M230" s="19" t="n">
        <f aca="false">+M229*(1+L230)</f>
        <v>105.685757291792</v>
      </c>
    </row>
    <row r="231" customFormat="false" ht="15" hidden="false" customHeight="false" outlineLevel="0" collapsed="false">
      <c r="A231" s="17" t="n">
        <v>45596</v>
      </c>
      <c r="B231" s="3" t="n">
        <v>24560.22</v>
      </c>
      <c r="C231" s="25" t="n">
        <f aca="false">(B231/B230-1)/(A231-A230)*30</f>
        <v>0.00436494243524368</v>
      </c>
      <c r="D231" s="19" t="n">
        <f aca="false">+D230*(1+C231)</f>
        <v>107.920413832008</v>
      </c>
      <c r="F231" s="17" t="n">
        <v>45596</v>
      </c>
      <c r="G231" s="4" t="n">
        <v>1078.535</v>
      </c>
      <c r="H231" s="4" t="n">
        <f aca="false">+G231+$S$148+$S$150+$S$152+$S$154+$S$156+$S$158</f>
        <v>1078.535</v>
      </c>
      <c r="I231" s="25" t="n">
        <f aca="false">+(H231/H230-1)/(F231-F230)*30</f>
        <v>0.00444088797892892</v>
      </c>
      <c r="J231" s="18" t="n">
        <f aca="false">+J230*(1+I231)</f>
        <v>107.923069684341</v>
      </c>
      <c r="K231" s="3" t="n">
        <v>6030.3854</v>
      </c>
      <c r="L231" s="25" t="n">
        <f aca="false">+(K231/K230-1)/(F231-F230)*30</f>
        <v>0.00330078677001207</v>
      </c>
      <c r="M231" s="19" t="n">
        <f aca="false">+M230*(1+L231)</f>
        <v>106.034603441239</v>
      </c>
    </row>
    <row r="232" customFormat="false" ht="15" hidden="false" customHeight="false" outlineLevel="0" collapsed="false">
      <c r="A232" s="17" t="n">
        <v>45626</v>
      </c>
      <c r="B232" s="3" t="n">
        <v>24667.9</v>
      </c>
      <c r="C232" s="25" t="n">
        <f aca="false">(B232/B231-1)/(A232-A231)*30</f>
        <v>0.0043843255475724</v>
      </c>
      <c r="D232" s="19" t="n">
        <f aca="false">+D231*(1+C232)</f>
        <v>108.393572059477</v>
      </c>
      <c r="F232" s="17" t="n">
        <v>45626</v>
      </c>
      <c r="G232" s="4" t="n">
        <v>1084.0614</v>
      </c>
      <c r="H232" s="4" t="n">
        <f aca="false">+G232+$S$148+$S$150+$S$152+$S$154+$S$156+$S$158</f>
        <v>1084.0614</v>
      </c>
      <c r="I232" s="25" t="n">
        <f aca="false">+(H232/H231-1)/(F232-F231)*30</f>
        <v>0.00512398763137023</v>
      </c>
      <c r="J232" s="18" t="n">
        <f aca="false">+J231*(1+I232)</f>
        <v>108.476066158543</v>
      </c>
      <c r="K232" s="3" t="n">
        <v>6049.8055</v>
      </c>
      <c r="L232" s="25" t="n">
        <f aca="false">+(K232/K231-1)/(F232-F231)*30</f>
        <v>0.00322037460491331</v>
      </c>
      <c r="M232" s="19" t="n">
        <f aca="false">+M231*(1+L232)</f>
        <v>106.376074585403</v>
      </c>
    </row>
    <row r="233" customFormat="false" ht="15" hidden="false" customHeight="false" outlineLevel="0" collapsed="false">
      <c r="A233" s="17" t="n">
        <v>45657</v>
      </c>
      <c r="B233" s="3" t="n">
        <v>24777.58</v>
      </c>
      <c r="C233" s="25" t="n">
        <f aca="false">(B233/B232-1)/(A233-A232)*30</f>
        <v>0.00430283629672052</v>
      </c>
      <c r="D233" s="19" t="n">
        <f aca="false">+D232*(1+C233)</f>
        <v>108.859971855665</v>
      </c>
      <c r="F233" s="17" t="n">
        <v>45657</v>
      </c>
      <c r="G233" s="4" t="n">
        <v>1088.7708</v>
      </c>
      <c r="H233" s="4" t="n">
        <f aca="false">+G233+$S$148+$S$150+$S$152+$S$154+$S$156+$S$158</f>
        <v>1088.7708</v>
      </c>
      <c r="I233" s="25" t="n">
        <f aca="false">+(H233/H232-1)/(F233-F232)*30</f>
        <v>0.0042040827862405</v>
      </c>
      <c r="J233" s="18" t="n">
        <f aca="false">+J232*(1+I233)</f>
        <v>108.932108520999</v>
      </c>
      <c r="K233" s="3" t="n">
        <v>6069.3455</v>
      </c>
      <c r="L233" s="25" t="n">
        <f aca="false">+(K233/K232-1)/(F233-F232)*30</f>
        <v>0.00312566700191516</v>
      </c>
      <c r="M233" s="19" t="n">
        <f aca="false">+M232*(1+L233)</f>
        <v>106.708570771528</v>
      </c>
    </row>
    <row r="234" customFormat="false" ht="15" hidden="false" customHeight="false" outlineLevel="0" collapsed="false">
      <c r="A234" s="17" t="n">
        <v>45688</v>
      </c>
      <c r="B234" s="3" t="n">
        <v>24887.95</v>
      </c>
      <c r="C234" s="25" t="n">
        <f aca="false">(B234/B233-1)/(A234-A233)*30</f>
        <v>0.00431073887842782</v>
      </c>
      <c r="D234" s="19" t="n">
        <f aca="false">+D233*(1+C234)</f>
        <v>109.329238768648</v>
      </c>
      <c r="F234" s="17" t="n">
        <v>45688</v>
      </c>
      <c r="G234" s="4" t="n">
        <v>1093.0187</v>
      </c>
      <c r="H234" s="4" t="n">
        <f aca="false">+G234+$S$148+$S$150+$S$152+$S$154+$S$156+$S$158</f>
        <v>1093.0187</v>
      </c>
      <c r="I234" s="25" t="n">
        <f aca="false">+(H234/H233-1)/(F234-F233)*30</f>
        <v>0.00377569913497133</v>
      </c>
      <c r="J234" s="18" t="n">
        <f aca="false">+J233*(1+I234)</f>
        <v>109.343403388912</v>
      </c>
      <c r="K234" s="3" t="n">
        <v>6087.6762</v>
      </c>
      <c r="L234" s="25" t="n">
        <f aca="false">+(K234/K233-1)/(F234-F233)*30</f>
        <v>0.00292278419423869</v>
      </c>
      <c r="M234" s="19" t="n">
        <f aca="false">+M233*(1+L234)</f>
        <v>107.020456895569</v>
      </c>
    </row>
    <row r="235" customFormat="false" ht="15" hidden="false" customHeight="false" outlineLevel="0" collapsed="false">
      <c r="A235" s="17" t="n">
        <v>45716</v>
      </c>
      <c r="B235" s="3" t="n">
        <v>24984.92</v>
      </c>
      <c r="C235" s="25" t="n">
        <f aca="false">(B235/B234-1)/(A235-A234)*30</f>
        <v>0.0041745675546369</v>
      </c>
      <c r="D235" s="19" t="n">
        <f aca="false">+D234*(1+C235)</f>
        <v>109.785641061585</v>
      </c>
      <c r="F235" s="17" t="n">
        <v>45716</v>
      </c>
      <c r="G235" s="4" t="n">
        <v>1097.7247</v>
      </c>
      <c r="H235" s="4" t="n">
        <f aca="false">+G235+$S$148+$S$150+$S$152+$S$154+$S$156+$S$158</f>
        <v>1097.7247</v>
      </c>
      <c r="I235" s="25" t="n">
        <f aca="false">+(H235/H234-1)/(F235-F234)*30</f>
        <v>0.00461304354366746</v>
      </c>
      <c r="J235" s="18" t="n">
        <f aca="false">+J234*(1+I235)</f>
        <v>109.847809269958</v>
      </c>
      <c r="K235" s="3" t="n">
        <v>6104.4912</v>
      </c>
      <c r="L235" s="25" t="n">
        <f aca="false">+(K235/K234-1)/(F235-F234)*30</f>
        <v>0.00295943326101547</v>
      </c>
      <c r="M235" s="19" t="n">
        <f aca="false">+M234*(1+L235)</f>
        <v>107.337176795315</v>
      </c>
    </row>
    <row r="236" customFormat="false" ht="15" hidden="false" customHeight="false" outlineLevel="0" collapsed="false">
      <c r="A236" s="17" t="n">
        <v>45747</v>
      </c>
      <c r="B236" s="3" t="n">
        <v>25092.7</v>
      </c>
      <c r="C236" s="25" t="n">
        <f aca="false">(B236/B235-1)/(A236-A235)*30</f>
        <v>0.00417464717943687</v>
      </c>
      <c r="D236" s="19" t="n">
        <f aca="false">+D235*(1+C236)</f>
        <v>110.243957378385</v>
      </c>
      <c r="F236" s="17" t="n">
        <v>45747</v>
      </c>
      <c r="G236" s="4" t="n">
        <v>1103.1338</v>
      </c>
      <c r="H236" s="4" t="n">
        <f aca="false">+G236+$S$148+$S$150+$S$152+$S$154+$S$156+$S$158</f>
        <v>1103.1338</v>
      </c>
      <c r="I236" s="25" t="n">
        <f aca="false">+(H236/H235-1)/(F236-F235)*30</f>
        <v>0.00476860264074026</v>
      </c>
      <c r="J236" s="18" t="n">
        <f aca="false">+J235*(1+I236)</f>
        <v>110.371629823323</v>
      </c>
      <c r="K236" s="3" t="n">
        <v>6123.1882</v>
      </c>
      <c r="L236" s="25" t="n">
        <f aca="false">+(K236/K235-1)/(F236-F235)*30</f>
        <v>0.00296402605474173</v>
      </c>
      <c r="M236" s="19" t="n">
        <f aca="false">+M235*(1+L236)</f>
        <v>107.655326983979</v>
      </c>
    </row>
    <row r="237" customFormat="false" ht="15" hidden="false" customHeight="false" outlineLevel="0" collapsed="false">
      <c r="A237" s="17" t="n">
        <v>45777</v>
      </c>
      <c r="B237" s="3" t="n">
        <v>25197.48</v>
      </c>
      <c r="C237" s="25" t="n">
        <f aca="false">(B237/B236-1)/(A237-A236)*30</f>
        <v>0.00417571644342774</v>
      </c>
      <c r="D237" s="19" t="n">
        <f aca="false">+D236*(1+C237)</f>
        <v>110.704304883999</v>
      </c>
      <c r="F237" s="17" t="n">
        <v>45777</v>
      </c>
      <c r="G237" s="4" t="n">
        <v>1108.7782</v>
      </c>
      <c r="H237" s="4" t="n">
        <f aca="false">+G237+$S$148+$S$150+$S$152+$S$154+$S$156+$S$158</f>
        <v>1108.7782</v>
      </c>
      <c r="I237" s="25" t="n">
        <f aca="false">+(H237/H236-1)/(F237-F236)*30</f>
        <v>0.00511669572630247</v>
      </c>
      <c r="J237" s="18" t="n">
        <f aca="false">+J236*(1+I237)</f>
        <v>110.936367869945</v>
      </c>
      <c r="K237" s="3" t="n">
        <v>6141.4105</v>
      </c>
      <c r="L237" s="25" t="n">
        <f aca="false">+(K237/K236-1)/(F237-F236)*30</f>
        <v>0.00297594968581905</v>
      </c>
      <c r="M237" s="19" t="n">
        <f aca="false">+M236*(1+L237)</f>
        <v>107.975703820493</v>
      </c>
    </row>
    <row r="238" customFormat="false" ht="15" hidden="false" customHeight="false" outlineLevel="0" collapsed="false">
      <c r="A238" s="17" t="n">
        <v>45808</v>
      </c>
      <c r="B238" s="3" t="n">
        <v>25302.66</v>
      </c>
      <c r="C238" s="25" t="n">
        <f aca="false">(B238/B237-1)/(A238-A237)*30</f>
        <v>0.00403957446435886</v>
      </c>
      <c r="D238" s="19" t="n">
        <f aca="false">+D237*(1+C238)</f>
        <v>111.151503167103</v>
      </c>
      <c r="F238" s="17" t="n">
        <v>45808</v>
      </c>
      <c r="G238" s="4" t="n">
        <v>1115.2214</v>
      </c>
      <c r="H238" s="4" t="n">
        <f aca="false">+G238+$S$148+$S$150+$S$152+$S$154+$S$156+$S$158</f>
        <v>1115.2214</v>
      </c>
      <c r="I238" s="25" t="n">
        <f aca="false">+(H238/H237-1)/(F238-F237)*30</f>
        <v>0.00562362683421225</v>
      </c>
      <c r="J238" s="18" t="n">
        <f aca="false">+J237*(1+I238)</f>
        <v>111.560232605188</v>
      </c>
      <c r="K238" s="3" t="n">
        <v>6160.386</v>
      </c>
      <c r="L238" s="25" t="n">
        <f aca="false">+(K238/K237-1)/(F238-F237)*30</f>
        <v>0.00299009276399519</v>
      </c>
      <c r="M238" s="19" t="n">
        <f aca="false">+M237*(1+L238)</f>
        <v>108.298561191174</v>
      </c>
    </row>
    <row r="239" customFormat="false" ht="15" hidden="false" customHeight="false" outlineLevel="0" collapsed="false">
      <c r="A239" s="17" t="n">
        <v>45838</v>
      </c>
      <c r="B239" s="3" t="n">
        <v>25411.83</v>
      </c>
      <c r="C239" s="25" t="n">
        <f aca="false">(B239/B238-1)/(A239-A238)*30</f>
        <v>0.00431456613652492</v>
      </c>
      <c r="D239" s="19" t="n">
        <f aca="false">+D238*(1+C239)</f>
        <v>111.631073678691</v>
      </c>
      <c r="F239" s="17" t="n">
        <v>45838</v>
      </c>
      <c r="G239" s="4" t="n">
        <v>1121.6146</v>
      </c>
      <c r="H239" s="4" t="n">
        <f aca="false">+G239+$S$148+$S$150+$S$152+$S$154+$S$156+$S$158</f>
        <v>1121.6146</v>
      </c>
      <c r="I239" s="25" t="n">
        <f aca="false">+(H239/H238-1)/(F239-F238)*30</f>
        <v>0.00573267335078054</v>
      </c>
      <c r="J239" s="18" t="n">
        <f aca="false">+J238*(1+I239)</f>
        <v>112.199770977651</v>
      </c>
      <c r="K239" s="3" t="n">
        <v>6178.849</v>
      </c>
      <c r="L239" s="25" t="n">
        <f aca="false">+(K239/K238-1)/(F239-F238)*30</f>
        <v>0.00299705245742721</v>
      </c>
      <c r="M239" s="19" t="n">
        <f aca="false">+M238*(1+L239)</f>
        <v>108.623137660128</v>
      </c>
    </row>
    <row r="240" customFormat="false" ht="15" hidden="false" customHeight="false" outlineLevel="0" collapsed="false">
      <c r="A240" s="17" t="n">
        <v>45869</v>
      </c>
      <c r="B240" s="3" t="n">
        <v>25521.26</v>
      </c>
      <c r="C240" s="25" t="n">
        <f aca="false">(B240/B239-1)/(A240-A239)*30</f>
        <v>0.00416735040333568</v>
      </c>
      <c r="D240" s="19" t="n">
        <f aca="false">+D239*(1+C240)</f>
        <v>112.096279478611</v>
      </c>
      <c r="F240" s="17" t="n">
        <v>45869</v>
      </c>
      <c r="G240" s="4" t="n">
        <v>1127.7415</v>
      </c>
      <c r="H240" s="4" t="n">
        <f aca="false">+G240+$S$148+$S$150+$S$152+$S$154+$S$156+$S$158</f>
        <v>1127.7415</v>
      </c>
      <c r="I240" s="25" t="n">
        <f aca="false">+(H240/H239-1)/(F240-F239)*30</f>
        <v>0.00528635956104371</v>
      </c>
      <c r="J240" s="18" t="n">
        <f aca="false">+J239*(1+I240)</f>
        <v>112.792899309705</v>
      </c>
      <c r="K240" s="3" t="n">
        <v>6197.08</v>
      </c>
      <c r="L240" s="25" t="n">
        <f aca="false">+(K240/K239-1)/(F240-F239)*30</f>
        <v>0.00285537051088415</v>
      </c>
      <c r="M240" s="19" t="n">
        <f aca="false">+M239*(1+L240)</f>
        <v>108.933296964203</v>
      </c>
    </row>
    <row r="241" customFormat="false" ht="15" hidden="false" customHeight="false" outlineLevel="0" collapsed="false">
      <c r="A241" s="17" t="n">
        <v>45900</v>
      </c>
      <c r="B241" s="3" t="n">
        <v>25619.09</v>
      </c>
      <c r="C241" s="25" t="n">
        <f aca="false">(B241/B240-1)/(A241-A240)*30</f>
        <v>0.00370962066717663</v>
      </c>
      <c r="D241" s="19" t="n">
        <f aca="false">+D240*(1+C241)</f>
        <v>112.512114153679</v>
      </c>
      <c r="F241" s="17" t="n">
        <v>45900</v>
      </c>
      <c r="G241" s="4" t="n">
        <v>1134.1738</v>
      </c>
      <c r="H241" s="4" t="n">
        <f aca="false">+G241+$S$148+$S$150+$S$152+$S$154+$S$156+$S$158</f>
        <v>1134.1738</v>
      </c>
      <c r="I241" s="25" t="n">
        <f aca="false">+(H241/H240-1)/(F241-F240)*30</f>
        <v>0.00551971036945329</v>
      </c>
      <c r="J241" s="18" t="n">
        <f aca="false">+J240*(1+I241)</f>
        <v>113.415483445626</v>
      </c>
      <c r="K241" s="3" t="n">
        <v>6215.6746</v>
      </c>
      <c r="L241" s="25" t="n">
        <f aca="false">+(K241/K240-1)/(F241-F240)*30</f>
        <v>0.00290375050726291</v>
      </c>
      <c r="M241" s="19" t="n">
        <f aca="false">+M240*(1+L241)</f>
        <v>109.24961208052</v>
      </c>
    </row>
    <row r="242" customFormat="false" ht="15" hidden="false" customHeight="false" outlineLevel="0" collapsed="false">
      <c r="A242" s="17" t="n">
        <v>45930</v>
      </c>
      <c r="B242" s="3" t="n">
        <v>25727.46</v>
      </c>
      <c r="C242" s="25" t="n">
        <f aca="false">(B242/B241-1)/(A242-A241)*30</f>
        <v>0.00423004876441735</v>
      </c>
      <c r="D242" s="19" t="n">
        <f aca="false">+D241*(1+C242)</f>
        <v>112.988045883136</v>
      </c>
      <c r="F242" s="17" t="n">
        <v>45930</v>
      </c>
      <c r="G242" s="4" t="n">
        <v>1140.7792</v>
      </c>
      <c r="H242" s="4" t="n">
        <f aca="false">+G242+$S$148+$S$150+$S$152+$S$154+$S$156+$S$158</f>
        <v>1140.7792</v>
      </c>
      <c r="I242" s="25" t="n">
        <f aca="false">+(H242/H241-1)/(F242-F241)*30</f>
        <v>0.0058239751262108</v>
      </c>
      <c r="J242" s="18" t="n">
        <f aca="false">+J241*(1+I242)</f>
        <v>114.07601240014</v>
      </c>
      <c r="K242" s="3" t="n">
        <v>6232.8399</v>
      </c>
      <c r="L242" s="25" t="n">
        <f aca="false">+(K242/K241-1)/(F242-F241)*30</f>
        <v>0.00276161496613736</v>
      </c>
      <c r="M242" s="19" t="n">
        <f aca="false">+M241*(1+L242)</f>
        <v>109.551317444286</v>
      </c>
    </row>
    <row r="243" customFormat="false" ht="15" hidden="false" customHeight="false" outlineLevel="0" collapsed="false">
      <c r="A243" s="17" t="n">
        <v>45961</v>
      </c>
      <c r="B243" s="3" t="n">
        <v>25829.5</v>
      </c>
      <c r="C243" s="25" t="n">
        <f aca="false">(B243/B242-1)/(A243-A242)*30</f>
        <v>0.00383824859106876</v>
      </c>
      <c r="D243" s="19" t="n">
        <f aca="false">+D242*(1+C243)</f>
        <v>113.421722091055</v>
      </c>
      <c r="F243" s="17" t="n">
        <v>45961</v>
      </c>
      <c r="G243" s="4" t="n">
        <v>1148.2362</v>
      </c>
      <c r="H243" s="4" t="n">
        <f aca="false">+G243+$S$148+$S$150+$S$152+$S$154+$S$156+$S$158</f>
        <v>1148.2362</v>
      </c>
      <c r="I243" s="25" t="n">
        <f aca="false">+(H243/H242-1)/(F243-F242)*30</f>
        <v>0.00632589690704677</v>
      </c>
      <c r="J243" s="18" t="n">
        <f aca="false">+J242*(1+I243)</f>
        <v>114.797645494151</v>
      </c>
      <c r="K243" s="3" t="n">
        <v>6250.6982</v>
      </c>
      <c r="L243" s="25" t="n">
        <f aca="false">+(K243/K242-1)/(F243-F242)*30</f>
        <v>0.00277276908820515</v>
      </c>
      <c r="M243" s="19" t="n">
        <f aca="false">+M242*(1+L243)</f>
        <v>109.855077950868</v>
      </c>
    </row>
    <row r="244" customFormat="false" ht="15" hidden="false" customHeight="false" outlineLevel="0" collapsed="false">
      <c r="A244" s="17" t="n">
        <v>45991</v>
      </c>
      <c r="B244" s="3" t="n">
        <v>25928.49</v>
      </c>
      <c r="C244" s="25" t="n">
        <f aca="false">(B244/B243-1)/(A244-A243)*30</f>
        <v>0.00383243965233548</v>
      </c>
      <c r="D244" s="19" t="n">
        <f aca="false">+D243*(1+C244)</f>
        <v>113.856403996233</v>
      </c>
      <c r="F244" s="17" t="n">
        <v>45991</v>
      </c>
      <c r="G244" s="4" t="n">
        <v>1155.231</v>
      </c>
      <c r="H244" s="4" t="n">
        <f aca="false">+G244+$S$148+$S$150+$S$152+$S$154+$S$156+$S$158</f>
        <v>1155.231</v>
      </c>
      <c r="I244" s="25" t="n">
        <f aca="false">+(H244/H243-1)/(F244-F243)*30</f>
        <v>0.00609177798087179</v>
      </c>
      <c r="J244" s="18" t="n">
        <f aca="false">+J243*(1+I244)</f>
        <v>115.496967263228</v>
      </c>
      <c r="K244" s="3" t="n">
        <v>6268.169</v>
      </c>
      <c r="L244" s="25" t="n">
        <f aca="false">+(K244/K243-1)/(F244-F243)*30</f>
        <v>0.00279501576319907</v>
      </c>
      <c r="M244" s="19" t="n">
        <f aca="false">+M243*(1+L244)</f>
        <v>110.162124625408</v>
      </c>
    </row>
    <row r="245" customFormat="false" ht="15" hidden="false" customHeight="false" outlineLevel="0" collapsed="false">
      <c r="A245" s="17" t="n">
        <v>46022</v>
      </c>
      <c r="B245" s="3" t="n">
        <v>26035.82</v>
      </c>
      <c r="C245" s="25" t="n">
        <f aca="false">(B245/B244-1)/(A245-A244)*30</f>
        <v>0.00400593100236385</v>
      </c>
      <c r="D245" s="19" t="n">
        <f aca="false">+D244*(1+C245)</f>
        <v>114.312504894819</v>
      </c>
      <c r="F245" s="17" t="n">
        <v>46022</v>
      </c>
      <c r="G245" s="69" t="n">
        <v>1161.8528</v>
      </c>
      <c r="H245" s="4" t="n">
        <f aca="false">+G245+$S$148+$S$150+$S$152+$S$154+$S$156+$S$158</f>
        <v>1161.8528</v>
      </c>
      <c r="I245" s="25" t="n">
        <f aca="false">+(H245/H244-1)/(F245-F244)*30</f>
        <v>0.0055471101003929</v>
      </c>
      <c r="J245" s="18" t="n">
        <f aca="false">+J244*(1+I245)</f>
        <v>116.137641656898</v>
      </c>
      <c r="K245" s="70" t="n">
        <v>6285.9566</v>
      </c>
      <c r="L245" s="25" t="n">
        <f aca="false">+(K245/K244-1)/(F245-F244)*30</f>
        <v>0.00274622564446067</v>
      </c>
      <c r="M245" s="19" t="n">
        <f aca="false">+M244*(1+L245)</f>
        <v>110.464654677103</v>
      </c>
    </row>
    <row r="246" customFormat="false" ht="15.75" hidden="false" customHeight="true" outlineLevel="0" collapsed="false">
      <c r="A246" s="17" t="n">
        <v>46053</v>
      </c>
      <c r="B246" s="3" t="n">
        <v>26136.9</v>
      </c>
      <c r="C246" s="25" t="n">
        <f aca="false">(B246/B245-1)/(A246-A245)*30</f>
        <v>0.00375710674135526</v>
      </c>
      <c r="D246" s="19" t="n">
        <f aca="false">+D245*(1+C246)</f>
        <v>114.741989177581</v>
      </c>
      <c r="F246" s="17" t="n">
        <v>46053</v>
      </c>
      <c r="G246" s="69" t="n">
        <v>1168.3414</v>
      </c>
      <c r="H246" s="4" t="n">
        <f aca="false">+G246+$S$148+$S$150+$S$152+$S$154+$S$156+$S$158</f>
        <v>1168.3414</v>
      </c>
      <c r="I246" s="25" t="n">
        <f aca="false">+(H246/H245-1)/(F246-F245)*30</f>
        <v>0.00540454894336084</v>
      </c>
      <c r="J246" s="18" t="n">
        <f aca="false">+J245*(1+I246)</f>
        <v>116.7653132254</v>
      </c>
      <c r="K246" s="70" t="n">
        <v>6303.0823</v>
      </c>
      <c r="L246" s="25" t="n">
        <f aca="false">+(K246/K245-1)/(F246-F245)*30</f>
        <v>0.00263655305296194</v>
      </c>
      <c r="M246" s="19" t="n">
        <f aca="false">+M245*(1+L246)</f>
        <v>110.755900599636</v>
      </c>
    </row>
    <row r="247" customFormat="false" ht="16.5" hidden="false" customHeight="true" outlineLevel="0" collapsed="false">
      <c r="A247" s="71" t="n">
        <v>46081</v>
      </c>
      <c r="B247" s="72" t="n">
        <v>26231.81</v>
      </c>
      <c r="C247" s="25" t="n">
        <f aca="false">(B247/B246-1)/(A247-A246)*30</f>
        <v>0.00389064065418173</v>
      </c>
      <c r="D247" s="19" t="n">
        <f aca="false">+D246*(1+C247)</f>
        <v>115.188409025417</v>
      </c>
      <c r="F247" s="71" t="n">
        <v>46081</v>
      </c>
      <c r="G247" s="69" t="n">
        <v>1174.8528</v>
      </c>
      <c r="H247" s="4" t="n">
        <f aca="false">+G247+$S$148+$S$150+$S$152+$S$154+$S$156+$S$158</f>
        <v>1174.8528</v>
      </c>
      <c r="I247" s="25" t="n">
        <f aca="false">+(H247/H246-1)/(F247-F246)*30</f>
        <v>0.00597128544790065</v>
      </c>
      <c r="J247" s="18" t="n">
        <f aca="false">+J246*(1+I247)</f>
        <v>117.462552241082</v>
      </c>
      <c r="K247" s="73" t="n">
        <v>6318.4947</v>
      </c>
      <c r="L247" s="25" t="n">
        <f aca="false">+(K247/K246-1)/(F247-F246)*30</f>
        <v>0.00261987467850238</v>
      </c>
      <c r="M247" s="19" t="n">
        <f aca="false">+M246*(1+L247)</f>
        <v>111.046067179112</v>
      </c>
    </row>
    <row r="248" customFormat="false" ht="16.5" hidden="false" customHeight="true" outlineLevel="0" collapsed="false">
      <c r="A248" s="71" t="n">
        <v>46112</v>
      </c>
      <c r="B248" s="72" t="n">
        <v>26333.64</v>
      </c>
      <c r="C248" s="25" t="n">
        <f aca="false">(B248/B247-1)/(A248-A247)*30</f>
        <v>0.00375670459988545</v>
      </c>
      <c r="D248" s="19" t="n">
        <f aca="false">+D247*(1+C248)</f>
        <v>115.621137851456</v>
      </c>
      <c r="F248" s="71" t="n">
        <v>46112</v>
      </c>
      <c r="G248" s="74" t="n">
        <v>1181.8809</v>
      </c>
      <c r="H248" s="4" t="n">
        <f aca="false">+G248+$S$148+$S$150+$S$152+$S$154+$S$156+$S$158</f>
        <v>1181.8809</v>
      </c>
      <c r="I248" s="25" t="n">
        <f aca="false">+(H248/H247-1)/(F248-F247)*30</f>
        <v>0.005789139794172</v>
      </c>
      <c r="J248" s="18" t="n">
        <f aca="false">+J247*(1+I248)</f>
        <v>118.142559376586</v>
      </c>
      <c r="K248" s="75" t="n">
        <v>6335.4774</v>
      </c>
      <c r="L248" s="25" t="n">
        <f aca="false">+(K248/K247-1)/(F248-F247)*30</f>
        <v>0.00260107379179124</v>
      </c>
      <c r="M248" s="19" t="n">
        <f aca="false">+M247*(1+L248)</f>
        <v>111.334906194133</v>
      </c>
    </row>
    <row r="249" customFormat="false" ht="15" hidden="false" customHeight="false" outlineLevel="0" collapsed="false">
      <c r="A249" s="17" t="n">
        <v>46142</v>
      </c>
      <c r="B249" s="3" t="n">
        <v>19916.8502383877</v>
      </c>
      <c r="C249" s="25" t="n">
        <f aca="false">(B249/B248-1)/(A249-A248)*30</f>
        <v>-0.243672722859896</v>
      </c>
      <c r="D249" s="19" t="n">
        <f aca="false">+D248*(1+C249)</f>
        <v>87.4474203710322</v>
      </c>
      <c r="F249" s="17" t="n">
        <v>46142</v>
      </c>
      <c r="G249" s="76" t="n">
        <v>1188.5089</v>
      </c>
      <c r="H249" s="4" t="n">
        <f aca="false">+G249+$S$148+$S$150+$S$152+$S$154+$S$156+$S$158</f>
        <v>1188.5089</v>
      </c>
      <c r="I249" s="25" t="n">
        <f aca="false">+(H249/H248-1)/(F249-F248)*30</f>
        <v>0.0056080100795266</v>
      </c>
      <c r="J249" s="18" t="n">
        <f aca="false">+J248*(1+I249)</f>
        <v>118.805104040391</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selection pane="topLeft" activeCell="H34" activeCellId="0" sqref="H34"/>
    </sheetView>
  </sheetViews>
  <sheetFormatPr defaultColWidth="11.42578125" defaultRowHeight="15" zeroHeight="false" outlineLevelRow="0" outlineLevelCol="0"/>
  <cols>
    <col collapsed="false" customWidth="true" hidden="false" outlineLevel="0" max="3" min="3" style="77" width="6.29"/>
    <col collapsed="false" customWidth="true" hidden="false" outlineLevel="0" max="4" min="4" style="0" width="23.42"/>
    <col collapsed="false" customWidth="true" hidden="false" outlineLevel="0" max="16" min="5" style="0" width="7.42"/>
    <col collapsed="false" customWidth="true" hidden="false" outlineLevel="0" max="17" min="17" style="0" width="8.71"/>
    <col collapsed="false" customWidth="true" hidden="false" outlineLevel="0" max="19" min="19" style="0" width="19.71"/>
    <col collapsed="false" customWidth="true" hidden="false" outlineLevel="0" max="20" min="20" style="0" width="7.86"/>
    <col collapsed="false" customWidth="true" hidden="false" outlineLevel="0" max="21" min="21" style="0" width="9.71"/>
    <col collapsed="false" customWidth="true" hidden="false" outlineLevel="0" max="22" min="22" style="0" width="9.57"/>
    <col collapsed="false" customWidth="true" hidden="false" outlineLevel="0" max="23" min="23" style="0" width="6"/>
    <col collapsed="false" customWidth="true" hidden="false" outlineLevel="0" max="24" min="24" style="0" width="11"/>
  </cols>
  <sheetData>
    <row r="1" customFormat="false" ht="24" hidden="false" customHeight="true" outlineLevel="0" collapsed="false">
      <c r="S1" s="78" t="s">
        <v>31</v>
      </c>
      <c r="T1" s="79" t="s">
        <v>32</v>
      </c>
      <c r="U1" s="79" t="s">
        <v>33</v>
      </c>
      <c r="V1" s="79" t="s">
        <v>34</v>
      </c>
      <c r="W1" s="79" t="s">
        <v>35</v>
      </c>
      <c r="X1" s="80" t="s">
        <v>46</v>
      </c>
    </row>
    <row r="2" customFormat="false" ht="15" hidden="false" customHeight="false" outlineLevel="0" collapsed="false">
      <c r="S2" s="81" t="s">
        <v>47</v>
      </c>
      <c r="T2" s="82" t="n">
        <f aca="false">+'Datos ICP (2)'!AX29</f>
        <v>-0.243672722859896</v>
      </c>
      <c r="U2" s="82" t="n">
        <f aca="false">+'Datos ICP (2)'!AY29</f>
        <v>-0.237979628862347</v>
      </c>
      <c r="V2" s="82" t="n">
        <f aca="false">+'Datos ICP (2)'!AZ29</f>
        <v>-0.228910732364632</v>
      </c>
      <c r="W2" s="82"/>
      <c r="X2" s="82" t="n">
        <f aca="false">+'Datos ICP (2)'!BB29</f>
        <v>-0.71393888658704</v>
      </c>
    </row>
    <row r="3" customFormat="false" ht="15" hidden="false" customHeight="false" outlineLevel="0" collapsed="false">
      <c r="S3" s="81" t="s">
        <v>26</v>
      </c>
      <c r="T3" s="82" t="n">
        <f aca="false">+'Datos ICP (2)'!AX30</f>
        <v>-1</v>
      </c>
      <c r="U3" s="82" t="n">
        <f aca="false">+'Datos ICP (2)'!AY30</f>
        <v>-1</v>
      </c>
      <c r="V3" s="82" t="n">
        <f aca="false">+'Datos ICP (2)'!AZ30</f>
        <v>-1</v>
      </c>
      <c r="W3" s="82"/>
      <c r="X3" s="82" t="n">
        <f aca="false">+'Datos ICP (2)'!BB30</f>
        <v>-3</v>
      </c>
    </row>
    <row r="4" customFormat="false" ht="15" hidden="false" customHeight="false" outlineLevel="0" collapsed="false">
      <c r="S4" s="83" t="s">
        <v>38</v>
      </c>
      <c r="T4" s="82" t="n">
        <f aca="false">+'Datos ICP (2)'!AX31</f>
        <v>0.0056080100795266</v>
      </c>
      <c r="U4" s="82" t="n">
        <f aca="false">+'Datos ICP (2)'!AY31</f>
        <v>0.0172616497198508</v>
      </c>
      <c r="V4" s="82" t="n">
        <f aca="false">+'Datos ICP (2)'!AZ31</f>
        <v>0.0350735327801022</v>
      </c>
      <c r="W4" s="82"/>
      <c r="X4" s="82" t="n">
        <f aca="false">+'Datos ICP (2)'!BB31</f>
        <v>0.0517849491595523</v>
      </c>
    </row>
    <row r="5" customFormat="false" ht="15" hidden="false" customHeight="false" outlineLevel="0" collapsed="false">
      <c r="B5" s="84"/>
      <c r="C5" s="85"/>
      <c r="D5" s="84"/>
      <c r="E5" s="84"/>
      <c r="F5" s="84"/>
      <c r="G5" s="84"/>
      <c r="H5" s="84"/>
      <c r="I5" s="84"/>
      <c r="J5" s="84"/>
      <c r="K5" s="84"/>
      <c r="L5" s="84"/>
      <c r="M5" s="84"/>
      <c r="N5" s="84"/>
      <c r="O5" s="84"/>
      <c r="P5" s="84"/>
      <c r="Q5" s="84"/>
      <c r="R5" s="84"/>
    </row>
    <row r="6" customFormat="false" ht="31.5" hidden="false" customHeight="true" outlineLevel="0" collapsed="false">
      <c r="B6" s="84"/>
      <c r="C6" s="86" t="s">
        <v>39</v>
      </c>
      <c r="D6" s="87" t="s">
        <v>40</v>
      </c>
      <c r="E6" s="88" t="s">
        <v>4</v>
      </c>
      <c r="F6" s="88" t="s">
        <v>5</v>
      </c>
      <c r="G6" s="88" t="s">
        <v>6</v>
      </c>
      <c r="H6" s="88" t="s">
        <v>7</v>
      </c>
      <c r="I6" s="88" t="s">
        <v>8</v>
      </c>
      <c r="J6" s="88" t="s">
        <v>9</v>
      </c>
      <c r="K6" s="88" t="s">
        <v>10</v>
      </c>
      <c r="L6" s="88" t="s">
        <v>11</v>
      </c>
      <c r="M6" s="88" t="s">
        <v>12</v>
      </c>
      <c r="N6" s="88" t="s">
        <v>13</v>
      </c>
      <c r="O6" s="88" t="s">
        <v>14</v>
      </c>
      <c r="P6" s="88" t="s">
        <v>15</v>
      </c>
      <c r="Q6" s="89" t="s">
        <v>48</v>
      </c>
      <c r="R6" s="90"/>
    </row>
    <row r="7" customFormat="false" ht="9" hidden="false" customHeight="true" outlineLevel="0" collapsed="false">
      <c r="B7" s="84"/>
      <c r="C7" s="85"/>
      <c r="D7" s="84"/>
      <c r="E7" s="91"/>
      <c r="F7" s="91"/>
      <c r="G7" s="91"/>
      <c r="H7" s="91"/>
      <c r="I7" s="91"/>
      <c r="J7" s="91"/>
      <c r="K7" s="91"/>
      <c r="L7" s="91"/>
      <c r="M7" s="91"/>
      <c r="N7" s="91"/>
      <c r="O7" s="91"/>
      <c r="P7" s="91"/>
      <c r="Q7" s="91"/>
      <c r="R7" s="92"/>
    </row>
    <row r="8" customFormat="false" ht="16.5" hidden="true" customHeight="true" outlineLevel="0" collapsed="false">
      <c r="B8" s="84"/>
      <c r="C8" s="93" t="n">
        <v>2013</v>
      </c>
      <c r="D8" s="94" t="s">
        <v>3</v>
      </c>
      <c r="E8" s="91"/>
      <c r="F8" s="91"/>
      <c r="G8" s="91"/>
      <c r="H8" s="91"/>
      <c r="I8" s="91"/>
      <c r="J8" s="91"/>
      <c r="K8" s="91"/>
      <c r="L8" s="91"/>
      <c r="M8" s="91"/>
      <c r="N8" s="91"/>
      <c r="O8" s="91"/>
      <c r="P8" s="91"/>
      <c r="Q8" s="91"/>
      <c r="R8" s="84"/>
    </row>
    <row r="9" customFormat="false" ht="16.5" hidden="true" customHeight="true" outlineLevel="0" collapsed="false">
      <c r="B9" s="84"/>
      <c r="C9" s="93" t="n">
        <v>2014</v>
      </c>
      <c r="D9" s="94" t="s">
        <v>3</v>
      </c>
      <c r="E9" s="91"/>
      <c r="F9" s="91"/>
      <c r="G9" s="91"/>
      <c r="H9" s="91"/>
      <c r="I9" s="91"/>
      <c r="J9" s="91"/>
      <c r="K9" s="91"/>
      <c r="L9" s="91"/>
      <c r="M9" s="91"/>
      <c r="N9" s="91"/>
      <c r="O9" s="91"/>
      <c r="P9" s="91"/>
      <c r="Q9" s="91"/>
      <c r="R9" s="84"/>
    </row>
    <row r="10" customFormat="false" ht="16.5" hidden="true" customHeight="true" outlineLevel="0" collapsed="false">
      <c r="B10" s="84"/>
      <c r="C10" s="93" t="n">
        <v>2015</v>
      </c>
      <c r="D10" s="94" t="s">
        <v>3</v>
      </c>
      <c r="E10" s="91"/>
      <c r="F10" s="91"/>
      <c r="G10" s="91"/>
      <c r="H10" s="91"/>
      <c r="I10" s="91"/>
      <c r="J10" s="91"/>
      <c r="K10" s="91"/>
      <c r="L10" s="91"/>
      <c r="M10" s="91"/>
      <c r="N10" s="91"/>
      <c r="O10" s="91"/>
      <c r="P10" s="91"/>
      <c r="Q10" s="91"/>
      <c r="R10" s="84"/>
    </row>
    <row r="11" customFormat="false" ht="16.5" hidden="true" customHeight="true" outlineLevel="0" collapsed="false">
      <c r="B11" s="84"/>
      <c r="C11" s="93" t="n">
        <v>2016</v>
      </c>
      <c r="D11" s="94" t="s">
        <v>3</v>
      </c>
      <c r="E11" s="91"/>
      <c r="F11" s="91"/>
      <c r="G11" s="91"/>
      <c r="H11" s="91"/>
      <c r="I11" s="91"/>
      <c r="J11" s="91"/>
      <c r="K11" s="91"/>
      <c r="L11" s="91"/>
      <c r="M11" s="91"/>
      <c r="N11" s="91"/>
      <c r="O11" s="91"/>
      <c r="P11" s="91"/>
      <c r="Q11" s="91"/>
      <c r="R11" s="84"/>
    </row>
    <row r="12" customFormat="false" ht="16.5" hidden="true" customHeight="true" outlineLevel="0" collapsed="false">
      <c r="B12" s="84"/>
      <c r="C12" s="93" t="n">
        <v>2017</v>
      </c>
      <c r="D12" s="94" t="s">
        <v>3</v>
      </c>
      <c r="E12" s="91"/>
      <c r="F12" s="91"/>
      <c r="G12" s="91"/>
      <c r="H12" s="91"/>
      <c r="I12" s="91"/>
      <c r="J12" s="91"/>
      <c r="K12" s="91"/>
      <c r="L12" s="91"/>
      <c r="M12" s="91"/>
      <c r="N12" s="91"/>
      <c r="O12" s="91"/>
      <c r="P12" s="91"/>
      <c r="Q12" s="91"/>
      <c r="R12" s="84"/>
    </row>
    <row r="13" customFormat="false" ht="16.5" hidden="true" customHeight="true" outlineLevel="0" collapsed="false">
      <c r="B13" s="84"/>
      <c r="C13" s="93"/>
      <c r="D13" s="94" t="s">
        <v>26</v>
      </c>
      <c r="E13" s="91"/>
      <c r="F13" s="91"/>
      <c r="G13" s="91"/>
      <c r="H13" s="91"/>
      <c r="I13" s="91"/>
      <c r="J13" s="91"/>
      <c r="K13" s="91"/>
      <c r="L13" s="91"/>
      <c r="M13" s="91"/>
      <c r="N13" s="91"/>
      <c r="O13" s="91"/>
      <c r="P13" s="91"/>
      <c r="Q13" s="91"/>
      <c r="R13" s="84"/>
    </row>
    <row r="14" customFormat="false" ht="16.5" hidden="true" customHeight="true" outlineLevel="0" collapsed="false">
      <c r="B14" s="84"/>
      <c r="C14" s="93"/>
      <c r="D14" s="94" t="s">
        <v>38</v>
      </c>
      <c r="E14" s="91"/>
      <c r="F14" s="91"/>
      <c r="G14" s="91"/>
      <c r="H14" s="91"/>
      <c r="I14" s="91"/>
      <c r="J14" s="91"/>
      <c r="K14" s="91"/>
      <c r="L14" s="91"/>
      <c r="M14" s="91"/>
      <c r="N14" s="91"/>
      <c r="O14" s="91"/>
      <c r="P14" s="91"/>
      <c r="Q14" s="91"/>
      <c r="R14" s="84"/>
    </row>
    <row r="15" customFormat="false" ht="16.5" hidden="true" customHeight="true" outlineLevel="0" collapsed="false">
      <c r="B15" s="84"/>
      <c r="C15" s="93" t="n">
        <v>2018</v>
      </c>
      <c r="D15" s="94" t="s">
        <v>3</v>
      </c>
      <c r="E15" s="91"/>
      <c r="F15" s="91"/>
      <c r="G15" s="91"/>
      <c r="H15" s="91"/>
      <c r="I15" s="91"/>
      <c r="J15" s="91"/>
      <c r="K15" s="91"/>
      <c r="L15" s="91"/>
      <c r="M15" s="91"/>
      <c r="N15" s="91"/>
      <c r="O15" s="91"/>
      <c r="P15" s="91"/>
      <c r="Q15" s="91"/>
      <c r="R15" s="84"/>
    </row>
    <row r="16" customFormat="false" ht="16.5" hidden="true" customHeight="true" outlineLevel="0" collapsed="false">
      <c r="B16" s="84"/>
      <c r="C16" s="93"/>
      <c r="D16" s="94" t="s">
        <v>26</v>
      </c>
      <c r="E16" s="91"/>
      <c r="F16" s="91"/>
      <c r="G16" s="91"/>
      <c r="H16" s="91"/>
      <c r="I16" s="91"/>
      <c r="J16" s="91"/>
      <c r="K16" s="91"/>
      <c r="L16" s="91"/>
      <c r="M16" s="91"/>
      <c r="N16" s="91"/>
      <c r="O16" s="91"/>
      <c r="P16" s="91"/>
      <c r="Q16" s="91"/>
      <c r="R16" s="84"/>
    </row>
    <row r="17" customFormat="false" ht="16.5" hidden="true" customHeight="true" outlineLevel="0" collapsed="false">
      <c r="B17" s="84"/>
      <c r="C17" s="93"/>
      <c r="D17" s="94" t="s">
        <v>38</v>
      </c>
      <c r="E17" s="91"/>
      <c r="F17" s="91"/>
      <c r="G17" s="91"/>
      <c r="H17" s="91"/>
      <c r="I17" s="91"/>
      <c r="J17" s="91"/>
      <c r="K17" s="91"/>
      <c r="L17" s="91"/>
      <c r="M17" s="91"/>
      <c r="N17" s="91"/>
      <c r="O17" s="91"/>
      <c r="P17" s="91"/>
      <c r="Q17" s="91"/>
      <c r="R17" s="84"/>
    </row>
    <row r="18" customFormat="false" ht="16.5" hidden="true" customHeight="true" outlineLevel="0" collapsed="false">
      <c r="B18" s="84"/>
      <c r="C18" s="93" t="n">
        <v>2019</v>
      </c>
      <c r="D18" s="94" t="s">
        <v>3</v>
      </c>
      <c r="E18" s="91"/>
      <c r="F18" s="91"/>
      <c r="G18" s="91"/>
      <c r="H18" s="91"/>
      <c r="I18" s="91"/>
      <c r="J18" s="91"/>
      <c r="K18" s="91"/>
      <c r="L18" s="91"/>
      <c r="M18" s="91"/>
      <c r="N18" s="91"/>
      <c r="O18" s="91"/>
      <c r="P18" s="91"/>
      <c r="Q18" s="91"/>
      <c r="R18" s="84"/>
    </row>
    <row r="19" customFormat="false" ht="16.5" hidden="true" customHeight="true" outlineLevel="0" collapsed="false">
      <c r="B19" s="84"/>
      <c r="C19" s="93"/>
      <c r="D19" s="94" t="s">
        <v>26</v>
      </c>
      <c r="E19" s="91"/>
      <c r="F19" s="91"/>
      <c r="G19" s="91"/>
      <c r="H19" s="91"/>
      <c r="I19" s="91"/>
      <c r="J19" s="91"/>
      <c r="K19" s="91"/>
      <c r="L19" s="91"/>
      <c r="M19" s="91"/>
      <c r="N19" s="91"/>
      <c r="O19" s="91"/>
      <c r="P19" s="91"/>
      <c r="Q19" s="91"/>
      <c r="R19" s="84"/>
    </row>
    <row r="20" customFormat="false" ht="16.5" hidden="true" customHeight="true" outlineLevel="0" collapsed="false">
      <c r="B20" s="84"/>
      <c r="C20" s="93"/>
      <c r="D20" s="94" t="s">
        <v>38</v>
      </c>
      <c r="E20" s="91"/>
      <c r="F20" s="91"/>
      <c r="G20" s="91"/>
      <c r="H20" s="91"/>
      <c r="I20" s="91"/>
      <c r="J20" s="91"/>
      <c r="K20" s="91"/>
      <c r="L20" s="91"/>
      <c r="M20" s="91"/>
      <c r="N20" s="91"/>
      <c r="O20" s="91"/>
      <c r="P20" s="91"/>
      <c r="Q20" s="91"/>
      <c r="R20" s="84"/>
    </row>
    <row r="21" customFormat="false" ht="16.5" hidden="true" customHeight="true" outlineLevel="0" collapsed="false">
      <c r="B21" s="84"/>
      <c r="C21" s="93" t="n">
        <v>2020</v>
      </c>
      <c r="D21" s="94" t="s">
        <v>3</v>
      </c>
      <c r="E21" s="91"/>
      <c r="F21" s="91"/>
      <c r="G21" s="91"/>
      <c r="H21" s="91"/>
      <c r="I21" s="91"/>
      <c r="J21" s="91"/>
      <c r="K21" s="91"/>
      <c r="L21" s="91"/>
      <c r="M21" s="91"/>
      <c r="N21" s="91"/>
      <c r="O21" s="91"/>
      <c r="P21" s="91"/>
      <c r="Q21" s="91"/>
      <c r="R21" s="84"/>
    </row>
    <row r="22" customFormat="false" ht="16.5" hidden="true" customHeight="true" outlineLevel="0" collapsed="false">
      <c r="B22" s="84"/>
      <c r="C22" s="93"/>
      <c r="D22" s="94" t="s">
        <v>26</v>
      </c>
      <c r="E22" s="91"/>
      <c r="F22" s="91"/>
      <c r="G22" s="91"/>
      <c r="H22" s="91"/>
      <c r="I22" s="91"/>
      <c r="J22" s="91"/>
      <c r="K22" s="91"/>
      <c r="L22" s="91"/>
      <c r="M22" s="91"/>
      <c r="N22" s="91"/>
      <c r="O22" s="91"/>
      <c r="P22" s="91"/>
      <c r="Q22" s="91"/>
      <c r="R22" s="84"/>
    </row>
    <row r="23" customFormat="false" ht="16.5" hidden="true" customHeight="true" outlineLevel="0" collapsed="false">
      <c r="B23" s="84"/>
      <c r="C23" s="93"/>
      <c r="D23" s="94" t="s">
        <v>38</v>
      </c>
      <c r="E23" s="91"/>
      <c r="F23" s="91"/>
      <c r="G23" s="91"/>
      <c r="H23" s="91"/>
      <c r="I23" s="91"/>
      <c r="J23" s="91"/>
      <c r="K23" s="91"/>
      <c r="L23" s="91"/>
      <c r="M23" s="91"/>
      <c r="N23" s="91"/>
      <c r="O23" s="91"/>
      <c r="P23" s="91"/>
      <c r="Q23" s="91"/>
      <c r="R23" s="84"/>
    </row>
    <row r="24" customFormat="false" ht="16.5" hidden="true" customHeight="true" outlineLevel="0" collapsed="false">
      <c r="B24" s="84"/>
      <c r="C24" s="93" t="n">
        <v>2021</v>
      </c>
      <c r="D24" s="94" t="s">
        <v>3</v>
      </c>
      <c r="E24" s="91"/>
      <c r="F24" s="91"/>
      <c r="G24" s="91"/>
      <c r="H24" s="91"/>
      <c r="I24" s="91"/>
      <c r="J24" s="91"/>
      <c r="K24" s="91"/>
      <c r="L24" s="91"/>
      <c r="M24" s="91"/>
      <c r="N24" s="91"/>
      <c r="O24" s="91"/>
      <c r="P24" s="91"/>
      <c r="Q24" s="91"/>
      <c r="R24" s="84"/>
    </row>
    <row r="25" customFormat="false" ht="16.5" hidden="true" customHeight="true" outlineLevel="0" collapsed="false">
      <c r="B25" s="84"/>
      <c r="C25" s="93"/>
      <c r="D25" s="94" t="s">
        <v>26</v>
      </c>
      <c r="E25" s="91"/>
      <c r="F25" s="91"/>
      <c r="G25" s="91"/>
      <c r="H25" s="91"/>
      <c r="I25" s="91"/>
      <c r="J25" s="91"/>
      <c r="K25" s="91"/>
      <c r="L25" s="91"/>
      <c r="M25" s="91"/>
      <c r="N25" s="91"/>
      <c r="O25" s="91"/>
      <c r="P25" s="91"/>
      <c r="Q25" s="91"/>
      <c r="R25" s="84"/>
    </row>
    <row r="26" customFormat="false" ht="16.5" hidden="true" customHeight="true" outlineLevel="0" collapsed="false">
      <c r="B26" s="84"/>
      <c r="C26" s="93"/>
      <c r="D26" s="94" t="s">
        <v>38</v>
      </c>
      <c r="E26" s="91"/>
      <c r="F26" s="91"/>
      <c r="G26" s="91"/>
      <c r="H26" s="91"/>
      <c r="I26" s="91"/>
      <c r="J26" s="91"/>
      <c r="K26" s="91"/>
      <c r="L26" s="91"/>
      <c r="M26" s="91"/>
      <c r="N26" s="91"/>
      <c r="O26" s="91"/>
      <c r="P26" s="91"/>
      <c r="Q26" s="91"/>
      <c r="R26" s="84"/>
    </row>
    <row r="27" customFormat="false" ht="16.5" hidden="true" customHeight="true" outlineLevel="0" collapsed="false">
      <c r="B27" s="84"/>
      <c r="C27" s="93" t="n">
        <v>2022</v>
      </c>
      <c r="D27" s="94" t="s">
        <v>3</v>
      </c>
      <c r="E27" s="91"/>
      <c r="F27" s="91"/>
      <c r="G27" s="91"/>
      <c r="H27" s="91"/>
      <c r="I27" s="91"/>
      <c r="J27" s="91"/>
      <c r="K27" s="91"/>
      <c r="L27" s="91"/>
      <c r="M27" s="91"/>
      <c r="N27" s="91"/>
      <c r="O27" s="91"/>
      <c r="P27" s="91"/>
      <c r="Q27" s="91"/>
      <c r="R27" s="84"/>
    </row>
    <row r="28" customFormat="false" ht="16.5" hidden="true" customHeight="true" outlineLevel="0" collapsed="false">
      <c r="B28" s="84"/>
      <c r="C28" s="93"/>
      <c r="D28" s="94" t="s">
        <v>26</v>
      </c>
      <c r="E28" s="91"/>
      <c r="F28" s="91"/>
      <c r="G28" s="91"/>
      <c r="H28" s="91"/>
      <c r="I28" s="91"/>
      <c r="J28" s="91"/>
      <c r="K28" s="91"/>
      <c r="L28" s="91"/>
      <c r="M28" s="91"/>
      <c r="N28" s="91"/>
      <c r="O28" s="91"/>
      <c r="P28" s="91"/>
      <c r="Q28" s="91"/>
      <c r="R28" s="84"/>
    </row>
    <row r="29" customFormat="false" ht="16.5" hidden="true" customHeight="true" outlineLevel="0" collapsed="false">
      <c r="B29" s="84"/>
      <c r="C29" s="93"/>
      <c r="D29" s="94" t="s">
        <v>38</v>
      </c>
      <c r="E29" s="91"/>
      <c r="F29" s="91"/>
      <c r="G29" s="91"/>
      <c r="H29" s="91"/>
      <c r="I29" s="91"/>
      <c r="J29" s="91"/>
      <c r="K29" s="91"/>
      <c r="L29" s="91"/>
      <c r="M29" s="91"/>
      <c r="N29" s="91"/>
      <c r="O29" s="91"/>
      <c r="P29" s="91"/>
      <c r="Q29" s="91"/>
      <c r="R29" s="84"/>
    </row>
    <row r="30" customFormat="false" ht="16.5" hidden="false" customHeight="true" outlineLevel="0" collapsed="false">
      <c r="B30" s="84"/>
      <c r="C30" s="93" t="n">
        <v>2023</v>
      </c>
      <c r="D30" s="94" t="s">
        <v>3</v>
      </c>
      <c r="E30" s="91"/>
      <c r="F30" s="91"/>
      <c r="G30" s="91"/>
      <c r="H30" s="91"/>
      <c r="I30" s="91"/>
      <c r="J30" s="91"/>
      <c r="K30" s="91"/>
      <c r="L30" s="91"/>
      <c r="M30" s="91" t="n">
        <f aca="false">+'Datos ICP (2)'!AM77</f>
        <v>0</v>
      </c>
      <c r="N30" s="91" t="n">
        <f aca="false">+'Datos ICP (2)'!AN77</f>
        <v>0</v>
      </c>
      <c r="O30" s="91" t="n">
        <f aca="false">+'Datos ICP (2)'!AO77</f>
        <v>0.00752661431064561</v>
      </c>
      <c r="P30" s="91" t="n">
        <f aca="false">+'Datos ICP (2)'!AP77</f>
        <v>0.00708194994827327</v>
      </c>
      <c r="Q30" s="91" t="n">
        <f aca="false">+'Datos ICP (2)'!AQ77</f>
        <v>0.100882275530511</v>
      </c>
      <c r="R30" s="84"/>
    </row>
    <row r="31" customFormat="false" ht="16.5" hidden="false" customHeight="true" outlineLevel="0" collapsed="false">
      <c r="B31" s="84"/>
      <c r="C31" s="93"/>
      <c r="D31" s="94" t="s">
        <v>26</v>
      </c>
      <c r="E31" s="91"/>
      <c r="F31" s="91"/>
      <c r="G31" s="91"/>
      <c r="H31" s="91"/>
      <c r="I31" s="91"/>
      <c r="J31" s="91"/>
      <c r="K31" s="91"/>
      <c r="L31" s="91"/>
      <c r="M31" s="91" t="n">
        <f aca="false">+'Datos ICP (2)'!AM78</f>
        <v>0</v>
      </c>
      <c r="N31" s="91" t="n">
        <f aca="false">+'Datos ICP (2)'!AN78</f>
        <v>0</v>
      </c>
      <c r="O31" s="91" t="n">
        <f aca="false">+'Datos ICP (2)'!AO78</f>
        <v>0.00616956723192952</v>
      </c>
      <c r="P31" s="91" t="n">
        <f aca="false">+'Datos ICP (2)'!AP78</f>
        <v>0.00610155186395645</v>
      </c>
      <c r="Q31" s="91" t="n">
        <f aca="false">+'Datos ICP (2)'!AQ78</f>
        <v>0.0844938543904241</v>
      </c>
      <c r="R31" s="84"/>
    </row>
    <row r="32" customFormat="false" ht="16.5" hidden="false" customHeight="true" outlineLevel="0" collapsed="false">
      <c r="B32" s="84"/>
      <c r="C32" s="93"/>
      <c r="D32" s="94" t="s">
        <v>38</v>
      </c>
      <c r="E32" s="91"/>
      <c r="F32" s="91"/>
      <c r="G32" s="91"/>
      <c r="H32" s="91"/>
      <c r="I32" s="91"/>
      <c r="J32" s="91"/>
      <c r="K32" s="91"/>
      <c r="L32" s="91"/>
      <c r="M32" s="91" t="n">
        <f aca="false">+'Datos ICP (2)'!AM79</f>
        <v>0</v>
      </c>
      <c r="N32" s="91" t="n">
        <f aca="false">+'Datos ICP (2)'!AN79</f>
        <v>0</v>
      </c>
      <c r="O32" s="91" t="n">
        <f aca="false">+'Datos ICP (2)'!AO79</f>
        <v>0.00601450000000003</v>
      </c>
      <c r="P32" s="91" t="n">
        <f aca="false">+'Datos ICP (2)'!AP79</f>
        <v>0.0106517351390065</v>
      </c>
      <c r="Q32" s="91" t="n">
        <f aca="false">+'Datos ICP (2)'!AQ79</f>
        <v>0.100381800000001</v>
      </c>
      <c r="R32" s="84"/>
    </row>
    <row r="33" customFormat="false" ht="16.5" hidden="false" customHeight="true" outlineLevel="0" collapsed="false">
      <c r="B33" s="84"/>
      <c r="C33" s="93" t="n">
        <v>2024</v>
      </c>
      <c r="D33" s="94" t="s">
        <v>3</v>
      </c>
      <c r="E33" s="91" t="n">
        <f aca="false">+'Datos ICP (2)'!AE80</f>
        <v>0.00735722532416316</v>
      </c>
      <c r="F33" s="91" t="n">
        <f aca="false">+'Datos ICP (2)'!AF80</f>
        <v>0.00611213912063557</v>
      </c>
      <c r="G33" s="91" t="n">
        <f aca="false">+'Datos ICP (2)'!AG80</f>
        <v>0.00564735171406094</v>
      </c>
      <c r="H33" s="91" t="n">
        <f aca="false">+'Datos ICP (2)'!AH80</f>
        <v>0.00609278396182833</v>
      </c>
      <c r="I33" s="91" t="n">
        <f aca="false">+'Datos ICP (2)'!AI80</f>
        <v>0.00551411929031809</v>
      </c>
      <c r="J33" s="91" t="n">
        <f aca="false">+'Datos ICP (2)'!AJ80</f>
        <v>0.00461354906321554</v>
      </c>
      <c r="K33" s="91" t="n">
        <f aca="false">+'Datos ICP (2)'!AK80</f>
        <v>0.00528435035284347</v>
      </c>
      <c r="L33" s="91" t="n">
        <f aca="false">+'Datos ICP (2)'!AL80</f>
        <v>0.00480235203759283</v>
      </c>
      <c r="M33" s="91" t="n">
        <f aca="false">+'Datos ICP (2)'!AM80</f>
        <v>0.00478104349541386</v>
      </c>
      <c r="N33" s="91" t="n">
        <f aca="false">+'Datos ICP (2)'!AN80</f>
        <v>0.00451044051641847</v>
      </c>
      <c r="O33" s="91" t="n">
        <f aca="false">+'Datos ICP (2)'!AO80</f>
        <v>0.0043843255475724</v>
      </c>
      <c r="P33" s="91" t="n">
        <f aca="false">+'Datos ICP (2)'!AP80</f>
        <v>0.00444626417327787</v>
      </c>
      <c r="Q33" s="91" t="n">
        <f aca="false">+'Datos ICP (2)'!AQ80</f>
        <v>0.0654251259349719</v>
      </c>
      <c r="R33" s="84"/>
    </row>
    <row r="34" customFormat="false" ht="16.5" hidden="false" customHeight="true" outlineLevel="0" collapsed="false">
      <c r="B34" s="84"/>
      <c r="C34" s="93"/>
      <c r="D34" s="94" t="s">
        <v>26</v>
      </c>
      <c r="E34" s="91" t="n">
        <f aca="false">+'Datos ICP (2)'!AE81</f>
        <v>0.00587192975175177</v>
      </c>
      <c r="F34" s="91" t="n">
        <f aca="false">+'Datos ICP (2)'!AF81</f>
        <v>0.00508491077058904</v>
      </c>
      <c r="G34" s="91" t="n">
        <f aca="false">+'Datos ICP (2)'!AG81</f>
        <v>0.0044501495538698</v>
      </c>
      <c r="H34" s="91" t="n">
        <f aca="false">+'Datos ICP (2)'!AH81</f>
        <v>0.00472012403360989</v>
      </c>
      <c r="I34" s="91" t="n">
        <f aca="false">+'Datos ICP (2)'!AI81</f>
        <v>0.00416779685595303</v>
      </c>
      <c r="J34" s="91" t="n">
        <f aca="false">+'Datos ICP (2)'!AJ81</f>
        <v>0.00365019312776771</v>
      </c>
      <c r="K34" s="91" t="n">
        <f aca="false">+'Datos ICP (2)'!AK81</f>
        <v>0.00363412607508162</v>
      </c>
      <c r="L34" s="91" t="n">
        <f aca="false">+'Datos ICP (2)'!AL81</f>
        <v>0.00362766941593184</v>
      </c>
      <c r="M34" s="91" t="n">
        <f aca="false">+'Datos ICP (2)'!AM81</f>
        <v>0.0033754452875443</v>
      </c>
      <c r="N34" s="91" t="n">
        <f aca="false">+'Datos ICP (2)'!AN81</f>
        <v>0.00341081299567914</v>
      </c>
      <c r="O34" s="91" t="n">
        <f aca="false">+'Datos ICP (2)'!AO81</f>
        <v>0.00322037460491331</v>
      </c>
      <c r="P34" s="91" t="n">
        <f aca="false">+'Datos ICP (2)'!AP81</f>
        <v>0.003229855901979</v>
      </c>
      <c r="Q34" s="91" t="n">
        <f aca="false">+'Datos ICP (2)'!AQ81</f>
        <v>0.0495295629197707</v>
      </c>
      <c r="R34" s="84"/>
    </row>
    <row r="35" customFormat="false" ht="16.5" hidden="false" customHeight="true" outlineLevel="0" collapsed="false">
      <c r="B35" s="84"/>
      <c r="C35" s="93"/>
      <c r="D35" s="94" t="s">
        <v>38</v>
      </c>
      <c r="E35" s="91" t="n">
        <f aca="false">+'Datos ICP (2)'!AE82</f>
        <v>0.00806546239450112</v>
      </c>
      <c r="F35" s="91" t="n">
        <f aca="false">+'Datos ICP (2)'!AF82</f>
        <v>0.00671772247626135</v>
      </c>
      <c r="G35" s="91" t="n">
        <f aca="false">+'Datos ICP (2)'!AG82</f>
        <v>0.00666649932415275</v>
      </c>
      <c r="H35" s="91" t="n">
        <f aca="false">+'Datos ICP (2)'!AH82</f>
        <v>0.00676387522991595</v>
      </c>
      <c r="I35" s="91" t="n">
        <f aca="false">+'Datos ICP (2)'!AI82</f>
        <v>0.00633486914901971</v>
      </c>
      <c r="J35" s="91" t="n">
        <f aca="false">+'Datos ICP (2)'!AJ82</f>
        <v>0.00517938705629328</v>
      </c>
      <c r="K35" s="91" t="n">
        <f aca="false">+'Datos ICP (2)'!AK82</f>
        <v>0.00484488914724612</v>
      </c>
      <c r="L35" s="91" t="n">
        <f aca="false">+'Datos ICP (2)'!AL82</f>
        <v>0.00501382982726817</v>
      </c>
      <c r="M35" s="91" t="n">
        <f aca="false">+'Datos ICP (2)'!AM82</f>
        <v>0.00501661924796037</v>
      </c>
      <c r="N35" s="91" t="n">
        <f aca="false">+'Datos ICP (2)'!AN82</f>
        <v>0.00458891757822655</v>
      </c>
      <c r="O35" s="91" t="n">
        <f aca="false">+'Datos ICP (2)'!AO82</f>
        <v>0.00512398763137023</v>
      </c>
      <c r="P35" s="91" t="n">
        <f aca="false">+'Datos ICP (2)'!AP82</f>
        <v>0.00434421887911518</v>
      </c>
      <c r="Q35" s="91" t="n">
        <f aca="false">+'Datos ICP (2)'!AQ82</f>
        <v>0.0708550733660638</v>
      </c>
      <c r="R35" s="84"/>
    </row>
    <row r="36" customFormat="false" ht="15" hidden="false" customHeight="false" outlineLevel="0" collapsed="false">
      <c r="C36" s="93" t="n">
        <v>2025</v>
      </c>
      <c r="D36" s="94" t="s">
        <v>3</v>
      </c>
      <c r="E36" s="91" t="n">
        <f aca="false">+'Datos ICP (2)'!AE83</f>
        <v>0.00445443017437541</v>
      </c>
      <c r="F36" s="91" t="n">
        <f aca="false">+'Datos ICP (2)'!AF83</f>
        <v>0.00389626305099444</v>
      </c>
      <c r="G36" s="91" t="n">
        <f aca="false">+'Datos ICP (2)'!AG83</f>
        <v>0.0043138020854181</v>
      </c>
      <c r="H36" s="91" t="n">
        <f aca="false">+'Datos ICP (2)'!AH83</f>
        <v>0.00417571644342774</v>
      </c>
      <c r="I36" s="91" t="n">
        <f aca="false">+'Datos ICP (2)'!AI83</f>
        <v>0.00417422694650416</v>
      </c>
      <c r="J36" s="91" t="n">
        <f aca="false">+'Datos ICP (2)'!AJ83</f>
        <v>0.00431456613652492</v>
      </c>
      <c r="K36" s="91" t="n">
        <f aca="false">+'Datos ICP (2)'!AK83</f>
        <v>0.00430626208344687</v>
      </c>
      <c r="L36" s="91" t="n">
        <f aca="false">+'Datos ICP (2)'!AL83</f>
        <v>0.00383327468941586</v>
      </c>
      <c r="M36" s="91" t="n">
        <f aca="false">+'Datos ICP (2)'!AM83</f>
        <v>0.00423004876441735</v>
      </c>
      <c r="N36" s="91" t="n">
        <f aca="false">+'Datos ICP (2)'!AN83</f>
        <v>0.00396619021077105</v>
      </c>
      <c r="O36" s="91" t="n">
        <f aca="false">+'Datos ICP (2)'!AO83</f>
        <v>0.00383243965233548</v>
      </c>
      <c r="P36" s="91" t="n">
        <f aca="false">+'Datos ICP (2)'!AP83</f>
        <v>0.00413946203577598</v>
      </c>
      <c r="Q36" s="91" t="n">
        <f aca="false">+'Datos ICP (2)'!AQ83</f>
        <v>0.0461215166375695</v>
      </c>
    </row>
    <row r="37" customFormat="false" ht="15" hidden="false" customHeight="false" outlineLevel="0" collapsed="false">
      <c r="C37" s="93"/>
      <c r="D37" s="94" t="s">
        <v>26</v>
      </c>
      <c r="E37" s="91" t="n">
        <f aca="false">+'Datos ICP (2)'!AE84</f>
        <v>0.00302021033404665</v>
      </c>
      <c r="F37" s="91" t="n">
        <f aca="false">+'Datos ICP (2)'!AF84</f>
        <v>0.00276213771028111</v>
      </c>
      <c r="G37" s="91" t="n">
        <f aca="false">+'Datos ICP (2)'!AG84</f>
        <v>0.00306282692323312</v>
      </c>
      <c r="H37" s="91" t="n">
        <f aca="false">+'Datos ICP (2)'!AH84</f>
        <v>0.00297594968581905</v>
      </c>
      <c r="I37" s="91" t="n">
        <f aca="false">+'Datos ICP (2)'!AI84</f>
        <v>0.00308976252279503</v>
      </c>
      <c r="J37" s="91" t="n">
        <f aca="false">+'Datos ICP (2)'!AJ84</f>
        <v>0.00299705245742721</v>
      </c>
      <c r="K37" s="91" t="n">
        <f aca="false">+'Datos ICP (2)'!AK84</f>
        <v>0.00295054952791363</v>
      </c>
      <c r="L37" s="91" t="n">
        <f aca="false">+'Datos ICP (2)'!AL84</f>
        <v>0.00300054219083834</v>
      </c>
      <c r="M37" s="91" t="n">
        <f aca="false">+'Datos ICP (2)'!AM84</f>
        <v>0.00276161496613736</v>
      </c>
      <c r="N37" s="91" t="n">
        <f aca="false">+'Datos ICP (2)'!AN84</f>
        <v>0.00286519472447866</v>
      </c>
      <c r="O37" s="91" t="n">
        <f aca="false">+'Datos ICP (2)'!AO84</f>
        <v>0.00279501576319907</v>
      </c>
      <c r="P37" s="91" t="n">
        <f aca="false">+'Datos ICP (2)'!AP84</f>
        <v>0.00283776649927603</v>
      </c>
      <c r="Q37" s="91" t="n">
        <f aca="false">+'Datos ICP (2)'!AQ84</f>
        <v>0.0325707862057447</v>
      </c>
    </row>
    <row r="38" customFormat="false" ht="15" hidden="false" customHeight="false" outlineLevel="0" collapsed="false">
      <c r="C38" s="93"/>
      <c r="D38" s="94" t="s">
        <v>38</v>
      </c>
      <c r="E38" s="91" t="n">
        <f aca="false">+'Datos ICP (2)'!AE85</f>
        <v>0.00390155577280371</v>
      </c>
      <c r="F38" s="91" t="n">
        <f aca="false">+'Datos ICP (2)'!AF85</f>
        <v>0.00430550730742296</v>
      </c>
      <c r="G38" s="91" t="n">
        <f aca="false">+'Datos ICP (2)'!AG85</f>
        <v>0.00492755606209827</v>
      </c>
      <c r="H38" s="91" t="n">
        <f aca="false">+'Datos ICP (2)'!AH85</f>
        <v>0.00511669572630247</v>
      </c>
      <c r="I38" s="91" t="n">
        <f aca="false">+'Datos ICP (2)'!AI85</f>
        <v>0.00581108106201933</v>
      </c>
      <c r="J38" s="91" t="n">
        <f aca="false">+'Datos ICP (2)'!AJ85</f>
        <v>0.00573267335078054</v>
      </c>
      <c r="K38" s="91" t="n">
        <f aca="false">+'Datos ICP (2)'!AK85</f>
        <v>0.00546257154641183</v>
      </c>
      <c r="L38" s="91" t="n">
        <f aca="false">+'Datos ICP (2)'!AL85</f>
        <v>0.00570370071510173</v>
      </c>
      <c r="M38" s="91" t="n">
        <f aca="false">+'Datos ICP (2)'!AM85</f>
        <v>0.0058239751262108</v>
      </c>
      <c r="N38" s="91" t="n">
        <f aca="false">+'Datos ICP (2)'!AN85</f>
        <v>0.00653676013728166</v>
      </c>
      <c r="O38" s="91" t="n">
        <f aca="false">+'Datos ICP (2)'!AO85</f>
        <v>0.00609177798087179</v>
      </c>
      <c r="P38" s="91" t="n">
        <f aca="false">+'Datos ICP (2)'!AP85</f>
        <v>0.005732013770406</v>
      </c>
      <c r="Q38" s="91" t="n">
        <f aca="false">+'Datos ICP (2)'!AQ85</f>
        <v>0.0629761412133203</v>
      </c>
    </row>
    <row r="39" customFormat="false" ht="15" hidden="false" customHeight="false" outlineLevel="0" collapsed="false">
      <c r="C39" s="93" t="n">
        <v>2026</v>
      </c>
      <c r="D39" s="94" t="s">
        <v>3</v>
      </c>
      <c r="E39" s="91" t="n">
        <f aca="false">+'Datos ICP (2)'!AE86</f>
        <v>0.00388234363273376</v>
      </c>
      <c r="F39" s="91" t="n">
        <f aca="false">+'Datos ICP (2)'!AF86</f>
        <v>0.00363126461056962</v>
      </c>
      <c r="G39" s="91" t="n">
        <f aca="false">+'Datos ICP (2)'!AG86</f>
        <v>0.0038819280865483</v>
      </c>
      <c r="H39" s="91" t="n">
        <f aca="false">+'Datos ICP (2)'!AH86</f>
        <v>-0.243672722859896</v>
      </c>
      <c r="I39" s="91"/>
      <c r="J39" s="91"/>
      <c r="K39" s="91"/>
      <c r="L39" s="91"/>
      <c r="M39" s="91"/>
      <c r="N39" s="91"/>
      <c r="O39" s="91"/>
      <c r="P39" s="91"/>
      <c r="Q39" s="91" t="n">
        <f aca="false">+'Datos ICP (2)'!AQ86</f>
        <v>-0.71393888658704</v>
      </c>
    </row>
    <row r="40" customFormat="false" ht="15" hidden="false" customHeight="false" outlineLevel="0" collapsed="false">
      <c r="C40" s="93"/>
      <c r="D40" s="94" t="s">
        <v>26</v>
      </c>
      <c r="E40" s="91" t="n">
        <f aca="false">+'Datos ICP (2)'!AE87</f>
        <v>0.00272443815472734</v>
      </c>
      <c r="F40" s="91" t="n">
        <f aca="false">+'Datos ICP (2)'!AF87</f>
        <v>0.00244521636660222</v>
      </c>
      <c r="G40" s="91" t="n">
        <f aca="false">+'Datos ICP (2)'!AG87</f>
        <v>0.00268777625151762</v>
      </c>
      <c r="H40" s="91" t="n">
        <f aca="false">+'Datos ICP (2)'!AH87</f>
        <v>-1</v>
      </c>
      <c r="I40" s="91"/>
      <c r="J40" s="91"/>
      <c r="K40" s="91"/>
      <c r="L40" s="91"/>
      <c r="M40" s="91"/>
      <c r="N40" s="91"/>
      <c r="O40" s="91"/>
      <c r="P40" s="91"/>
      <c r="Q40" s="91" t="n">
        <f aca="false">+'Datos ICP (2)'!AQ87</f>
        <v>-3</v>
      </c>
    </row>
    <row r="41" customFormat="false" ht="15" hidden="false" customHeight="false" outlineLevel="0" collapsed="false">
      <c r="C41" s="93"/>
      <c r="D41" s="94" t="s">
        <v>38</v>
      </c>
      <c r="E41" s="91" t="n">
        <f aca="false">+'Datos ICP (2)'!AE88</f>
        <v>0.0055847005748062</v>
      </c>
      <c r="F41" s="91" t="n">
        <f aca="false">+'Datos ICP (2)'!AF88</f>
        <v>0.00557319975137394</v>
      </c>
      <c r="G41" s="91" t="n">
        <f aca="false">+'Datos ICP (2)'!AG88</f>
        <v>0.0059821111206444</v>
      </c>
      <c r="H41" s="91" t="n">
        <f aca="false">+'Datos ICP (2)'!AH88</f>
        <v>0.0056080100795266</v>
      </c>
      <c r="I41" s="91"/>
      <c r="J41" s="91"/>
      <c r="K41" s="91"/>
      <c r="L41" s="91"/>
      <c r="M41" s="91"/>
      <c r="N41" s="91"/>
      <c r="O41" s="91"/>
      <c r="P41" s="91"/>
      <c r="Q41" s="91" t="n">
        <f aca="false">+'Datos ICP (2)'!AQ88</f>
        <v>0.0517849491595523</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5" activeCellId="0" sqref="P5"/>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5"/>
      <c r="C1" s="96"/>
      <c r="J1" s="97" t="s">
        <v>49</v>
      </c>
      <c r="K1" s="95"/>
      <c r="L1" s="98"/>
      <c r="N1" s="97" t="s">
        <v>50</v>
      </c>
      <c r="O1" s="95"/>
      <c r="P1" s="98"/>
      <c r="R1" s="97" t="s">
        <v>51</v>
      </c>
      <c r="S1" s="95"/>
      <c r="T1" s="98"/>
    </row>
    <row r="2" customFormat="false" ht="15" hidden="false" customHeight="false" outlineLevel="0" collapsed="false">
      <c r="C2" s="96"/>
      <c r="O2" s="99" t="s">
        <v>52</v>
      </c>
      <c r="P2" s="100" t="n">
        <v>0</v>
      </c>
    </row>
    <row r="3" customFormat="false" ht="15" hidden="false" customHeight="false" outlineLevel="0" collapsed="false">
      <c r="C3" s="96"/>
      <c r="K3" s="99" t="s">
        <v>53</v>
      </c>
      <c r="L3" s="100" t="n">
        <v>0.0072</v>
      </c>
      <c r="O3" s="99" t="s">
        <v>54</v>
      </c>
      <c r="P3" s="100" t="n">
        <v>0</v>
      </c>
      <c r="S3" s="99" t="s">
        <v>55</v>
      </c>
      <c r="T3" s="100" t="n">
        <v>1</v>
      </c>
    </row>
    <row r="4" customFormat="false" ht="15" hidden="false" customHeight="false" outlineLevel="0" collapsed="false">
      <c r="C4" s="96"/>
      <c r="K4" s="99" t="s">
        <v>56</v>
      </c>
      <c r="L4" s="100" t="n">
        <v>0.9718</v>
      </c>
      <c r="O4" s="99" t="s">
        <v>57</v>
      </c>
      <c r="P4" s="100" t="n">
        <v>0</v>
      </c>
      <c r="S4" s="99" t="s">
        <v>58</v>
      </c>
      <c r="T4" s="100" t="n">
        <v>0</v>
      </c>
    </row>
    <row r="5" customFormat="false" ht="15" hidden="false" customHeight="false" outlineLevel="0" collapsed="false">
      <c r="A5" s="95"/>
      <c r="B5" s="95"/>
      <c r="C5" s="96"/>
      <c r="K5" s="99" t="s">
        <v>59</v>
      </c>
      <c r="L5" s="100" t="n">
        <v>0.021</v>
      </c>
      <c r="O5" s="99" t="s">
        <v>60</v>
      </c>
      <c r="P5" s="100" t="n">
        <v>0</v>
      </c>
    </row>
    <row r="6" customFormat="false" ht="15" hidden="false" customHeight="false" outlineLevel="0" collapsed="false">
      <c r="A6" s="95"/>
      <c r="B6" s="95"/>
      <c r="C6" s="96"/>
      <c r="K6" s="99" t="s">
        <v>61</v>
      </c>
      <c r="L6" s="100" t="n">
        <v>0</v>
      </c>
      <c r="O6" s="99" t="s">
        <v>62</v>
      </c>
      <c r="P6" s="100" t="n">
        <v>0.214</v>
      </c>
    </row>
    <row r="7" customFormat="false" ht="15" hidden="false" customHeight="false" outlineLevel="0" collapsed="false">
      <c r="B7" s="95"/>
      <c r="C7" s="96"/>
      <c r="L7" s="101" t="n">
        <f aca="false">SUM(L3:L6)</f>
        <v>1</v>
      </c>
      <c r="O7" s="99" t="s">
        <v>63</v>
      </c>
      <c r="P7" s="100" t="n">
        <v>0</v>
      </c>
      <c r="Q7" s="101"/>
    </row>
    <row r="8" customFormat="false" ht="15" hidden="false" customHeight="false" outlineLevel="0" collapsed="false">
      <c r="C8" s="96"/>
      <c r="O8" s="99" t="s">
        <v>64</v>
      </c>
      <c r="P8" s="100" t="n">
        <v>0.786</v>
      </c>
    </row>
    <row r="9" customFormat="false" ht="15" hidden="false" customHeight="false" outlineLevel="0" collapsed="false">
      <c r="C9" s="96"/>
      <c r="O9" s="99" t="s">
        <v>65</v>
      </c>
      <c r="P9" s="100" t="n">
        <v>0</v>
      </c>
    </row>
    <row r="10" customFormat="false" ht="15" hidden="false" customHeight="false" outlineLevel="0" collapsed="false">
      <c r="C10" s="96"/>
      <c r="O10" s="99" t="s">
        <v>66</v>
      </c>
      <c r="P10" s="100" t="n">
        <v>0</v>
      </c>
    </row>
    <row r="11" customFormat="false" ht="15" hidden="false" customHeight="false" outlineLevel="0" collapsed="false">
      <c r="C11" s="96"/>
      <c r="O11" s="99" t="s">
        <v>67</v>
      </c>
      <c r="P11" s="100" t="n">
        <v>0</v>
      </c>
    </row>
    <row r="12" customFormat="false" ht="15" hidden="true" customHeight="false" outlineLevel="0" collapsed="false">
      <c r="C12" s="96"/>
      <c r="O12" s="99"/>
      <c r="P12" s="100"/>
    </row>
    <row r="13" customFormat="false" ht="15" hidden="false" customHeight="false" outlineLevel="0" collapsed="false">
      <c r="C13" s="96"/>
      <c r="O13" s="99" t="s">
        <v>68</v>
      </c>
      <c r="P13" s="100" t="n">
        <v>0</v>
      </c>
    </row>
    <row r="14" customFormat="false" ht="15" hidden="true" customHeight="false" outlineLevel="0" collapsed="false">
      <c r="A14" s="95" t="s">
        <v>69</v>
      </c>
      <c r="B14" s="102" t="n">
        <v>0</v>
      </c>
      <c r="C14" s="96"/>
    </row>
    <row r="15" customFormat="false" ht="15" hidden="false" customHeight="false" outlineLevel="0" collapsed="false">
      <c r="A15" s="95"/>
      <c r="B15" s="102"/>
      <c r="C15" s="96"/>
      <c r="P15" s="101" t="n">
        <f aca="false">SUM(P2:P14)</f>
        <v>1</v>
      </c>
    </row>
    <row r="16" customFormat="false" ht="15" hidden="false" customHeight="false" outlineLevel="0" collapsed="false">
      <c r="B16" s="95"/>
      <c r="C16" s="96"/>
    </row>
    <row r="17" customFormat="false" ht="15" hidden="false" customHeight="false" outlineLevel="0" collapsed="false">
      <c r="C17" s="96"/>
    </row>
    <row r="18" customFormat="false" ht="15" hidden="false" customHeight="false" outlineLevel="0" collapsed="false">
      <c r="C18" s="96"/>
    </row>
    <row r="19" customFormat="false" ht="15" hidden="false" customHeight="false" outlineLevel="0" collapsed="false">
      <c r="C19" s="96"/>
    </row>
    <row r="20" customFormat="false" ht="15" hidden="false" customHeight="false" outlineLevel="0" collapsed="false">
      <c r="C20" s="96"/>
    </row>
    <row r="21" customFormat="false" ht="15" hidden="false" customHeight="false" outlineLevel="0" collapsed="false">
      <c r="C21" s="96"/>
      <c r="N21" s="103"/>
      <c r="O21" s="104"/>
    </row>
    <row r="22" customFormat="false" ht="15" hidden="false" customHeight="false" outlineLevel="0" collapsed="false">
      <c r="A22" s="96"/>
      <c r="B22" s="96"/>
      <c r="C22" s="96"/>
    </row>
    <row r="23" customFormat="false" ht="15" hidden="false" customHeight="false" outlineLevel="0" collapsed="false">
      <c r="A23" s="96"/>
      <c r="B23" s="96"/>
      <c r="C23" s="96"/>
    </row>
    <row r="24" customFormat="false" ht="15" hidden="false" customHeight="false" outlineLevel="0" collapsed="false">
      <c r="A24" s="96"/>
      <c r="B24" s="96"/>
      <c r="C24" s="96"/>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2026-05-19T14:22:12Z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