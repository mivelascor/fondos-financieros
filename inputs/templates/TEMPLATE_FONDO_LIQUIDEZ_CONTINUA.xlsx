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<sst xmlns="http://schemas.openxmlformats.org/spreadsheetml/2006/main" count="245" uniqueCount="70">
  <si>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</si>
  <si>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</si>
  <si>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</si>
  <si>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</si>
  <si>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</si>
  <si>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</si>
  <si>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</si>
  <si>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</si>
  <si>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</si>
  <si>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</si>
  <si>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</si>
  <si>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</si>
  <si>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</si>
  <si>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</si>
  <si>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</si>
  <si>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</si>
  <si>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</si>
  <si>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</si>
  <si>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</si>
  <si>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Continua</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</si>
  <si>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</si>
  <si>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</si>
  <si>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</si>
  <si>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</si>
  <si>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</si>
  <si>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</si>
  <si>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</si>
  <si>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Continua</t>
  </si>
  <si>
    <t xml:space="preserve">(*) Acum a Mar</t>
  </si>
  <si>
    <t xml:space="preserve">FONDO LIQUIDEZ Continua</t>
  </si>
  <si>
    <t xml:space="preserve">Continua</t>
  </si>
  <si>
    <t xml:space="preserve">Rentabilidad</t>
  </si>
  <si>
    <t xml:space="preserve">Mensual</t>
  </si>
  <si>
    <t xml:space="preserve">Trimestral</t>
  </si>
  <si>
    <t xml:space="preserve">Semestral</t>
  </si>
  <si>
    <t xml:space="preserve">Anual</t>
  </si>
  <si>
    <t xml:space="preserve">Acum. 2026&amp;</t>
  </si>
  <si>
    <t xml:space="preserve">ICP (Bechmark)</t>
  </si>
  <si>
    <t xml:space="preserve">FIP LIQUIDEZ Continua</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</si>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</sst>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4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b val="true"/>
      <sz val="11"/>
      <color theme="1"/>
      <name val="Aileron"/>
      <family val="3"/>
      <charset val="1"/>
    </font>
    <font>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4" fontId="0" fillId="7" borderId="2"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9" fontId="25" fillId="9"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tru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9" fontId="37"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41" fillId="10" borderId="0" xfId="0" applyFont="true" applyBorder="false" applyAlignment="false" applyProtection="false">
      <alignment horizontal="general" vertical="bottom" textRotation="0" wrapText="false" indent="0" shrinkToFit="false"/>
      <protection locked="true" hidden="false"/>
    </xf>
    <xf numFmtId="169" fontId="41" fillId="1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Continua</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44015415"/>
        <c:axId val="89563634"/>
      </c:lineChart>
      <c:dateAx>
        <c:axId val="44015415"/>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9563634"/>
        <c:crosses val="autoZero"/>
        <c:auto val="1"/>
        <c:lblOffset val="100"/>
        <c:baseTimeUnit val="months"/>
        <c:majorUnit val="6"/>
        <c:majorTimeUnit val="months"/>
        <c:minorUnit val="6"/>
        <c:minorTimeUnit val="months"/>
        <c:noMultiLvlLbl val="0"/>
      </c:dateAx>
      <c:valAx>
        <c:axId val="89563634"/>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4015415"/>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Continua</a:t>
            </a:r>
          </a:p>
        </c:rich>
      </c:tx>
      <c:overlay val="0"/>
      <c:spPr>
        <a:noFill/>
        <a:ln w="0">
          <a:noFill/>
        </a:ln>
      </c:spPr>
    </c:title>
    <c:autoTitleDeleted val="0"/>
    <c:plotArea>
      <c:lineChart>
        <c:grouping val="standard"/>
        <c:varyColors val="0"/>
        <c:ser>
          <c:idx val="0"/>
          <c:order val="0"/>
          <c:tx>
            <c:strRef>
              <c:f>"FIP Liquidez Continua"</c:f>
              <c:strCache>
                <c:ptCount val="1"/>
                <c:pt idx="0">
                  <c:v>FIP Liquidez Continua</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(2)'!$F$218:$F$244</c:f>
              <c:numCache>
                <c:formatCode>m/d/yyyy</c:formatCode>
                <c:ptCount val="27"/>
                <c:pt idx="0">
                  <c:v>9/30/2023</c:v>
                </c:pt>
                <c:pt idx="1">
                  <c:v>11/7/2023</c:v>
                </c:pt>
                <c:pt idx="2">
                  <c:v>11/30/2023</c:v>
                </c:pt>
                <c:pt idx="3">
                  <c:v>12/31/2023</c:v>
                </c:pt>
                <c:pt idx="4">
                  <c:v>1/31/2024</c:v>
                </c:pt>
                <c:pt idx="5">
                  <c:v>2/29/2024</c:v>
                </c:pt>
                <c:pt idx="6">
                  <c:v>3/28/2024</c:v>
                </c:pt>
                <c:pt idx="7">
                  <c:v>4/30/2024</c:v>
                </c:pt>
                <c:pt idx="8">
                  <c:v>5/31/2024</c:v>
                </c:pt>
                <c:pt idx="9">
                  <c:v>6/30/2024</c:v>
                </c:pt>
                <c:pt idx="10">
                  <c:v>7/31/2024</c:v>
                </c:pt>
                <c:pt idx="11">
                  <c:v>8/31/2024</c:v>
                </c:pt>
                <c:pt idx="12">
                  <c:v>9/30/2024</c:v>
                </c:pt>
                <c:pt idx="13">
                  <c:v>10/31/2024</c:v>
                </c:pt>
                <c:pt idx="14">
                  <c:v>11/30/2024</c:v>
                </c:pt>
                <c:pt idx="15">
                  <c:v>12/31/2024</c:v>
                </c:pt>
                <c:pt idx="16">
                  <c:v>1/31/2025</c:v>
                </c:pt>
                <c:pt idx="17">
                  <c:v>2/28/2025</c:v>
                </c:pt>
                <c:pt idx="18">
                  <c:v>3/31/2025</c:v>
                </c:pt>
                <c:pt idx="19">
                  <c:v>4/30/2025</c:v>
                </c:pt>
                <c:pt idx="20">
                  <c:v>5/31/2025</c:v>
                </c:pt>
                <c:pt idx="21">
                  <c:v>6/30/2025</c:v>
                </c:pt>
                <c:pt idx="22">
                  <c:v>7/31/2025</c:v>
                </c:pt>
                <c:pt idx="23">
                  <c:v>8/31/2025</c:v>
                </c:pt>
                <c:pt idx="24">
                  <c:v>9/30/2025</c:v>
                </c:pt>
                <c:pt idx="25">
                  <c:v>10/31/2025</c:v>
                </c:pt>
                <c:pt idx="26">
                  <c:v>11/30/2025</c:v>
                </c:pt>
              </c:numCache>
            </c:numRef>
          </c:cat>
          <c:val>
            <c:numRef>
              <c:f>'Datos ICP (2)'!$J$218:$J$244</c:f>
              <c:numCache>
                <c:formatCode>#,##0.00</c:formatCode>
                <c:ptCount val="27"/>
                <c:pt idx="1">
                  <c:v>100</c:v>
                </c:pt>
                <c:pt idx="2">
                  <c:v>100.7845</c:v>
                </c:pt>
                <c:pt idx="3">
                  <c:v>101.823399806565</c:v>
                </c:pt>
                <c:pt idx="4">
                  <c:v>102.618160582714</c:v>
                </c:pt>
                <c:pt idx="5">
                  <c:v>103.331291952182</c:v>
                </c:pt>
                <c:pt idx="6">
                  <c:v>104.069354082142</c:v>
                </c:pt>
                <c:pt idx="7">
                  <c:v>104.709274196932</c:v>
                </c:pt>
                <c:pt idx="8">
                  <c:v>105.351196342797</c:v>
                </c:pt>
                <c:pt idx="9">
                  <c:v>105.8968509655</c:v>
                </c:pt>
                <c:pt idx="10">
                  <c:v>106.393359195148</c:v>
                </c:pt>
                <c:pt idx="11">
                  <c:v>106.909589709106</c:v>
                </c:pt>
                <c:pt idx="12">
                  <c:v>107.445914414632</c:v>
                </c:pt>
                <c:pt idx="13">
                  <c:v>107.923069684341</c:v>
                </c:pt>
                <c:pt idx="14">
                  <c:v>108.476066158543</c:v>
                </c:pt>
                <c:pt idx="15">
                  <c:v>108.932108520999</c:v>
                </c:pt>
                <c:pt idx="16">
                  <c:v>109.343403388912</c:v>
                </c:pt>
                <c:pt idx="17">
                  <c:v>109.847809269958</c:v>
                </c:pt>
                <c:pt idx="18">
                  <c:v>110.371629823323</c:v>
                </c:pt>
                <c:pt idx="19">
                  <c:v>110.936367869945</c:v>
                </c:pt>
                <c:pt idx="20">
                  <c:v>111.560232605188</c:v>
                </c:pt>
                <c:pt idx="21">
                  <c:v>112.199770977651</c:v>
                </c:pt>
                <c:pt idx="22">
                  <c:v>112.792899309705</c:v>
                </c:pt>
                <c:pt idx="23">
                  <c:v>113.415483445626</c:v>
                </c:pt>
                <c:pt idx="24">
                  <c:v>114.07601240014</c:v>
                </c:pt>
                <c:pt idx="25">
                  <c:v>114.797645494151</c:v>
                </c:pt>
                <c:pt idx="26">
                  <c:v>115.496967263228</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(2)'!$F$218:$F$244</c:f>
              <c:numCache>
                <c:formatCode>m/d/yyyy</c:formatCode>
                <c:ptCount val="27"/>
                <c:pt idx="0">
                  <c:v>9/30/2023</c:v>
                </c:pt>
                <c:pt idx="1">
                  <c:v>11/7/2023</c:v>
                </c:pt>
                <c:pt idx="2">
                  <c:v>11/30/2023</c:v>
                </c:pt>
                <c:pt idx="3">
                  <c:v>12/31/2023</c:v>
                </c:pt>
                <c:pt idx="4">
                  <c:v>1/31/2024</c:v>
                </c:pt>
                <c:pt idx="5">
                  <c:v>2/29/2024</c:v>
                </c:pt>
                <c:pt idx="6">
                  <c:v>3/28/2024</c:v>
                </c:pt>
                <c:pt idx="7">
                  <c:v>4/30/2024</c:v>
                </c:pt>
                <c:pt idx="8">
                  <c:v>5/31/2024</c:v>
                </c:pt>
                <c:pt idx="9">
                  <c:v>6/30/2024</c:v>
                </c:pt>
                <c:pt idx="10">
                  <c:v>7/31/2024</c:v>
                </c:pt>
                <c:pt idx="11">
                  <c:v>8/31/2024</c:v>
                </c:pt>
                <c:pt idx="12">
                  <c:v>9/30/2024</c:v>
                </c:pt>
                <c:pt idx="13">
                  <c:v>10/31/2024</c:v>
                </c:pt>
                <c:pt idx="14">
                  <c:v>11/30/2024</c:v>
                </c:pt>
                <c:pt idx="15">
                  <c:v>12/31/2024</c:v>
                </c:pt>
                <c:pt idx="16">
                  <c:v>1/31/2025</c:v>
                </c:pt>
                <c:pt idx="17">
                  <c:v>2/28/2025</c:v>
                </c:pt>
                <c:pt idx="18">
                  <c:v>3/31/2025</c:v>
                </c:pt>
                <c:pt idx="19">
                  <c:v>4/30/2025</c:v>
                </c:pt>
                <c:pt idx="20">
                  <c:v>5/31/2025</c:v>
                </c:pt>
                <c:pt idx="21">
                  <c:v>6/30/2025</c:v>
                </c:pt>
                <c:pt idx="22">
                  <c:v>7/31/2025</c:v>
                </c:pt>
                <c:pt idx="23">
                  <c:v>8/31/2025</c:v>
                </c:pt>
                <c:pt idx="24">
                  <c:v>9/30/2025</c:v>
                </c:pt>
                <c:pt idx="25">
                  <c:v>10/31/2025</c:v>
                </c:pt>
                <c:pt idx="26">
                  <c:v>11/30/2025</c:v>
                </c:pt>
              </c:numCache>
            </c:numRef>
          </c:cat>
          <c:val>
            <c:numRef>
              <c:f>'Datos ICP (2)'!$M$218:$M$244</c:f>
              <c:numCache>
                <c:formatCode>0.00</c:formatCode>
                <c:ptCount val="27"/>
                <c:pt idx="0">
                  <c:v>100</c:v>
                </c:pt>
                <c:pt idx="1">
                  <c:v>100.527061961256</c:v>
                </c:pt>
                <c:pt idx="2">
                  <c:v>101.147270428655</c:v>
                </c:pt>
                <c:pt idx="3">
                  <c:v>101.744517509059</c:v>
                </c:pt>
                <c:pt idx="4">
                  <c:v>102.322682018194</c:v>
                </c:pt>
                <c:pt idx="5">
                  <c:v>102.860925164266</c:v>
                </c:pt>
                <c:pt idx="6">
                  <c:v>103.351367843084</c:v>
                </c:pt>
                <c:pt idx="7">
                  <c:v>103.794850820596</c:v>
                </c:pt>
                <c:pt idx="8">
                  <c:v>104.213491968577</c:v>
                </c:pt>
                <c:pt idx="9">
                  <c:v>104.593891340782</c:v>
                </c:pt>
                <c:pt idx="10">
                  <c:v>104.961737199958</c:v>
                </c:pt>
                <c:pt idx="11">
                  <c:v>105.330220894039</c:v>
                </c:pt>
                <c:pt idx="12">
                  <c:v>105.685757291792</c:v>
                </c:pt>
                <c:pt idx="13">
                  <c:v>106.034603441239</c:v>
                </c:pt>
                <c:pt idx="14">
                  <c:v>106.376074585403</c:v>
                </c:pt>
                <c:pt idx="15">
                  <c:v>106.708570771528</c:v>
                </c:pt>
                <c:pt idx="16">
                  <c:v>107.020456895569</c:v>
                </c:pt>
                <c:pt idx="17">
                  <c:v>107.337176795315</c:v>
                </c:pt>
                <c:pt idx="18">
                  <c:v>107.655326983979</c:v>
                </c:pt>
                <c:pt idx="19">
                  <c:v>107.975703820493</c:v>
                </c:pt>
                <c:pt idx="20">
                  <c:v>108.298561191174</c:v>
                </c:pt>
                <c:pt idx="21">
                  <c:v>108.623137660128</c:v>
                </c:pt>
                <c:pt idx="22">
                  <c:v>108.933296964203</c:v>
                </c:pt>
                <c:pt idx="23">
                  <c:v>109.24961208052</c:v>
                </c:pt>
                <c:pt idx="24">
                  <c:v>109.551317444286</c:v>
                </c:pt>
                <c:pt idx="25">
                  <c:v>109.855077950868</c:v>
                </c:pt>
                <c:pt idx="26">
                  <c:v>110.162124625408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(2)'!$F$218:$F$244</c:f>
              <c:numCache>
                <c:formatCode>m/d/yyyy</c:formatCode>
                <c:ptCount val="27"/>
                <c:pt idx="0">
                  <c:v>9/30/2023</c:v>
                </c:pt>
                <c:pt idx="1">
                  <c:v>11/7/2023</c:v>
                </c:pt>
                <c:pt idx="2">
                  <c:v>11/30/2023</c:v>
                </c:pt>
                <c:pt idx="3">
                  <c:v>12/31/2023</c:v>
                </c:pt>
                <c:pt idx="4">
                  <c:v>1/31/2024</c:v>
                </c:pt>
                <c:pt idx="5">
                  <c:v>2/29/2024</c:v>
                </c:pt>
                <c:pt idx="6">
                  <c:v>3/28/2024</c:v>
                </c:pt>
                <c:pt idx="7">
                  <c:v>4/30/2024</c:v>
                </c:pt>
                <c:pt idx="8">
                  <c:v>5/31/2024</c:v>
                </c:pt>
                <c:pt idx="9">
                  <c:v>6/30/2024</c:v>
                </c:pt>
                <c:pt idx="10">
                  <c:v>7/31/2024</c:v>
                </c:pt>
                <c:pt idx="11">
                  <c:v>8/31/2024</c:v>
                </c:pt>
                <c:pt idx="12">
                  <c:v>9/30/2024</c:v>
                </c:pt>
                <c:pt idx="13">
                  <c:v>10/31/2024</c:v>
                </c:pt>
                <c:pt idx="14">
                  <c:v>11/30/2024</c:v>
                </c:pt>
                <c:pt idx="15">
                  <c:v>12/31/2024</c:v>
                </c:pt>
                <c:pt idx="16">
                  <c:v>1/31/2025</c:v>
                </c:pt>
                <c:pt idx="17">
                  <c:v>2/28/2025</c:v>
                </c:pt>
                <c:pt idx="18">
                  <c:v>3/31/2025</c:v>
                </c:pt>
                <c:pt idx="19">
                  <c:v>4/30/2025</c:v>
                </c:pt>
                <c:pt idx="20">
                  <c:v>5/31/2025</c:v>
                </c:pt>
                <c:pt idx="21">
                  <c:v>6/30/2025</c:v>
                </c:pt>
                <c:pt idx="22">
                  <c:v>7/31/2025</c:v>
                </c:pt>
                <c:pt idx="23">
                  <c:v>8/31/2025</c:v>
                </c:pt>
                <c:pt idx="24">
                  <c:v>9/30/2025</c:v>
                </c:pt>
                <c:pt idx="25">
                  <c:v>10/31/2025</c:v>
                </c:pt>
                <c:pt idx="26">
                  <c:v>11/30/2025</c:v>
                </c:pt>
              </c:numCache>
            </c:numRef>
          </c:cat>
          <c:val>
            <c:numRef>
              <c:f>'Datos ICP (2)'!$D$218:$D$244</c:f>
              <c:numCache>
                <c:formatCode>0.00</c:formatCode>
                <c:ptCount val="27"/>
                <c:pt idx="0">
                  <c:v>100</c:v>
                </c:pt>
                <c:pt idx="1">
                  <c:v>100.818724532663</c:v>
                </c:pt>
                <c:pt idx="2">
                  <c:v>101.577548187511</c:v>
                </c:pt>
                <c:pt idx="3">
                  <c:v>102.273709908929</c:v>
                </c:pt>
                <c:pt idx="4">
                  <c:v>103.001888033321</c:v>
                </c:pt>
                <c:pt idx="5">
                  <c:v>103.653158932646</c:v>
                </c:pt>
                <c:pt idx="6">
                  <c:v>104.280336623467</c:v>
                </c:pt>
                <c:pt idx="7">
                  <c:v>104.85793440757</c:v>
                </c:pt>
                <c:pt idx="8">
                  <c:v>105.41748198066</c:v>
                </c:pt>
                <c:pt idx="9">
                  <c:v>105.903830705899</c:v>
                </c:pt>
                <c:pt idx="10">
                  <c:v>106.445410975407</c:v>
                </c:pt>
                <c:pt idx="11">
                  <c:v>106.940109365365</c:v>
                </c:pt>
                <c:pt idx="12">
                  <c:v>107.451394679645</c:v>
                </c:pt>
                <c:pt idx="13">
                  <c:v>107.920413832008</c:v>
                </c:pt>
                <c:pt idx="14">
                  <c:v>108.393572059477</c:v>
                </c:pt>
                <c:pt idx="15">
                  <c:v>108.859971855665</c:v>
                </c:pt>
                <c:pt idx="16">
                  <c:v>109.329238768648</c:v>
                </c:pt>
                <c:pt idx="17">
                  <c:v>109.785641061585</c:v>
                </c:pt>
                <c:pt idx="18">
                  <c:v>110.243957378385</c:v>
                </c:pt>
                <c:pt idx="19">
                  <c:v>110.704304883999</c:v>
                </c:pt>
                <c:pt idx="20">
                  <c:v>111.151503167103</c:v>
                </c:pt>
                <c:pt idx="21">
                  <c:v>111.631073678691</c:v>
                </c:pt>
                <c:pt idx="22">
                  <c:v>112.096279478611</c:v>
                </c:pt>
                <c:pt idx="23">
                  <c:v>112.512114153679</c:v>
                </c:pt>
                <c:pt idx="24">
                  <c:v>112.988045883136</c:v>
                </c:pt>
                <c:pt idx="25">
                  <c:v>113.421722091055</c:v>
                </c:pt>
                <c:pt idx="26">
                  <c:v>113.856403996233</c:v>
                </c:pt>
              </c:numCache>
            </c:numRef>
          </c:val>
          <c:smooth val="0"/>
        </c:ser>
        <c:hiLowLines>
          <c:spPr>
            <a:ln w="0">
              <a:noFill/>
            </a:ln>
          </c:spPr>
        </c:hiLowLines>
        <c:marker val="1"/>
        <c:axId val="17978744"/>
        <c:axId val="2212500"/>
      </c:lineChart>
      <c:dateAx>
        <c:axId val="17978744"/>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212500"/>
        <c:auto val="1"/>
        <c:lblOffset val="100"/>
        <c:baseTimeUnit val="days"/>
        <c:noMultiLvlLbl val="0"/>
      </c:dateAx>
      <c:valAx>
        <c:axId val="2212500"/>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17978744"/>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0.0072</c:v>
                </c:pt>
                <c:pt idx="1">
                  <c:v>0.9718</c:v>
                </c:pt>
                <c:pt idx="2">
                  <c:v>0.021</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0.214</c:v>
                </c:pt>
                <c:pt idx="4">
                  <c:v>0</c:v>
                </c:pt>
                <c:pt idx="5">
                  <c:v>0.786</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177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1039680</xdr:colOff>
      <xdr:row>266</xdr:row>
      <xdr:rowOff>5400</xdr:rowOff>
    </xdr:from>
    <xdr:to>
      <xdr:col>11</xdr:col>
      <xdr:colOff>505800</xdr:colOff>
      <xdr:row>294</xdr:row>
      <xdr:rowOff>127440</xdr:rowOff>
    </xdr:to>
    <xdr:graphicFrame>
      <xdr:nvGraphicFramePr>
        <xdr:cNvPr id="1" name="Chart 2"/>
        <xdr:cNvGraphicFramePr/>
      </xdr:nvGraphicFramePr>
      <xdr:xfrm>
        <a:off x="2328840" y="50763960"/>
        <a:ext cx="9405000" cy="5456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J1" colorId="64" zoomScale="132" zoomScaleNormal="132"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P18" s="20" t="n">
        <f aca="false">+B186</f>
        <v>18982.04</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+(AA20/P20-1)/COUNTA(AE19:AP19)*12</f>
        <v>0.100882275530511</v>
      </c>
      <c r="AR19" s="26"/>
      <c r="AS19" s="9"/>
      <c r="AV19" s="30" t="s">
        <v>25</v>
      </c>
      <c r="AW19" s="31" t="n">
        <v>46142</v>
      </c>
      <c r="AX19" s="32" t="n">
        <f aca="false">EOMONTH($AW19,AX18)+6+1</f>
        <v>46119</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19635.3400812264</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-0.254362857499898</v>
      </c>
      <c r="AI22" s="9"/>
      <c r="AJ22" s="9"/>
      <c r="AK22" s="9"/>
      <c r="AL22" s="9"/>
      <c r="AM22" s="9"/>
      <c r="AN22" s="9"/>
      <c r="AO22" s="9"/>
      <c r="AP22" s="9"/>
      <c r="AQ22" s="23" t="n">
        <f aca="false">+(S23/P23-1)/COUNTA(AE22:AP22)*12</f>
        <v>-0.746250693705866</v>
      </c>
      <c r="AV22" s="28" t="s">
        <v>27</v>
      </c>
      <c r="AW22" s="33" t="n">
        <f aca="false">LOOKUP(AW19,$F$2:$F$2972,$H$2:$H$2972)</f>
        <v>1188.5089</v>
      </c>
      <c r="AX22" s="33" t="n">
        <f aca="false">LOOKUP(AX19,$F$2:$F$2972,$H$2:$H$2972)</f>
        <v>1181.8809</v>
      </c>
      <c r="AY22" s="33" t="n">
        <f aca="false">LOOKUP(AY19,$F$2:$F$2972,$H$2:$H$2972)</f>
        <v>1168.3414</v>
      </c>
      <c r="AZ22" s="33" t="n">
        <f aca="false">LOOKUP(AZ19,$F$2:$F$2972,$H$2:$H$2972)</f>
        <v>1148.2362</v>
      </c>
      <c r="BA22" s="33" t="n">
        <f aca="false">LOOKUP(BA19,$F$2:$F$2972,$H$2:$H$2972)</f>
        <v>1108.7782</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19635.3400812264</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-0.254362857499898</v>
      </c>
      <c r="AY29" s="43" t="n">
        <f aca="false">$AW20/AY20-1</f>
        <v>-0.248750231235289</v>
      </c>
      <c r="AZ29" s="43" t="n">
        <f aca="false">$AW20/AZ20-1</f>
        <v>-0.239809516977627</v>
      </c>
      <c r="BA29" s="43" t="n">
        <f aca="false">$AW20/BA20-1</f>
        <v>-0.220741912237796</v>
      </c>
      <c r="BB29" s="43" t="n">
        <f aca="false">+AQ86</f>
        <v>-0.746250693705866</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0.0056080100795266</v>
      </c>
      <c r="AY31" s="43" t="n">
        <f aca="false">$AW22/AY22-1</f>
        <v>0.0172616497198508</v>
      </c>
      <c r="AZ31" s="43" t="n">
        <f aca="false">$AW22/AZ22-1</f>
        <v>0.0350735327801022</v>
      </c>
      <c r="BA31" s="43" t="n">
        <f aca="false">$AW22/BA22-1</f>
        <v>0.0719086107573184</v>
      </c>
      <c r="BB31" s="43" t="n">
        <f aca="false">+AQ88</f>
        <v>0.0517849491595523</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0</v>
      </c>
      <c r="X34" s="20" t="n">
        <f aca="false">+H218</f>
        <v>0</v>
      </c>
      <c r="Y34" s="20" t="n">
        <f aca="false">+H219</f>
        <v>1000</v>
      </c>
      <c r="Z34" s="20" t="n">
        <f aca="false">+H220</f>
        <v>1006.0145</v>
      </c>
      <c r="AA34" s="20" t="n">
        <f aca="false">+H221</f>
        <v>1016.7303</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1024.9307</v>
      </c>
      <c r="Q35" s="20" t="n">
        <f aca="false">+H223</f>
        <v>1031.8159</v>
      </c>
      <c r="R35" s="20" t="n">
        <f aca="false">+H224</f>
        <v>1038.6945</v>
      </c>
      <c r="S35" s="20" t="n">
        <f aca="false">+H225</f>
        <v>1045.7201</v>
      </c>
      <c r="T35" s="20" t="n">
        <f aca="false">+H226</f>
        <v>1052.3446</v>
      </c>
      <c r="U35" s="20" t="n">
        <f aca="false">+H227</f>
        <v>1057.7951</v>
      </c>
      <c r="V35" s="20" t="n">
        <f aca="false">+H228</f>
        <v>1062.92</v>
      </c>
      <c r="W35" s="20" t="n">
        <f aca="false">+H229</f>
        <v>1068.2493</v>
      </c>
      <c r="X35" s="20" t="n">
        <f aca="false">+H230</f>
        <v>1073.6083</v>
      </c>
      <c r="Y35" s="20" t="n">
        <f aca="false">+H231</f>
        <v>1078.535</v>
      </c>
      <c r="Z35" s="20" t="n">
        <f aca="false">+H232</f>
        <v>1084.0614</v>
      </c>
      <c r="AA35" s="20" t="n">
        <f aca="false">+H233</f>
        <v>1088.7708</v>
      </c>
      <c r="AD35" s="21" t="n">
        <v>2023</v>
      </c>
      <c r="AE35" s="22"/>
      <c r="AF35" s="22"/>
      <c r="AG35" s="22"/>
      <c r="AH35" s="22"/>
      <c r="AI35" s="22"/>
      <c r="AJ35" s="22"/>
      <c r="AK35" s="22"/>
      <c r="AL35" s="22"/>
      <c r="AM35" s="22"/>
      <c r="AN35" s="22"/>
      <c r="AO35" s="22" t="n">
        <f aca="false">+(Z34/Y34-1)</f>
        <v>0.00601450000000003</v>
      </c>
      <c r="AP35" s="22" t="n">
        <f aca="false">+(AA34/Z34-1)</f>
        <v>0.0106517351390065</v>
      </c>
      <c r="AQ35" s="23" t="n">
        <f aca="false">+(AA34/Y34-1)/COUNTA(AE35:AP35)*12</f>
        <v>0.100381800000001</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1093.0187</v>
      </c>
      <c r="Q36" s="20" t="n">
        <f aca="false">+H235</f>
        <v>1097.7247</v>
      </c>
      <c r="R36" s="20" t="n">
        <f aca="false">+H236</f>
        <v>1103.1338</v>
      </c>
      <c r="S36" s="20" t="n">
        <f aca="false">+H237</f>
        <v>1108.7782</v>
      </c>
      <c r="T36" s="20" t="n">
        <f aca="false">+H238</f>
        <v>1115.2214</v>
      </c>
      <c r="U36" s="20" t="n">
        <f aca="false">+H239</f>
        <v>1121.6146</v>
      </c>
      <c r="V36" s="20" t="n">
        <f aca="false">+H240</f>
        <v>1127.7415</v>
      </c>
      <c r="W36" s="20" t="n">
        <f aca="false">+H241</f>
        <v>1134.1738</v>
      </c>
      <c r="X36" s="20" t="n">
        <f aca="false">+H242</f>
        <v>1140.7792</v>
      </c>
      <c r="Y36" s="20" t="n">
        <f aca="false">+H243</f>
        <v>1148.2362</v>
      </c>
      <c r="Z36" s="20" t="n">
        <f aca="false">+H244</f>
        <v>1155.231</v>
      </c>
      <c r="AA36" s="20" t="n">
        <f aca="false">+H245</f>
        <v>1161.8528</v>
      </c>
      <c r="AD36" s="21" t="n">
        <v>2024</v>
      </c>
      <c r="AE36" s="22" t="n">
        <f aca="false">+(P35/AA34-1)</f>
        <v>0.00806546239450112</v>
      </c>
      <c r="AF36" s="22" t="n">
        <f aca="false">+(Q35/P35-1)</f>
        <v>0.00671772247626135</v>
      </c>
      <c r="AG36" s="22" t="n">
        <f aca="false">+(R35/Q35-1)</f>
        <v>0.00666649932415275</v>
      </c>
      <c r="AH36" s="22" t="n">
        <f aca="false">+(S35/R35-1)</f>
        <v>0.00676387522991595</v>
      </c>
      <c r="AI36" s="22" t="n">
        <f aca="false">+(T35/S35-1)</f>
        <v>0.00633486914901971</v>
      </c>
      <c r="AJ36" s="22" t="n">
        <f aca="false">+(U35/T35-1)</f>
        <v>0.00517938705629328</v>
      </c>
      <c r="AK36" s="22" t="n">
        <f aca="false">+(V35/U35-1)</f>
        <v>0.00484488914724612</v>
      </c>
      <c r="AL36" s="22" t="n">
        <f aca="false">+(W35/V35-1)</f>
        <v>0.00501382982726817</v>
      </c>
      <c r="AM36" s="22" t="n">
        <f aca="false">+(X35/W35-1)</f>
        <v>0.00501661924796037</v>
      </c>
      <c r="AN36" s="22" t="n">
        <f aca="false">+(Y35/X35-1)</f>
        <v>0.00458891757822655</v>
      </c>
      <c r="AO36" s="22" t="n">
        <f aca="false">+(Z35/Y35-1)</f>
        <v>0.00512398763137023</v>
      </c>
      <c r="AP36" s="22" t="n">
        <f aca="false">+(AA35/Z35-1)</f>
        <v>0.00434421887911518</v>
      </c>
      <c r="AQ36" s="23" t="n">
        <f aca="false">+(AA35/AA34-1)/COUNTA(AE36:AP36)*12</f>
        <v>0.0708550733660638</v>
      </c>
      <c r="AR36" s="9"/>
      <c r="AS36" s="9"/>
    </row>
    <row r="37" customFormat="false" ht="15" hidden="false" customHeight="false" outlineLevel="0" collapsed="false">
      <c r="A37" s="17"/>
      <c r="B37" s="20"/>
      <c r="C37" s="25"/>
      <c r="D37" s="19"/>
      <c r="E37" s="19"/>
      <c r="F37" s="19"/>
      <c r="O37" s="3" t="n">
        <v>2026</v>
      </c>
      <c r="P37" s="20" t="n">
        <f aca="false">+H246</f>
        <v>1168.3414</v>
      </c>
      <c r="Q37" s="20" t="n">
        <f aca="false">+H247</f>
        <v>1174.8528</v>
      </c>
      <c r="R37" s="20" t="n">
        <f aca="false">+H248</f>
        <v>1181.8809</v>
      </c>
      <c r="S37" s="20" t="n">
        <f aca="false">+H249</f>
        <v>1188.5089</v>
      </c>
      <c r="T37" s="20"/>
      <c r="U37" s="20"/>
      <c r="V37" s="20"/>
      <c r="W37" s="20"/>
      <c r="X37" s="20"/>
      <c r="Y37" s="20"/>
      <c r="Z37" s="20"/>
      <c r="AA37" s="20"/>
      <c r="AD37" s="21" t="n">
        <v>2025</v>
      </c>
      <c r="AE37" s="22" t="n">
        <f aca="false">+(P36/AA35-1)</f>
        <v>0.00390155577280371</v>
      </c>
      <c r="AF37" s="22" t="n">
        <f aca="false">+(Q36/P36-1)</f>
        <v>0.00430550730742296</v>
      </c>
      <c r="AG37" s="22" t="n">
        <f aca="false">+(R36/Q36-1)</f>
        <v>0.00492755606209827</v>
      </c>
      <c r="AH37" s="22" t="n">
        <f aca="false">+(S36/R36-1)</f>
        <v>0.00511669572630247</v>
      </c>
      <c r="AI37" s="22" t="n">
        <f aca="false">+(T36/S36-1)</f>
        <v>0.00581108106201933</v>
      </c>
      <c r="AJ37" s="22" t="n">
        <f aca="false">+(U36/T36-1)</f>
        <v>0.00573267335078054</v>
      </c>
      <c r="AK37" s="22" t="n">
        <f aca="false">+(V36/U36-1)</f>
        <v>0.00546257154641183</v>
      </c>
      <c r="AL37" s="22" t="n">
        <f aca="false">+(W36/V36-1)</f>
        <v>0.00570370071510173</v>
      </c>
      <c r="AM37" s="22" t="n">
        <f aca="false">+(X36/W36-1)</f>
        <v>0.0058239751262108</v>
      </c>
      <c r="AN37" s="22" t="n">
        <f aca="false">+(Y36/X36-1)</f>
        <v>0.00653676013728166</v>
      </c>
      <c r="AO37" s="22" t="n">
        <f aca="false">+(Z36/Y36-1)</f>
        <v>0.00609177798087179</v>
      </c>
      <c r="AP37" s="22" t="n">
        <f aca="false">+(AA36/Z36-1)</f>
        <v>0.005732013770406</v>
      </c>
      <c r="AQ37" s="23" t="n">
        <f aca="false">+(AA36/P36-1)/COUNTA(AE37:AP37)*12</f>
        <v>0.0629761412133203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0.0055847005748062</v>
      </c>
      <c r="AF38" s="22" t="n">
        <f aca="false">+(Q37/P37-1)</f>
        <v>0.00557319975137394</v>
      </c>
      <c r="AG38" s="22" t="n">
        <f aca="false">+(R37/Q37-1)</f>
        <v>0.0059821111206444</v>
      </c>
      <c r="AH38" s="22" t="n">
        <f aca="false">+(S37/R37-1)</f>
        <v>0.0056080100795266</v>
      </c>
      <c r="AQ38" s="23" t="n">
        <f aca="false">+(S37/P37-1)/COUNTA(AE38:AP38)*12</f>
        <v>0.0517849491595523</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P46" s="3" t="n">
        <f aca="false">+K186</f>
        <v>4907.6377</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+(AA48/P48-1)/COUNTA(AE48:AP48)*12</f>
        <v>0.0844938543904241</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t="n">
        <f aca="false">+AO19</f>
        <v>0.00752661431064561</v>
      </c>
      <c r="AP77" s="60" t="n">
        <f aca="false">+AP19</f>
        <v>0.00708194994827327</v>
      </c>
      <c r="AQ77" s="60" t="n">
        <f aca="false">+AQ19</f>
        <v>0.100882275530511</v>
      </c>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t="n">
        <f aca="false">+AO48</f>
        <v>0.00616956723192952</v>
      </c>
      <c r="AP78" s="60" t="n">
        <f aca="false">+AP48</f>
        <v>0.00610155186395645</v>
      </c>
      <c r="AQ78" s="60" t="n">
        <f aca="false">+AQ48</f>
        <v>0.0844938543904241</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t="n">
        <f aca="false">+AO35</f>
        <v>0.00601450000000003</v>
      </c>
      <c r="AP79" s="60" t="n">
        <f aca="false">+AP35</f>
        <v>0.0106517351390065</v>
      </c>
      <c r="AQ79" s="60" t="n">
        <f aca="false">+AQ35</f>
        <v>0.100381800000001</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0.00806546239450112</v>
      </c>
      <c r="AF82" s="60" t="n">
        <f aca="false">+AF36</f>
        <v>0.00671772247626135</v>
      </c>
      <c r="AG82" s="60" t="n">
        <f aca="false">+AG36</f>
        <v>0.00666649932415275</v>
      </c>
      <c r="AH82" s="60" t="n">
        <f aca="false">+AH36</f>
        <v>0.00676387522991595</v>
      </c>
      <c r="AI82" s="60" t="n">
        <f aca="false">+AI36</f>
        <v>0.00633486914901971</v>
      </c>
      <c r="AJ82" s="60" t="n">
        <f aca="false">+AJ36</f>
        <v>0.00517938705629328</v>
      </c>
      <c r="AK82" s="60" t="n">
        <f aca="false">+AK36</f>
        <v>0.00484488914724612</v>
      </c>
      <c r="AL82" s="60" t="n">
        <f aca="false">+AL36</f>
        <v>0.00501382982726817</v>
      </c>
      <c r="AM82" s="60" t="n">
        <f aca="false">+AM36</f>
        <v>0.00501661924796037</v>
      </c>
      <c r="AN82" s="60" t="n">
        <f aca="false">+AN36</f>
        <v>0.00458891757822655</v>
      </c>
      <c r="AO82" s="60" t="n">
        <f aca="false">+AO36</f>
        <v>0.00512398763137023</v>
      </c>
      <c r="AP82" s="60" t="n">
        <f aca="false">+AP36</f>
        <v>0.00434421887911518</v>
      </c>
      <c r="AQ82" s="60" t="n">
        <f aca="false">+AQ36</f>
        <v>0.0708550733660638</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0.00390155577280371</v>
      </c>
      <c r="AF85" s="60" t="n">
        <f aca="false">+AF37</f>
        <v>0.00430550730742296</v>
      </c>
      <c r="AG85" s="60" t="n">
        <f aca="false">+AG37</f>
        <v>0.00492755606209827</v>
      </c>
      <c r="AH85" s="60" t="n">
        <f aca="false">+AH37</f>
        <v>0.00511669572630247</v>
      </c>
      <c r="AI85" s="60" t="n">
        <f aca="false">+AI37</f>
        <v>0.00581108106201933</v>
      </c>
      <c r="AJ85" s="60" t="n">
        <f aca="false">+AJ37</f>
        <v>0.00573267335078054</v>
      </c>
      <c r="AK85" s="60" t="n">
        <f aca="false">+AK37</f>
        <v>0.00546257154641183</v>
      </c>
      <c r="AL85" s="60" t="n">
        <f aca="false">+AL37</f>
        <v>0.00570370071510173</v>
      </c>
      <c r="AM85" s="60" t="n">
        <f aca="false">+AM37</f>
        <v>0.0058239751262108</v>
      </c>
      <c r="AN85" s="60" t="n">
        <f aca="false">+AN37</f>
        <v>0.00653676013728166</v>
      </c>
      <c r="AO85" s="60" t="n">
        <f aca="false">+AO37</f>
        <v>0.00609177798087179</v>
      </c>
      <c r="AP85" s="60" t="n">
        <f aca="false">+AP37</f>
        <v>0.005732013770406</v>
      </c>
      <c r="AQ85" s="60" t="n">
        <f aca="false">+AQ37</f>
        <v>0.0629761412133203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60" t="n">
        <f aca="false">+AE22</f>
        <v>0.00388234363273376</v>
      </c>
      <c r="AF86" s="60" t="n">
        <f aca="false">+AF22</f>
        <v>0.00363126461056962</v>
      </c>
      <c r="AG86" s="60" t="n">
        <f aca="false">+AG22</f>
        <v>0.0038819280865483</v>
      </c>
      <c r="AH86" s="60" t="n">
        <f aca="false">+AH22</f>
        <v>-0.254362857499898</v>
      </c>
      <c r="AI86" s="60"/>
      <c r="AJ86" s="60"/>
      <c r="AK86" s="60"/>
      <c r="AL86" s="60"/>
      <c r="AM86" s="60"/>
      <c r="AN86" s="60"/>
      <c r="AO86" s="60"/>
      <c r="AP86" s="60"/>
      <c r="AQ86" s="60" t="n">
        <f aca="false">+AQ22</f>
        <v>-0.746250693705866</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0.0055847005748062</v>
      </c>
      <c r="AF88" s="60" t="n">
        <f aca="false">+AF38</f>
        <v>0.00557319975137394</v>
      </c>
      <c r="AG88" s="60" t="n">
        <f aca="false">+AG38</f>
        <v>0.0059821111206444</v>
      </c>
      <c r="AH88" s="60" t="n">
        <f aca="false">+AH38</f>
        <v>0.0056080100795266</v>
      </c>
      <c r="AI88" s="60"/>
      <c r="AJ88" s="60"/>
      <c r="AK88" s="60"/>
      <c r="AL88" s="60"/>
      <c r="AM88" s="60"/>
      <c r="AN88" s="60"/>
      <c r="AO88" s="60"/>
      <c r="AP88" s="60"/>
      <c r="AQ88" s="60" t="n">
        <f aca="false">+AQ38</f>
        <v>0.0517849491595523</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43008</v>
      </c>
      <c r="AE96" s="62" t="n">
        <v>0.00311210000000006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43039</v>
      </c>
      <c r="AE97" s="62" t="n">
        <v>0.00266354947734888</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43069</v>
      </c>
      <c r="AE98" s="62" t="n">
        <v>0.00270401929468234</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43100</v>
      </c>
      <c r="AE99" s="62" t="n">
        <v>0.00300965446914445</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43131</v>
      </c>
      <c r="AE100" s="62" t="n">
        <v>0.00473727239934226</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43159</v>
      </c>
      <c r="AE101" s="62" t="n">
        <v>0.00378152301954046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43190</v>
      </c>
      <c r="AE102" s="62" t="n">
        <v>0.00300527511908573</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43220</v>
      </c>
      <c r="AE103" s="62" t="n">
        <v>0.00316130254575997</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43251</v>
      </c>
      <c r="AE104" s="62" t="n">
        <v>0.00310067866389014</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43281</v>
      </c>
      <c r="AE105" s="62" t="n">
        <v>0.00287709140845549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43312</v>
      </c>
      <c r="AE106" s="62" t="n">
        <v>0.00279025405786912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43343</v>
      </c>
      <c r="AE107" s="62" t="n">
        <v>0.00269722002207049</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43373</v>
      </c>
      <c r="AE108" s="62" t="n">
        <v>0.00294678677406712</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43404</v>
      </c>
      <c r="AE109" s="62" t="n">
        <v>0.00273411579812808</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43434</v>
      </c>
      <c r="AE110" s="62" t="n">
        <v>0.00284409288655185</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43465</v>
      </c>
      <c r="AE111" s="62" t="n">
        <v>0.00262659891580654</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43496</v>
      </c>
      <c r="AE112" s="62" t="n">
        <v>0.00281430328228941</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43524</v>
      </c>
      <c r="AE113" s="62" t="n">
        <v>0.00282360638687196</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43555</v>
      </c>
      <c r="AE114" s="62" t="n">
        <v>0.00286536279403882</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43585</v>
      </c>
      <c r="AE115" s="62" t="n">
        <v>0.00293240905161363</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8"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G219" s="4" t="n">
        <v>1000</v>
      </c>
      <c r="H219" s="4" t="n">
        <f aca="false">+G219+$S$148+$S$150+$S$152+$S$154+$S$156+$S$158</f>
        <v>1000</v>
      </c>
      <c r="I219" s="25" t="n">
        <v>0</v>
      </c>
      <c r="J219" s="18" t="n">
        <v>100</v>
      </c>
      <c r="K219" s="3" t="n">
        <v>5712.6049</v>
      </c>
      <c r="L219" s="68"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G220" s="4" t="n">
        <v>1006.0145</v>
      </c>
      <c r="H220" s="4" t="n">
        <f aca="false">+G220+$S$148+$S$150+$S$152+$S$154+$S$156+$S$158</f>
        <v>1006.0145</v>
      </c>
      <c r="I220" s="25" t="n">
        <f aca="false">+(H220/H219-1)/(F220-F219)*30</f>
        <v>0.00784500000000005</v>
      </c>
      <c r="J220" s="18" t="n">
        <f aca="false">+J219*(1+I220)</f>
        <v>100.7845</v>
      </c>
      <c r="K220" s="18" t="n">
        <v>5747.8492</v>
      </c>
      <c r="L220" s="68"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G221" s="4" t="n">
        <v>1016.7303</v>
      </c>
      <c r="H221" s="4" t="n">
        <f aca="false">+G221+$S$148+$S$150+$S$152+$S$154+$S$156+$S$158</f>
        <v>1016.7303</v>
      </c>
      <c r="I221" s="25" t="n">
        <f aca="false">+(H221/H220-1)/(F221-F220)*30</f>
        <v>0.0103081307796837</v>
      </c>
      <c r="J221" s="18" t="n">
        <f aca="false">+J220*(1+I221)</f>
        <v>101.823399806565</v>
      </c>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G222" s="4" t="n">
        <v>1024.9307</v>
      </c>
      <c r="H222" s="4" t="n">
        <f aca="false">+G222+$S$148+$S$150+$S$152+$S$154+$S$156+$S$158</f>
        <v>1024.9307</v>
      </c>
      <c r="I222" s="25" t="n">
        <f aca="false">+(H222/H221-1)/(F222-F221)*30</f>
        <v>0.00780528618822689</v>
      </c>
      <c r="J222" s="18" t="n">
        <f aca="false">+J221*(1+I222)</f>
        <v>102.618160582714</v>
      </c>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G223" s="4" t="n">
        <v>1031.8159</v>
      </c>
      <c r="H223" s="4" t="n">
        <f aca="false">+G223+$S$148+$S$150+$S$152+$S$154+$S$156+$S$158</f>
        <v>1031.8159</v>
      </c>
      <c r="I223" s="25" t="n">
        <f aca="false">+(H223/H222-1)/(F223-F222)*30</f>
        <v>0.00694936807889105</v>
      </c>
      <c r="J223" s="18" t="n">
        <f aca="false">+J222*(1+I223)</f>
        <v>103.331291952182</v>
      </c>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G224" s="4" t="n">
        <v>1038.6945</v>
      </c>
      <c r="H224" s="4" t="n">
        <f aca="false">+G224+$S$148+$S$150+$S$152+$S$154+$S$156+$S$158</f>
        <v>1038.6945</v>
      </c>
      <c r="I224" s="25" t="n">
        <f aca="false">+(H224/H223-1)/(F224-F223)*30</f>
        <v>0.00714267784730652</v>
      </c>
      <c r="J224" s="18" t="n">
        <f aca="false">+J223*(1+I224)</f>
        <v>104.069354082142</v>
      </c>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G225" s="4" t="n">
        <v>1045.7201</v>
      </c>
      <c r="H225" s="4" t="n">
        <f aca="false">+G225+$S$148+$S$150+$S$152+$S$154+$S$156+$S$158</f>
        <v>1045.7201</v>
      </c>
      <c r="I225" s="25" t="n">
        <f aca="false">+(H225/H224-1)/(F225-F224)*30</f>
        <v>0.00614897748174177</v>
      </c>
      <c r="J225" s="18" t="n">
        <f aca="false">+J224*(1+I225)</f>
        <v>104.709274196932</v>
      </c>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G226" s="4" t="n">
        <v>1052.3446</v>
      </c>
      <c r="H226" s="4" t="n">
        <f aca="false">+G226+$S$148+$S$150+$S$152+$S$154+$S$156+$S$158</f>
        <v>1052.3446</v>
      </c>
      <c r="I226" s="25" t="n">
        <f aca="false">+(H226/H225-1)/(F226-F225)*30</f>
        <v>0.00613051853130939</v>
      </c>
      <c r="J226" s="18" t="n">
        <f aca="false">+J225*(1+I226)</f>
        <v>105.351196342797</v>
      </c>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G227" s="4" t="n">
        <v>1057.7951</v>
      </c>
      <c r="H227" s="4" t="n">
        <f aca="false">+G227+$S$148+$S$150+$S$152+$S$154+$S$156+$S$158</f>
        <v>1057.7951</v>
      </c>
      <c r="I227" s="25" t="n">
        <f aca="false">+(H227/H226-1)/(F227-F226)*30</f>
        <v>0.00517938705629328</v>
      </c>
      <c r="J227" s="18" t="n">
        <f aca="false">+J226*(1+I227)</f>
        <v>105.8968509655</v>
      </c>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G228" s="4" t="n">
        <v>1062.92</v>
      </c>
      <c r="H228" s="4" t="n">
        <f aca="false">+G228+$S$148+$S$150+$S$152+$S$154+$S$156+$S$158</f>
        <v>1062.92</v>
      </c>
      <c r="I228" s="25" t="n">
        <f aca="false">+(H228/H227-1)/(F228-F227)*30</f>
        <v>0.00468860240056076</v>
      </c>
      <c r="J228" s="18" t="n">
        <f aca="false">+J227*(1+I228)</f>
        <v>106.393359195148</v>
      </c>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G229" s="4" t="n">
        <v>1068.2493</v>
      </c>
      <c r="H229" s="4" t="n">
        <f aca="false">+G229+$S$148+$S$150+$S$152+$S$154+$S$156+$S$158</f>
        <v>1068.2493</v>
      </c>
      <c r="I229" s="25" t="n">
        <f aca="false">+(H229/H228-1)/(F229-F228)*30</f>
        <v>0.00485209338122726</v>
      </c>
      <c r="J229" s="18" t="n">
        <f aca="false">+J228*(1+I229)</f>
        <v>106.909589709106</v>
      </c>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G230" s="4" t="n">
        <v>1073.6083</v>
      </c>
      <c r="H230" s="4" t="n">
        <f aca="false">+G230+$S$148+$S$150+$S$152+$S$154+$S$156+$S$158</f>
        <v>1073.6083</v>
      </c>
      <c r="I230" s="25" t="n">
        <f aca="false">+(H230/H229-1)/(F230-F229)*30</f>
        <v>0.00501661924796037</v>
      </c>
      <c r="J230" s="18" t="n">
        <f aca="false">+J229*(1+I230)</f>
        <v>107.445914414632</v>
      </c>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G231" s="4" t="n">
        <v>1078.535</v>
      </c>
      <c r="H231" s="4" t="n">
        <f aca="false">+G231+$S$148+$S$150+$S$152+$S$154+$S$156+$S$158</f>
        <v>1078.535</v>
      </c>
      <c r="I231" s="25" t="n">
        <f aca="false">+(H231/H230-1)/(F231-F230)*30</f>
        <v>0.00444088797892892</v>
      </c>
      <c r="J231" s="18" t="n">
        <f aca="false">+J230*(1+I231)</f>
        <v>107.923069684341</v>
      </c>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G232" s="4" t="n">
        <v>1084.0614</v>
      </c>
      <c r="H232" s="4" t="n">
        <f aca="false">+G232+$S$148+$S$150+$S$152+$S$154+$S$156+$S$158</f>
        <v>1084.0614</v>
      </c>
      <c r="I232" s="25" t="n">
        <f aca="false">+(H232/H231-1)/(F232-F231)*30</f>
        <v>0.00512398763137023</v>
      </c>
      <c r="J232" s="18" t="n">
        <f aca="false">+J231*(1+I232)</f>
        <v>108.476066158543</v>
      </c>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G233" s="4" t="n">
        <v>1088.7708</v>
      </c>
      <c r="H233" s="4" t="n">
        <f aca="false">+G233+$S$148+$S$150+$S$152+$S$154+$S$156+$S$158</f>
        <v>1088.7708</v>
      </c>
      <c r="I233" s="25" t="n">
        <f aca="false">+(H233/H232-1)/(F233-F232)*30</f>
        <v>0.0042040827862405</v>
      </c>
      <c r="J233" s="18" t="n">
        <f aca="false">+J232*(1+I233)</f>
        <v>108.932108520999</v>
      </c>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G234" s="4" t="n">
        <v>1093.0187</v>
      </c>
      <c r="H234" s="4" t="n">
        <f aca="false">+G234+$S$148+$S$150+$S$152+$S$154+$S$156+$S$158</f>
        <v>1093.0187</v>
      </c>
      <c r="I234" s="25" t="n">
        <f aca="false">+(H234/H233-1)/(F234-F233)*30</f>
        <v>0.00377569913497133</v>
      </c>
      <c r="J234" s="18" t="n">
        <f aca="false">+J233*(1+I234)</f>
        <v>109.343403388912</v>
      </c>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G235" s="4" t="n">
        <v>1097.7247</v>
      </c>
      <c r="H235" s="4" t="n">
        <f aca="false">+G235+$S$148+$S$150+$S$152+$S$154+$S$156+$S$158</f>
        <v>1097.7247</v>
      </c>
      <c r="I235" s="25" t="n">
        <f aca="false">+(H235/H234-1)/(F235-F234)*30</f>
        <v>0.00461304354366746</v>
      </c>
      <c r="J235" s="18" t="n">
        <f aca="false">+J234*(1+I235)</f>
        <v>109.847809269958</v>
      </c>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1103.1338</v>
      </c>
      <c r="H236" s="4" t="n">
        <f aca="false">+G236+$S$148+$S$150+$S$152+$S$154+$S$156+$S$158</f>
        <v>1103.1338</v>
      </c>
      <c r="I236" s="25" t="n">
        <f aca="false">+(H236/H235-1)/(F236-F235)*30</f>
        <v>0.00476860264074026</v>
      </c>
      <c r="J236" s="18" t="n">
        <f aca="false">+J235*(1+I236)</f>
        <v>110.371629823323</v>
      </c>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1108.7782</v>
      </c>
      <c r="H237" s="4" t="n">
        <f aca="false">+G237+$S$148+$S$150+$S$152+$S$154+$S$156+$S$158</f>
        <v>1108.7782</v>
      </c>
      <c r="I237" s="25" t="n">
        <f aca="false">+(H237/H236-1)/(F237-F236)*30</f>
        <v>0.00511669572630247</v>
      </c>
      <c r="J237" s="18" t="n">
        <f aca="false">+J236*(1+I237)</f>
        <v>110.936367869945</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1115.2214</v>
      </c>
      <c r="H238" s="4" t="n">
        <f aca="false">+G238+$S$148+$S$150+$S$152+$S$154+$S$156+$S$158</f>
        <v>1115.2214</v>
      </c>
      <c r="I238" s="25" t="n">
        <f aca="false">+(H238/H237-1)/(F238-F237)*30</f>
        <v>0.00562362683421225</v>
      </c>
      <c r="J238" s="18" t="n">
        <f aca="false">+J237*(1+I238)</f>
        <v>111.560232605188</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1121.6146</v>
      </c>
      <c r="H239" s="4" t="n">
        <f aca="false">+G239+$S$148+$S$150+$S$152+$S$154+$S$156+$S$158</f>
        <v>1121.6146</v>
      </c>
      <c r="I239" s="25" t="n">
        <f aca="false">+(H239/H238-1)/(F239-F238)*30</f>
        <v>0.00573267335078054</v>
      </c>
      <c r="J239" s="18" t="n">
        <f aca="false">+J238*(1+I239)</f>
        <v>112.199770977651</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1127.7415</v>
      </c>
      <c r="H240" s="4" t="n">
        <f aca="false">+G240+$S$148+$S$150+$S$152+$S$154+$S$156+$S$158</f>
        <v>1127.7415</v>
      </c>
      <c r="I240" s="25" t="n">
        <f aca="false">+(H240/H239-1)/(F240-F239)*30</f>
        <v>0.00528635956104371</v>
      </c>
      <c r="J240" s="18" t="n">
        <f aca="false">+J239*(1+I240)</f>
        <v>112.792899309705</v>
      </c>
      <c r="K240" s="3" t="n">
        <v>6197.08</v>
      </c>
      <c r="L240" s="25" t="n">
        <f aca="false">+(K240/K239-1)/(F240-F239)*30</f>
        <v>0.00285537051088415</v>
      </c>
      <c r="M240" s="19" t="n">
        <f aca="false">+M239*(1+L240)</f>
        <v>108.933296964203</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1134.1738</v>
      </c>
      <c r="H241" s="4" t="n">
        <f aca="false">+G241+$S$148+$S$150+$S$152+$S$154+$S$156+$S$158</f>
        <v>1134.1738</v>
      </c>
      <c r="I241" s="25" t="n">
        <f aca="false">+(H241/H240-1)/(F241-F240)*30</f>
        <v>0.00551971036945329</v>
      </c>
      <c r="J241" s="18" t="n">
        <f aca="false">+J240*(1+I241)</f>
        <v>113.415483445626</v>
      </c>
      <c r="K241" s="3" t="n">
        <v>6215.6746</v>
      </c>
      <c r="L241" s="25" t="n">
        <f aca="false">+(K241/K240-1)/(F241-F240)*30</f>
        <v>0.00290375050726291</v>
      </c>
      <c r="M241" s="19" t="n">
        <f aca="false">+M240*(1+L241)</f>
        <v>109.24961208052</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1140.7792</v>
      </c>
      <c r="H242" s="4" t="n">
        <f aca="false">+G242+$S$148+$S$150+$S$152+$S$154+$S$156+$S$158</f>
        <v>1140.7792</v>
      </c>
      <c r="I242" s="25" t="n">
        <f aca="false">+(H242/H241-1)/(F242-F241)*30</f>
        <v>0.0058239751262108</v>
      </c>
      <c r="J242" s="18" t="n">
        <f aca="false">+J241*(1+I242)</f>
        <v>114.07601240014</v>
      </c>
      <c r="K242" s="3" t="n">
        <v>6232.8399</v>
      </c>
      <c r="L242" s="25" t="n">
        <f aca="false">+(K242/K241-1)/(F242-F241)*30</f>
        <v>0.00276161496613736</v>
      </c>
      <c r="M242" s="19" t="n">
        <f aca="false">+M241*(1+L242)</f>
        <v>109.551317444286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1148.2362</v>
      </c>
      <c r="H243" s="4" t="n">
        <f aca="false">+G243+$S$148+$S$150+$S$152+$S$154+$S$156+$S$158</f>
        <v>1148.2362</v>
      </c>
      <c r="I243" s="25" t="n">
        <f aca="false">+(H243/H242-1)/(F243-F242)*30</f>
        <v>0.00632589690704677</v>
      </c>
      <c r="J243" s="18" t="n">
        <f aca="false">+J242*(1+I243)</f>
        <v>114.797645494151</v>
      </c>
      <c r="K243" s="3" t="n">
        <v>6250.6982</v>
      </c>
      <c r="L243" s="25" t="n">
        <f aca="false">+(K243/K242-1)/(F243-F242)*30</f>
        <v>0.00277276908820515</v>
      </c>
      <c r="M243" s="19" t="n">
        <f aca="false">+M242*(1+L243)</f>
        <v>109.855077950868</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1155.231</v>
      </c>
      <c r="H244" s="4" t="n">
        <f aca="false">+G244+$S$148+$S$150+$S$152+$S$154+$S$156+$S$158</f>
        <v>1155.231</v>
      </c>
      <c r="I244" s="25" t="n">
        <f aca="false">+(H244/H243-1)/(F244-F243)*30</f>
        <v>0.00609177798087179</v>
      </c>
      <c r="J244" s="18" t="n">
        <f aca="false">+J243*(1+I244)</f>
        <v>115.496967263228</v>
      </c>
      <c r="K244" s="3" t="n">
        <v>6268.169</v>
      </c>
      <c r="L244" s="25" t="n">
        <f aca="false">+(K244/K243-1)/(F244-F243)*30</f>
        <v>0.00279501576319907</v>
      </c>
      <c r="M244" s="19" t="n">
        <f aca="false">+M243*(1+L244)</f>
        <v>110.162124625408</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9" t="n">
        <v>1161.8528</v>
      </c>
      <c r="H245" s="4" t="n">
        <f aca="false">+G245+$S$148+$S$150+$S$152+$S$154+$S$156+$S$158</f>
        <v>1161.8528</v>
      </c>
      <c r="I245" s="25" t="n">
        <f aca="false">+(H245/H244-1)/(F245-F244)*30</f>
        <v>0.0055471101003929</v>
      </c>
      <c r="J245" s="18" t="n">
        <f aca="false">+J244*(1+I245)</f>
        <v>116.137641656898</v>
      </c>
      <c r="K245" s="70" t="n">
        <v>6285.9566</v>
      </c>
      <c r="L245" s="25" t="n">
        <f aca="false">+(K245/K244-1)/(F245-F244)*30</f>
        <v>0.00274622564446067</v>
      </c>
      <c r="M245" s="19" t="n">
        <f aca="false">+M244*(1+L245)</f>
        <v>110.464654677103</v>
      </c>
    </row>
    <row r="246" customFormat="false" ht="15.75" hidden="false" customHeight="true" outlineLevel="0" collapsed="false">
      <c r="A246" s="17" t="n">
        <v>46053</v>
      </c>
      <c r="B246" s="3" t="n">
        <v>26136.9</v>
      </c>
      <c r="C246" s="25" t="n">
        <f aca="false">(B246/B245-1)/(A246-A245)*30</f>
        <v>0.00375710674135526</v>
      </c>
      <c r="D246" s="19" t="n">
        <f aca="false">+D245*(1+C246)</f>
        <v>114.741989177581</v>
      </c>
      <c r="F246" s="17" t="n">
        <v>46053</v>
      </c>
      <c r="G246" s="69" t="n">
        <v>1168.3414</v>
      </c>
      <c r="H246" s="4" t="n">
        <f aca="false">+G246+$S$148+$S$150+$S$152+$S$154+$S$156+$S$158</f>
        <v>1168.3414</v>
      </c>
      <c r="I246" s="25" t="n">
        <f aca="false">+(H246/H245-1)/(F246-F245)*30</f>
        <v>0.00540454894336084</v>
      </c>
      <c r="J246" s="18" t="n">
        <f aca="false">+J245*(1+I246)</f>
        <v>116.7653132254</v>
      </c>
      <c r="K246" s="70" t="n">
        <v>6303.0823</v>
      </c>
      <c r="L246" s="25" t="n">
        <f aca="false">+(K246/K245-1)/(F246-F245)*30</f>
        <v>0.00263655305296194</v>
      </c>
      <c r="M246" s="19" t="n">
        <f aca="false">+M245*(1+L246)</f>
        <v>110.755900599636</v>
      </c>
    </row>
    <row r="247" customFormat="false" ht="16.5" hidden="false" customHeight="true" outlineLevel="0" collapsed="false">
      <c r="A247" s="71" t="n">
        <v>46081</v>
      </c>
      <c r="B247" s="72" t="n">
        <v>26231.81</v>
      </c>
      <c r="C247" s="25" t="n">
        <f aca="false">(B247/B246-1)/(A247-A246)*30</f>
        <v>0.00389064065418173</v>
      </c>
      <c r="D247" s="19" t="n">
        <f aca="false">+D246*(1+C247)</f>
        <v>115.188409025417</v>
      </c>
      <c r="F247" s="71" t="n">
        <v>46081</v>
      </c>
      <c r="G247" s="69" t="n">
        <v>1174.8528</v>
      </c>
      <c r="H247" s="4" t="n">
        <f aca="false">+G247+$S$148+$S$150+$S$152+$S$154+$S$156+$S$158</f>
        <v>1174.8528</v>
      </c>
      <c r="I247" s="25" t="n">
        <f aca="false">+(H247/H246-1)/(F247-F246)*30</f>
        <v>0.00597128544790065</v>
      </c>
      <c r="J247" s="18" t="n">
        <f aca="false">+J246*(1+I247)</f>
        <v>117.462552241082</v>
      </c>
      <c r="K247" s="73" t="n">
        <v>6318.4947</v>
      </c>
      <c r="L247" s="25" t="n">
        <f aca="false">+(K247/K246-1)/(F247-F246)*30</f>
        <v>0.00261987467850238</v>
      </c>
      <c r="M247" s="19" t="n">
        <f aca="false">+M246*(1+L247)</f>
        <v>111.046067179112</v>
      </c>
    </row>
    <row r="248" customFormat="false" ht="16.5" hidden="false" customHeight="true" outlineLevel="0" collapsed="false">
      <c r="A248" s="71" t="n">
        <v>46112</v>
      </c>
      <c r="B248" s="72" t="n">
        <v>26333.64</v>
      </c>
      <c r="C248" s="25" t="n">
        <f aca="false">(B248/B247-1)/(A248-A247)*30</f>
        <v>0.00375670459988545</v>
      </c>
      <c r="D248" s="19" t="n">
        <f aca="false">+D247*(1+C248)</f>
        <v>115.621137851456</v>
      </c>
      <c r="F248" s="71" t="n">
        <v>46112</v>
      </c>
      <c r="G248" s="74" t="n">
        <v>1181.8809</v>
      </c>
      <c r="H248" s="4" t="n">
        <f aca="false">+G248+$S$148+$S$150+$S$152+$S$154+$S$156+$S$158</f>
        <v>1181.8809</v>
      </c>
      <c r="I248" s="25" t="n">
        <f aca="false">+(H248/H247-1)/(F248-F247)*30</f>
        <v>0.005789139794172</v>
      </c>
      <c r="J248" s="18" t="n">
        <f aca="false">+J247*(1+I248)</f>
        <v>118.142559376586</v>
      </c>
      <c r="K248" s="75" t="n">
        <v>6335.4774</v>
      </c>
      <c r="L248" s="25" t="n">
        <f aca="false">+(K248/K247-1)/(F248-F247)*30</f>
        <v>0.00260107379179124</v>
      </c>
      <c r="M248" s="19" t="n">
        <f aca="false">+M247*(1+L248)</f>
        <v>111.334906194133</v>
      </c>
    </row>
    <row r="249" customFormat="false" ht="15" hidden="false" customHeight="false" outlineLevel="0" collapsed="false">
      <c r="A249" s="17" t="n">
        <v>46142</v>
      </c>
      <c r="B249" s="3" t="n">
        <v>19635.3400812264</v>
      </c>
      <c r="C249" s="25" t="n">
        <f aca="false">(B249/B248-1)/(A249-A248)*30</f>
        <v>-0.254362857499898</v>
      </c>
      <c r="D249" s="19" t="n">
        <f aca="false">+D248*(1+C249)</f>
        <v>86.2114148401699</v>
      </c>
      <c r="F249" s="17" t="n">
        <v>46142</v>
      </c>
      <c r="G249" s="76" t="n">
        <v>1188.5089</v>
      </c>
      <c r="H249" s="4" t="n">
        <f aca="false">+G249+$S$148+$S$150+$S$152+$S$154+$S$156+$S$158</f>
        <v>1188.5089</v>
      </c>
      <c r="I249" s="25" t="n">
        <f aca="false">+(H249/H248-1)/(F249-F248)*30</f>
        <v>0.0056080100795266</v>
      </c>
      <c r="J249" s="18" t="n">
        <f aca="false">+J248*(1+I249)</f>
        <v>118.805104040391</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H34" activeCellId="0" sqref="H34"/>
    </sheetView>
  </sheetViews>
  <sheetFormatPr defaultColWidth="11.42578125" defaultRowHeight="15" zeroHeight="false" outlineLevelRow="0" outlineLevelCol="0"/>
  <cols>
    <col collapsed="false" customWidth="true" hidden="false" outlineLevel="0" max="3" min="3" style="77" width="6.29"/>
    <col collapsed="false" customWidth="true" hidden="false" outlineLevel="0" max="4" min="4" style="0" width="23.42"/>
    <col collapsed="false" customWidth="true" hidden="false" outlineLevel="0" max="16" min="5" style="0" width="7.42"/>
    <col collapsed="false" customWidth="true" hidden="false" outlineLevel="0" max="17" min="17" style="0" width="8.71"/>
    <col collapsed="false" customWidth="true" hidden="false" outlineLevel="0" max="19" min="19" style="0" width="19.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6"/>
    <col collapsed="false" customWidth="true" hidden="false" outlineLevel="0" max="24" min="24" style="0" width="11"/>
  </cols>
  <sheetData>
    <row r="1" customFormat="false" ht="24" hidden="false" customHeight="true" outlineLevel="0" collapsed="false">
      <c r="S1" s="78" t="s">
        <v>31</v>
      </c>
      <c r="T1" s="79" t="s">
        <v>32</v>
      </c>
      <c r="U1" s="79" t="s">
        <v>33</v>
      </c>
      <c r="V1" s="79" t="s">
        <v>34</v>
      </c>
      <c r="W1" s="79" t="s">
        <v>35</v>
      </c>
      <c r="X1" s="80" t="s">
        <v>46</v>
      </c>
    </row>
    <row r="2" customFormat="false" ht="15" hidden="false" customHeight="false" outlineLevel="0" collapsed="false">
      <c r="S2" s="81" t="s">
        <v>47</v>
      </c>
      <c r="T2" s="82" t="n">
        <f aca="false">+'Datos ICP (2)'!AX29</f>
        <v>-0.254362857499898</v>
      </c>
      <c r="U2" s="82" t="n">
        <f aca="false">+'Datos ICP (2)'!AY29</f>
        <v>-0.248750231235289</v>
      </c>
      <c r="V2" s="82" t="n">
        <f aca="false">+'Datos ICP (2)'!AZ29</f>
        <v>-0.239809516977627</v>
      </c>
      <c r="W2" s="82"/>
      <c r="X2" s="82" t="n">
        <f aca="false">+'Datos ICP (2)'!BB29</f>
        <v>-0.746250693705866</v>
      </c>
    </row>
    <row r="3" customFormat="false" ht="15" hidden="false" customHeight="false" outlineLevel="0" collapsed="false">
      <c r="S3" s="81" t="s">
        <v>26</v>
      </c>
      <c r="T3" s="82" t="n">
        <f aca="false">+'Datos ICP (2)'!AX30</f>
        <v>-1</v>
      </c>
      <c r="U3" s="82" t="n">
        <f aca="false">+'Datos ICP (2)'!AY30</f>
        <v>-1</v>
      </c>
      <c r="V3" s="82" t="n">
        <f aca="false">+'Datos ICP (2)'!AZ30</f>
        <v>-1</v>
      </c>
      <c r="W3" s="82"/>
      <c r="X3" s="82" t="n">
        <f aca="false">+'Datos ICP (2)'!BB30</f>
        <v>-3</v>
      </c>
    </row>
    <row r="4" customFormat="false" ht="15" hidden="false" customHeight="false" outlineLevel="0" collapsed="false">
      <c r="S4" s="83" t="s">
        <v>38</v>
      </c>
      <c r="T4" s="82" t="n">
        <f aca="false">+'Datos ICP (2)'!AX31</f>
        <v>0.0056080100795266</v>
      </c>
      <c r="U4" s="82" t="n">
        <f aca="false">+'Datos ICP (2)'!AY31</f>
        <v>0.0172616497198508</v>
      </c>
      <c r="V4" s="82" t="n">
        <f aca="false">+'Datos ICP (2)'!AZ31</f>
        <v>0.0350735327801022</v>
      </c>
      <c r="W4" s="82"/>
      <c r="X4" s="82" t="n">
        <f aca="false">+'Datos ICP (2)'!BB31</f>
        <v>0.0517849491595523</v>
      </c>
    </row>
    <row r="5" customFormat="false" ht="15" hidden="false" customHeight="false" outlineLevel="0" collapsed="false">
      <c r="B5" s="84"/>
      <c r="C5" s="85"/>
      <c r="D5" s="84"/>
      <c r="E5" s="84"/>
      <c r="F5" s="84"/>
      <c r="G5" s="84"/>
      <c r="H5" s="84"/>
      <c r="I5" s="84"/>
      <c r="J5" s="84"/>
      <c r="K5" s="84"/>
      <c r="L5" s="84"/>
      <c r="M5" s="84"/>
      <c r="N5" s="84"/>
      <c r="O5" s="84"/>
      <c r="P5" s="84"/>
      <c r="Q5" s="84"/>
      <c r="R5" s="84"/>
    </row>
    <row r="6" customFormat="false" ht="31.5" hidden="false" customHeight="true" outlineLevel="0" collapsed="false">
      <c r="B6" s="84"/>
      <c r="C6" s="86" t="s">
        <v>39</v>
      </c>
      <c r="D6" s="87" t="s">
        <v>40</v>
      </c>
      <c r="E6" s="88" t="s">
        <v>4</v>
      </c>
      <c r="F6" s="88" t="s">
        <v>5</v>
      </c>
      <c r="G6" s="88" t="s">
        <v>6</v>
      </c>
      <c r="H6" s="88" t="s">
        <v>7</v>
      </c>
      <c r="I6" s="88" t="s">
        <v>8</v>
      </c>
      <c r="J6" s="88" t="s">
        <v>9</v>
      </c>
      <c r="K6" s="88" t="s">
        <v>10</v>
      </c>
      <c r="L6" s="88" t="s">
        <v>11</v>
      </c>
      <c r="M6" s="88" t="s">
        <v>12</v>
      </c>
      <c r="N6" s="88" t="s">
        <v>13</v>
      </c>
      <c r="O6" s="88" t="s">
        <v>14</v>
      </c>
      <c r="P6" s="88" t="s">
        <v>15</v>
      </c>
      <c r="Q6" s="89" t="s">
        <v>48</v>
      </c>
      <c r="R6" s="90"/>
    </row>
    <row r="7" customFormat="false" ht="9" hidden="false" customHeight="true" outlineLevel="0" collapsed="false">
      <c r="B7" s="84"/>
      <c r="C7" s="85"/>
      <c r="D7" s="84"/>
      <c r="E7" s="91"/>
      <c r="F7" s="91"/>
      <c r="G7" s="91"/>
      <c r="H7" s="91"/>
      <c r="I7" s="91"/>
      <c r="J7" s="91"/>
      <c r="K7" s="91"/>
      <c r="L7" s="91"/>
      <c r="M7" s="91"/>
      <c r="N7" s="91"/>
      <c r="O7" s="91"/>
      <c r="P7" s="91"/>
      <c r="Q7" s="91"/>
      <c r="R7" s="92"/>
    </row>
    <row r="8" customFormat="false" ht="16.5" hidden="true" customHeight="true" outlineLevel="0" collapsed="false">
      <c r="B8" s="84"/>
      <c r="C8" s="93" t="n">
        <v>2013</v>
      </c>
      <c r="D8" s="94" t="s">
        <v>3</v>
      </c>
      <c r="E8" s="91"/>
      <c r="F8" s="91"/>
      <c r="G8" s="91"/>
      <c r="H8" s="91"/>
      <c r="I8" s="91"/>
      <c r="J8" s="91"/>
      <c r="K8" s="91"/>
      <c r="L8" s="91"/>
      <c r="M8" s="91"/>
      <c r="N8" s="91"/>
      <c r="O8" s="91"/>
      <c r="P8" s="91"/>
      <c r="Q8" s="91"/>
      <c r="R8" s="84"/>
    </row>
    <row r="9" customFormat="false" ht="16.5" hidden="true" customHeight="true" outlineLevel="0" collapsed="false">
      <c r="B9" s="84"/>
      <c r="C9" s="93" t="n">
        <v>2014</v>
      </c>
      <c r="D9" s="94" t="s">
        <v>3</v>
      </c>
      <c r="E9" s="91"/>
      <c r="F9" s="91"/>
      <c r="G9" s="91"/>
      <c r="H9" s="91"/>
      <c r="I9" s="91"/>
      <c r="J9" s="91"/>
      <c r="K9" s="91"/>
      <c r="L9" s="91"/>
      <c r="M9" s="91"/>
      <c r="N9" s="91"/>
      <c r="O9" s="91"/>
      <c r="P9" s="91"/>
      <c r="Q9" s="91"/>
      <c r="R9" s="84"/>
    </row>
    <row r="10" customFormat="false" ht="16.5" hidden="true" customHeight="true" outlineLevel="0" collapsed="false">
      <c r="B10" s="84"/>
      <c r="C10" s="93" t="n">
        <v>2015</v>
      </c>
      <c r="D10" s="94" t="s">
        <v>3</v>
      </c>
      <c r="E10" s="91"/>
      <c r="F10" s="91"/>
      <c r="G10" s="91"/>
      <c r="H10" s="91"/>
      <c r="I10" s="91"/>
      <c r="J10" s="91"/>
      <c r="K10" s="91"/>
      <c r="L10" s="91"/>
      <c r="M10" s="91"/>
      <c r="N10" s="91"/>
      <c r="O10" s="91"/>
      <c r="P10" s="91"/>
      <c r="Q10" s="91"/>
      <c r="R10" s="84"/>
    </row>
    <row r="11" customFormat="false" ht="16.5" hidden="true" customHeight="true" outlineLevel="0" collapsed="false">
      <c r="B11" s="84"/>
      <c r="C11" s="93" t="n">
        <v>2016</v>
      </c>
      <c r="D11" s="94" t="s">
        <v>3</v>
      </c>
      <c r="E11" s="91"/>
      <c r="F11" s="91"/>
      <c r="G11" s="91"/>
      <c r="H11" s="91"/>
      <c r="I11" s="91"/>
      <c r="J11" s="91"/>
      <c r="K11" s="91"/>
      <c r="L11" s="91"/>
      <c r="M11" s="91"/>
      <c r="N11" s="91"/>
      <c r="O11" s="91"/>
      <c r="P11" s="91"/>
      <c r="Q11" s="91"/>
      <c r="R11" s="84"/>
    </row>
    <row r="12" customFormat="false" ht="16.5" hidden="true" customHeight="true" outlineLevel="0" collapsed="false">
      <c r="B12" s="84"/>
      <c r="C12" s="93" t="n">
        <v>2017</v>
      </c>
      <c r="D12" s="94" t="s">
        <v>3</v>
      </c>
      <c r="E12" s="91"/>
      <c r="F12" s="91"/>
      <c r="G12" s="91"/>
      <c r="H12" s="91"/>
      <c r="I12" s="91"/>
      <c r="J12" s="91"/>
      <c r="K12" s="91"/>
      <c r="L12" s="91"/>
      <c r="M12" s="91"/>
      <c r="N12" s="91"/>
      <c r="O12" s="91"/>
      <c r="P12" s="91"/>
      <c r="Q12" s="91"/>
      <c r="R12" s="84"/>
    </row>
    <row r="13" customFormat="false" ht="16.5" hidden="true" customHeight="true" outlineLevel="0" collapsed="false">
      <c r="B13" s="84"/>
      <c r="C13" s="93"/>
      <c r="D13" s="94" t="s">
        <v>26</v>
      </c>
      <c r="E13" s="91"/>
      <c r="F13" s="91"/>
      <c r="G13" s="91"/>
      <c r="H13" s="91"/>
      <c r="I13" s="91"/>
      <c r="J13" s="91"/>
      <c r="K13" s="91"/>
      <c r="L13" s="91"/>
      <c r="M13" s="91"/>
      <c r="N13" s="91"/>
      <c r="O13" s="91"/>
      <c r="P13" s="91"/>
      <c r="Q13" s="91"/>
      <c r="R13" s="84"/>
    </row>
    <row r="14" customFormat="false" ht="16.5" hidden="true" customHeight="true" outlineLevel="0" collapsed="false">
      <c r="B14" s="84"/>
      <c r="C14" s="93"/>
      <c r="D14" s="94" t="s">
        <v>38</v>
      </c>
      <c r="E14" s="91"/>
      <c r="F14" s="91"/>
      <c r="G14" s="91"/>
      <c r="H14" s="91"/>
      <c r="I14" s="91"/>
      <c r="J14" s="91"/>
      <c r="K14" s="91"/>
      <c r="L14" s="91"/>
      <c r="M14" s="91"/>
      <c r="N14" s="91"/>
      <c r="O14" s="91"/>
      <c r="P14" s="91"/>
      <c r="Q14" s="91"/>
      <c r="R14" s="84"/>
    </row>
    <row r="15" customFormat="false" ht="16.5" hidden="true" customHeight="true" outlineLevel="0" collapsed="false">
      <c r="B15" s="84"/>
      <c r="C15" s="93" t="n">
        <v>2018</v>
      </c>
      <c r="D15" s="94" t="s">
        <v>3</v>
      </c>
      <c r="E15" s="91"/>
      <c r="F15" s="91"/>
      <c r="G15" s="91"/>
      <c r="H15" s="91"/>
      <c r="I15" s="91"/>
      <c r="J15" s="91"/>
      <c r="K15" s="91"/>
      <c r="L15" s="91"/>
      <c r="M15" s="91"/>
      <c r="N15" s="91"/>
      <c r="O15" s="91"/>
      <c r="P15" s="91"/>
      <c r="Q15" s="91"/>
      <c r="R15" s="84"/>
    </row>
    <row r="16" customFormat="false" ht="16.5" hidden="true" customHeight="true" outlineLevel="0" collapsed="false">
      <c r="B16" s="84"/>
      <c r="C16" s="93"/>
      <c r="D16" s="94" t="s">
        <v>26</v>
      </c>
      <c r="E16" s="91"/>
      <c r="F16" s="91"/>
      <c r="G16" s="91"/>
      <c r="H16" s="91"/>
      <c r="I16" s="91"/>
      <c r="J16" s="91"/>
      <c r="K16" s="91"/>
      <c r="L16" s="91"/>
      <c r="M16" s="91"/>
      <c r="N16" s="91"/>
      <c r="O16" s="91"/>
      <c r="P16" s="91"/>
      <c r="Q16" s="91"/>
      <c r="R16" s="84"/>
    </row>
    <row r="17" customFormat="false" ht="16.5" hidden="true" customHeight="true" outlineLevel="0" collapsed="false">
      <c r="B17" s="84"/>
      <c r="C17" s="93"/>
      <c r="D17" s="94" t="s">
        <v>38</v>
      </c>
      <c r="E17" s="91"/>
      <c r="F17" s="91"/>
      <c r="G17" s="91"/>
      <c r="H17" s="91"/>
      <c r="I17" s="91"/>
      <c r="J17" s="91"/>
      <c r="K17" s="91"/>
      <c r="L17" s="91"/>
      <c r="M17" s="91"/>
      <c r="N17" s="91"/>
      <c r="O17" s="91"/>
      <c r="P17" s="91"/>
      <c r="Q17" s="91"/>
      <c r="R17" s="84"/>
    </row>
    <row r="18" customFormat="false" ht="16.5" hidden="true" customHeight="true" outlineLevel="0" collapsed="false">
      <c r="B18" s="84"/>
      <c r="C18" s="93" t="n">
        <v>2019</v>
      </c>
      <c r="D18" s="94" t="s">
        <v>3</v>
      </c>
      <c r="E18" s="91"/>
      <c r="F18" s="91"/>
      <c r="G18" s="91"/>
      <c r="H18" s="91"/>
      <c r="I18" s="91"/>
      <c r="J18" s="91"/>
      <c r="K18" s="91"/>
      <c r="L18" s="91"/>
      <c r="M18" s="91"/>
      <c r="N18" s="91"/>
      <c r="O18" s="91"/>
      <c r="P18" s="91"/>
      <c r="Q18" s="91"/>
      <c r="R18" s="84"/>
    </row>
    <row r="19" customFormat="false" ht="16.5" hidden="true" customHeight="true" outlineLevel="0" collapsed="false">
      <c r="B19" s="84"/>
      <c r="C19" s="93"/>
      <c r="D19" s="94" t="s">
        <v>26</v>
      </c>
      <c r="E19" s="91"/>
      <c r="F19" s="91"/>
      <c r="G19" s="91"/>
      <c r="H19" s="91"/>
      <c r="I19" s="91"/>
      <c r="J19" s="91"/>
      <c r="K19" s="91"/>
      <c r="L19" s="91"/>
      <c r="M19" s="91"/>
      <c r="N19" s="91"/>
      <c r="O19" s="91"/>
      <c r="P19" s="91"/>
      <c r="Q19" s="91"/>
      <c r="R19" s="84"/>
    </row>
    <row r="20" customFormat="false" ht="16.5" hidden="true" customHeight="true" outlineLevel="0" collapsed="false">
      <c r="B20" s="84"/>
      <c r="C20" s="93"/>
      <c r="D20" s="94" t="s">
        <v>38</v>
      </c>
      <c r="E20" s="91"/>
      <c r="F20" s="91"/>
      <c r="G20" s="91"/>
      <c r="H20" s="91"/>
      <c r="I20" s="91"/>
      <c r="J20" s="91"/>
      <c r="K20" s="91"/>
      <c r="L20" s="91"/>
      <c r="M20" s="91"/>
      <c r="N20" s="91"/>
      <c r="O20" s="91"/>
      <c r="P20" s="91"/>
      <c r="Q20" s="91"/>
      <c r="R20" s="84"/>
    </row>
    <row r="21" customFormat="false" ht="16.5" hidden="true" customHeight="true" outlineLevel="0" collapsed="false">
      <c r="B21" s="84"/>
      <c r="C21" s="93" t="n">
        <v>2020</v>
      </c>
      <c r="D21" s="94" t="s">
        <v>3</v>
      </c>
      <c r="E21" s="91"/>
      <c r="F21" s="91"/>
      <c r="G21" s="91"/>
      <c r="H21" s="91"/>
      <c r="I21" s="91"/>
      <c r="J21" s="91"/>
      <c r="K21" s="91"/>
      <c r="L21" s="91"/>
      <c r="M21" s="91"/>
      <c r="N21" s="91"/>
      <c r="O21" s="91"/>
      <c r="P21" s="91"/>
      <c r="Q21" s="91"/>
      <c r="R21" s="84"/>
    </row>
    <row r="22" customFormat="false" ht="16.5" hidden="true" customHeight="true" outlineLevel="0" collapsed="false">
      <c r="B22" s="84"/>
      <c r="C22" s="93"/>
      <c r="D22" s="94" t="s">
        <v>26</v>
      </c>
      <c r="E22" s="91"/>
      <c r="F22" s="91"/>
      <c r="G22" s="91"/>
      <c r="H22" s="91"/>
      <c r="I22" s="91"/>
      <c r="J22" s="91"/>
      <c r="K22" s="91"/>
      <c r="L22" s="91"/>
      <c r="M22" s="91"/>
      <c r="N22" s="91"/>
      <c r="O22" s="91"/>
      <c r="P22" s="91"/>
      <c r="Q22" s="91"/>
      <c r="R22" s="84"/>
    </row>
    <row r="23" customFormat="false" ht="16.5" hidden="true" customHeight="true" outlineLevel="0" collapsed="false">
      <c r="B23" s="84"/>
      <c r="C23" s="93"/>
      <c r="D23" s="94" t="s">
        <v>38</v>
      </c>
      <c r="E23" s="91"/>
      <c r="F23" s="91"/>
      <c r="G23" s="91"/>
      <c r="H23" s="91"/>
      <c r="I23" s="91"/>
      <c r="J23" s="91"/>
      <c r="K23" s="91"/>
      <c r="L23" s="91"/>
      <c r="M23" s="91"/>
      <c r="N23" s="91"/>
      <c r="O23" s="91"/>
      <c r="P23" s="91"/>
      <c r="Q23" s="91"/>
      <c r="R23" s="84"/>
    </row>
    <row r="24" customFormat="false" ht="16.5" hidden="true" customHeight="true" outlineLevel="0" collapsed="false">
      <c r="B24" s="84"/>
      <c r="C24" s="93" t="n">
        <v>2021</v>
      </c>
      <c r="D24" s="94" t="s">
        <v>3</v>
      </c>
      <c r="E24" s="91"/>
      <c r="F24" s="91"/>
      <c r="G24" s="91"/>
      <c r="H24" s="91"/>
      <c r="I24" s="91"/>
      <c r="J24" s="91"/>
      <c r="K24" s="91"/>
      <c r="L24" s="91"/>
      <c r="M24" s="91"/>
      <c r="N24" s="91"/>
      <c r="O24" s="91"/>
      <c r="P24" s="91"/>
      <c r="Q24" s="91"/>
      <c r="R24" s="84"/>
    </row>
    <row r="25" customFormat="false" ht="16.5" hidden="true" customHeight="true" outlineLevel="0" collapsed="false">
      <c r="B25" s="84"/>
      <c r="C25" s="93"/>
      <c r="D25" s="94" t="s">
        <v>26</v>
      </c>
      <c r="E25" s="91"/>
      <c r="F25" s="91"/>
      <c r="G25" s="91"/>
      <c r="H25" s="91"/>
      <c r="I25" s="91"/>
      <c r="J25" s="91"/>
      <c r="K25" s="91"/>
      <c r="L25" s="91"/>
      <c r="M25" s="91"/>
      <c r="N25" s="91"/>
      <c r="O25" s="91"/>
      <c r="P25" s="91"/>
      <c r="Q25" s="91"/>
      <c r="R25" s="84"/>
    </row>
    <row r="26" customFormat="false" ht="16.5" hidden="true" customHeight="true" outlineLevel="0" collapsed="false">
      <c r="B26" s="84"/>
      <c r="C26" s="93"/>
      <c r="D26" s="94" t="s">
        <v>38</v>
      </c>
      <c r="E26" s="91"/>
      <c r="F26" s="91"/>
      <c r="G26" s="91"/>
      <c r="H26" s="91"/>
      <c r="I26" s="91"/>
      <c r="J26" s="91"/>
      <c r="K26" s="91"/>
      <c r="L26" s="91"/>
      <c r="M26" s="91"/>
      <c r="N26" s="91"/>
      <c r="O26" s="91"/>
      <c r="P26" s="91"/>
      <c r="Q26" s="91"/>
      <c r="R26" s="84"/>
    </row>
    <row r="27" customFormat="false" ht="16.5" hidden="true" customHeight="true" outlineLevel="0" collapsed="false">
      <c r="B27" s="84"/>
      <c r="C27" s="93" t="n">
        <v>2022</v>
      </c>
      <c r="D27" s="94" t="s">
        <v>3</v>
      </c>
      <c r="E27" s="91"/>
      <c r="F27" s="91"/>
      <c r="G27" s="91"/>
      <c r="H27" s="91"/>
      <c r="I27" s="91"/>
      <c r="J27" s="91"/>
      <c r="K27" s="91"/>
      <c r="L27" s="91"/>
      <c r="M27" s="91"/>
      <c r="N27" s="91"/>
      <c r="O27" s="91"/>
      <c r="P27" s="91"/>
      <c r="Q27" s="91"/>
      <c r="R27" s="84"/>
    </row>
    <row r="28" customFormat="false" ht="16.5" hidden="true" customHeight="true" outlineLevel="0" collapsed="false">
      <c r="B28" s="84"/>
      <c r="C28" s="93"/>
      <c r="D28" s="94" t="s">
        <v>26</v>
      </c>
      <c r="E28" s="91"/>
      <c r="F28" s="91"/>
      <c r="G28" s="91"/>
      <c r="H28" s="91"/>
      <c r="I28" s="91"/>
      <c r="J28" s="91"/>
      <c r="K28" s="91"/>
      <c r="L28" s="91"/>
      <c r="M28" s="91"/>
      <c r="N28" s="91"/>
      <c r="O28" s="91"/>
      <c r="P28" s="91"/>
      <c r="Q28" s="91"/>
      <c r="R28" s="84"/>
    </row>
    <row r="29" customFormat="false" ht="16.5" hidden="true" customHeight="true" outlineLevel="0" collapsed="false">
      <c r="B29" s="84"/>
      <c r="C29" s="93"/>
      <c r="D29" s="94" t="s">
        <v>38</v>
      </c>
      <c r="E29" s="91"/>
      <c r="F29" s="91"/>
      <c r="G29" s="91"/>
      <c r="H29" s="91"/>
      <c r="I29" s="91"/>
      <c r="J29" s="91"/>
      <c r="K29" s="91"/>
      <c r="L29" s="91"/>
      <c r="M29" s="91"/>
      <c r="N29" s="91"/>
      <c r="O29" s="91"/>
      <c r="P29" s="91"/>
      <c r="Q29" s="91"/>
      <c r="R29" s="84"/>
    </row>
    <row r="30" customFormat="false" ht="16.5" hidden="false" customHeight="true" outlineLevel="0" collapsed="false">
      <c r="B30" s="84"/>
      <c r="C30" s="93" t="n">
        <v>2023</v>
      </c>
      <c r="D30" s="94" t="s">
        <v>3</v>
      </c>
      <c r="E30" s="91"/>
      <c r="F30" s="91"/>
      <c r="G30" s="91"/>
      <c r="H30" s="91"/>
      <c r="I30" s="91"/>
      <c r="J30" s="91"/>
      <c r="K30" s="91"/>
      <c r="L30" s="91"/>
      <c r="M30" s="91" t="n">
        <f aca="false">+'Datos ICP (2)'!AM77</f>
        <v>0</v>
      </c>
      <c r="N30" s="91" t="n">
        <f aca="false">+'Datos ICP (2)'!AN77</f>
        <v>0</v>
      </c>
      <c r="O30" s="91" t="n">
        <f aca="false">+'Datos ICP (2)'!AO77</f>
        <v>0.00752661431064561</v>
      </c>
      <c r="P30" s="91" t="n">
        <f aca="false">+'Datos ICP (2)'!AP77</f>
        <v>0.00708194994827327</v>
      </c>
      <c r="Q30" s="91" t="n">
        <f aca="false">+'Datos ICP (2)'!AQ77</f>
        <v>0.100882275530511</v>
      </c>
      <c r="R30" s="84"/>
    </row>
    <row r="31" customFormat="false" ht="16.5" hidden="false" customHeight="true" outlineLevel="0" collapsed="false">
      <c r="B31" s="84"/>
      <c r="C31" s="93"/>
      <c r="D31" s="94" t="s">
        <v>26</v>
      </c>
      <c r="E31" s="91"/>
      <c r="F31" s="91"/>
      <c r="G31" s="91"/>
      <c r="H31" s="91"/>
      <c r="I31" s="91"/>
      <c r="J31" s="91"/>
      <c r="K31" s="91"/>
      <c r="L31" s="91"/>
      <c r="M31" s="91" t="n">
        <f aca="false">+'Datos ICP (2)'!AM78</f>
        <v>0</v>
      </c>
      <c r="N31" s="91" t="n">
        <f aca="false">+'Datos ICP (2)'!AN78</f>
        <v>0</v>
      </c>
      <c r="O31" s="91" t="n">
        <f aca="false">+'Datos ICP (2)'!AO78</f>
        <v>0.00616956723192952</v>
      </c>
      <c r="P31" s="91" t="n">
        <f aca="false">+'Datos ICP (2)'!AP78</f>
        <v>0.00610155186395645</v>
      </c>
      <c r="Q31" s="91" t="n">
        <f aca="false">+'Datos ICP (2)'!AQ78</f>
        <v>0.0844938543904241</v>
      </c>
      <c r="R31" s="84"/>
    </row>
    <row r="32" customFormat="false" ht="16.5" hidden="false" customHeight="true" outlineLevel="0" collapsed="false">
      <c r="B32" s="84"/>
      <c r="C32" s="93"/>
      <c r="D32" s="94" t="s">
        <v>38</v>
      </c>
      <c r="E32" s="91"/>
      <c r="F32" s="91"/>
      <c r="G32" s="91"/>
      <c r="H32" s="91"/>
      <c r="I32" s="91"/>
      <c r="J32" s="91"/>
      <c r="K32" s="91"/>
      <c r="L32" s="91"/>
      <c r="M32" s="91" t="n">
        <f aca="false">+'Datos ICP (2)'!AM79</f>
        <v>0</v>
      </c>
      <c r="N32" s="91" t="n">
        <f aca="false">+'Datos ICP (2)'!AN79</f>
        <v>0</v>
      </c>
      <c r="O32" s="91" t="n">
        <f aca="false">+'Datos ICP (2)'!AO79</f>
        <v>0.00601450000000003</v>
      </c>
      <c r="P32" s="91" t="n">
        <f aca="false">+'Datos ICP (2)'!AP79</f>
        <v>0.0106517351390065</v>
      </c>
      <c r="Q32" s="91" t="n">
        <f aca="false">+'Datos ICP (2)'!AQ79</f>
        <v>0.100381800000001</v>
      </c>
      <c r="R32" s="84"/>
    </row>
    <row r="33" customFormat="false" ht="16.5" hidden="false" customHeight="true" outlineLevel="0" collapsed="false">
      <c r="B33" s="84"/>
      <c r="C33" s="93" t="n">
        <v>2024</v>
      </c>
      <c r="D33" s="94" t="s">
        <v>3</v>
      </c>
      <c r="E33" s="91" t="n">
        <f aca="false">+'Datos ICP (2)'!AE80</f>
        <v>0.00735722532416316</v>
      </c>
      <c r="F33" s="91" t="n">
        <f aca="false">+'Datos ICP (2)'!AF80</f>
        <v>0.00611213912063557</v>
      </c>
      <c r="G33" s="91" t="n">
        <f aca="false">+'Datos ICP (2)'!AG80</f>
        <v>0.00564735171406094</v>
      </c>
      <c r="H33" s="91" t="n">
        <f aca="false">+'Datos ICP (2)'!AH80</f>
        <v>0.00609278396182833</v>
      </c>
      <c r="I33" s="91" t="n">
        <f aca="false">+'Datos ICP (2)'!AI80</f>
        <v>0.00551411929031809</v>
      </c>
      <c r="J33" s="91" t="n">
        <f aca="false">+'Datos ICP (2)'!AJ80</f>
        <v>0.00461354906321554</v>
      </c>
      <c r="K33" s="91" t="n">
        <f aca="false">+'Datos ICP (2)'!AK80</f>
        <v>0.00528435035284347</v>
      </c>
      <c r="L33" s="91" t="n">
        <f aca="false">+'Datos ICP (2)'!AL80</f>
        <v>0.00480235203759283</v>
      </c>
      <c r="M33" s="91" t="n">
        <f aca="false">+'Datos ICP (2)'!AM80</f>
        <v>0.00478104349541386</v>
      </c>
      <c r="N33" s="91" t="n">
        <f aca="false">+'Datos ICP (2)'!AN80</f>
        <v>0.00451044051641847</v>
      </c>
      <c r="O33" s="91" t="n">
        <f aca="false">+'Datos ICP (2)'!AO80</f>
        <v>0.0043843255475724</v>
      </c>
      <c r="P33" s="91" t="n">
        <f aca="false">+'Datos ICP (2)'!AP80</f>
        <v>0.00444626417327787</v>
      </c>
      <c r="Q33" s="91" t="n">
        <f aca="false">+'Datos ICP (2)'!AQ80</f>
        <v>0.0654251259349719</v>
      </c>
      <c r="R33" s="84"/>
    </row>
    <row r="34" customFormat="false" ht="16.5" hidden="false" customHeight="true" outlineLevel="0" collapsed="false">
      <c r="B34" s="84"/>
      <c r="C34" s="93"/>
      <c r="D34" s="94" t="s">
        <v>26</v>
      </c>
      <c r="E34" s="91" t="n">
        <f aca="false">+'Datos ICP (2)'!AE81</f>
        <v>0.00587192975175177</v>
      </c>
      <c r="F34" s="91" t="n">
        <f aca="false">+'Datos ICP (2)'!AF81</f>
        <v>0.00508491077058904</v>
      </c>
      <c r="G34" s="91" t="n">
        <f aca="false">+'Datos ICP (2)'!AG81</f>
        <v>0.0044501495538698</v>
      </c>
      <c r="H34" s="91" t="n">
        <f aca="false">+'Datos ICP (2)'!AH81</f>
        <v>0.00472012403360989</v>
      </c>
      <c r="I34" s="91" t="n">
        <f aca="false">+'Datos ICP (2)'!AI81</f>
        <v>0.00416779685595303</v>
      </c>
      <c r="J34" s="91" t="n">
        <f aca="false">+'Datos ICP (2)'!AJ81</f>
        <v>0.00365019312776771</v>
      </c>
      <c r="K34" s="91" t="n">
        <f aca="false">+'Datos ICP (2)'!AK81</f>
        <v>0.00363412607508162</v>
      </c>
      <c r="L34" s="91" t="n">
        <f aca="false">+'Datos ICP (2)'!AL81</f>
        <v>0.00362766941593184</v>
      </c>
      <c r="M34" s="91" t="n">
        <f aca="false">+'Datos ICP (2)'!AM81</f>
        <v>0.0033754452875443</v>
      </c>
      <c r="N34" s="91" t="n">
        <f aca="false">+'Datos ICP (2)'!AN81</f>
        <v>0.00341081299567914</v>
      </c>
      <c r="O34" s="91" t="n">
        <f aca="false">+'Datos ICP (2)'!AO81</f>
        <v>0.00322037460491331</v>
      </c>
      <c r="P34" s="91" t="n">
        <f aca="false">+'Datos ICP (2)'!AP81</f>
        <v>0.003229855901979</v>
      </c>
      <c r="Q34" s="91" t="n">
        <f aca="false">+'Datos ICP (2)'!AQ81</f>
        <v>0.0495295629197707</v>
      </c>
      <c r="R34" s="84"/>
    </row>
    <row r="35" customFormat="false" ht="16.5" hidden="false" customHeight="true" outlineLevel="0" collapsed="false">
      <c r="B35" s="84"/>
      <c r="C35" s="93"/>
      <c r="D35" s="94" t="s">
        <v>38</v>
      </c>
      <c r="E35" s="91" t="n">
        <f aca="false">+'Datos ICP (2)'!AE82</f>
        <v>0.00806546239450112</v>
      </c>
      <c r="F35" s="91" t="n">
        <f aca="false">+'Datos ICP (2)'!AF82</f>
        <v>0.00671772247626135</v>
      </c>
      <c r="G35" s="91" t="n">
        <f aca="false">+'Datos ICP (2)'!AG82</f>
        <v>0.00666649932415275</v>
      </c>
      <c r="H35" s="91" t="n">
        <f aca="false">+'Datos ICP (2)'!AH82</f>
        <v>0.00676387522991595</v>
      </c>
      <c r="I35" s="91" t="n">
        <f aca="false">+'Datos ICP (2)'!AI82</f>
        <v>0.00633486914901971</v>
      </c>
      <c r="J35" s="91" t="n">
        <f aca="false">+'Datos ICP (2)'!AJ82</f>
        <v>0.00517938705629328</v>
      </c>
      <c r="K35" s="91" t="n">
        <f aca="false">+'Datos ICP (2)'!AK82</f>
        <v>0.00484488914724612</v>
      </c>
      <c r="L35" s="91" t="n">
        <f aca="false">+'Datos ICP (2)'!AL82</f>
        <v>0.00501382982726817</v>
      </c>
      <c r="M35" s="91" t="n">
        <f aca="false">+'Datos ICP (2)'!AM82</f>
        <v>0.00501661924796037</v>
      </c>
      <c r="N35" s="91" t="n">
        <f aca="false">+'Datos ICP (2)'!AN82</f>
        <v>0.00458891757822655</v>
      </c>
      <c r="O35" s="91" t="n">
        <f aca="false">+'Datos ICP (2)'!AO82</f>
        <v>0.00512398763137023</v>
      </c>
      <c r="P35" s="91" t="n">
        <f aca="false">+'Datos ICP (2)'!AP82</f>
        <v>0.00434421887911518</v>
      </c>
      <c r="Q35" s="91" t="n">
        <f aca="false">+'Datos ICP (2)'!AQ82</f>
        <v>0.0708550733660638</v>
      </c>
      <c r="R35" s="84"/>
    </row>
    <row r="36" customFormat="false" ht="15" hidden="false" customHeight="false" outlineLevel="0" collapsed="false">
      <c r="C36" s="93" t="n">
        <v>2025</v>
      </c>
      <c r="D36" s="94" t="s">
        <v>3</v>
      </c>
      <c r="E36" s="91" t="n">
        <f aca="false">+'Datos ICP (2)'!AE83</f>
        <v>0.00445443017437541</v>
      </c>
      <c r="F36" s="91" t="n">
        <f aca="false">+'Datos ICP (2)'!AF83</f>
        <v>0.00389626305099444</v>
      </c>
      <c r="G36" s="91" t="n">
        <f aca="false">+'Datos ICP (2)'!AG83</f>
        <v>0.0043138020854181</v>
      </c>
      <c r="H36" s="91" t="n">
        <f aca="false">+'Datos ICP (2)'!AH83</f>
        <v>0.00417571644342774</v>
      </c>
      <c r="I36" s="91" t="n">
        <f aca="false">+'Datos ICP (2)'!AI83</f>
        <v>0.00417422694650416</v>
      </c>
      <c r="J36" s="91" t="n">
        <f aca="false">+'Datos ICP (2)'!AJ83</f>
        <v>0.00431456613652492</v>
      </c>
      <c r="K36" s="91" t="n">
        <f aca="false">+'Datos ICP (2)'!AK83</f>
        <v>0.00430626208344687</v>
      </c>
      <c r="L36" s="91" t="n">
        <f aca="false">+'Datos ICP (2)'!AL83</f>
        <v>0.00383327468941586</v>
      </c>
      <c r="M36" s="91" t="n">
        <f aca="false">+'Datos ICP (2)'!AM83</f>
        <v>0.00423004876441735</v>
      </c>
      <c r="N36" s="91" t="n">
        <f aca="false">+'Datos ICP (2)'!AN83</f>
        <v>0.00396619021077105</v>
      </c>
      <c r="O36" s="91" t="n">
        <f aca="false">+'Datos ICP (2)'!AO83</f>
        <v>0.00383243965233548</v>
      </c>
      <c r="P36" s="91" t="n">
        <f aca="false">+'Datos ICP (2)'!AP83</f>
        <v>0.00413946203577598</v>
      </c>
      <c r="Q36" s="91" t="n">
        <f aca="false">+'Datos ICP (2)'!AQ83</f>
        <v>0.0461215166375695</v>
      </c>
    </row>
    <row r="37" customFormat="false" ht="15" hidden="false" customHeight="false" outlineLevel="0" collapsed="false">
      <c r="C37" s="93"/>
      <c r="D37" s="94" t="s">
        <v>26</v>
      </c>
      <c r="E37" s="91" t="n">
        <f aca="false">+'Datos ICP (2)'!AE84</f>
        <v>0.00302021033404665</v>
      </c>
      <c r="F37" s="91" t="n">
        <f aca="false">+'Datos ICP (2)'!AF84</f>
        <v>0.00276213771028111</v>
      </c>
      <c r="G37" s="91" t="n">
        <f aca="false">+'Datos ICP (2)'!AG84</f>
        <v>0.00306282692323312</v>
      </c>
      <c r="H37" s="91" t="n">
        <f aca="false">+'Datos ICP (2)'!AH84</f>
        <v>0.00297594968581905</v>
      </c>
      <c r="I37" s="91" t="n">
        <f aca="false">+'Datos ICP (2)'!AI84</f>
        <v>0.00308976252279503</v>
      </c>
      <c r="J37" s="91" t="n">
        <f aca="false">+'Datos ICP (2)'!AJ84</f>
        <v>0.00299705245742721</v>
      </c>
      <c r="K37" s="91" t="n">
        <f aca="false">+'Datos ICP (2)'!AK84</f>
        <v>0.00295054952791363</v>
      </c>
      <c r="L37" s="91" t="n">
        <f aca="false">+'Datos ICP (2)'!AL84</f>
        <v>0.00300054219083834</v>
      </c>
      <c r="M37" s="91" t="n">
        <f aca="false">+'Datos ICP (2)'!AM84</f>
        <v>0.00276161496613736</v>
      </c>
      <c r="N37" s="91" t="n">
        <f aca="false">+'Datos ICP (2)'!AN84</f>
        <v>0.00286519472447866</v>
      </c>
      <c r="O37" s="91" t="n">
        <f aca="false">+'Datos ICP (2)'!AO84</f>
        <v>0.00279501576319907</v>
      </c>
      <c r="P37" s="91" t="n">
        <f aca="false">+'Datos ICP (2)'!AP84</f>
        <v>0.00283776649927603</v>
      </c>
      <c r="Q37" s="91" t="n">
        <f aca="false">+'Datos ICP (2)'!AQ84</f>
        <v>0.0325707862057447</v>
      </c>
    </row>
    <row r="38" customFormat="false" ht="15" hidden="false" customHeight="false" outlineLevel="0" collapsed="false">
      <c r="C38" s="93"/>
      <c r="D38" s="94" t="s">
        <v>38</v>
      </c>
      <c r="E38" s="91" t="n">
        <f aca="false">+'Datos ICP (2)'!AE85</f>
        <v>0.00390155577280371</v>
      </c>
      <c r="F38" s="91" t="n">
        <f aca="false">+'Datos ICP (2)'!AF85</f>
        <v>0.00430550730742296</v>
      </c>
      <c r="G38" s="91" t="n">
        <f aca="false">+'Datos ICP (2)'!AG85</f>
        <v>0.00492755606209827</v>
      </c>
      <c r="H38" s="91" t="n">
        <f aca="false">+'Datos ICP (2)'!AH85</f>
        <v>0.00511669572630247</v>
      </c>
      <c r="I38" s="91" t="n">
        <f aca="false">+'Datos ICP (2)'!AI85</f>
        <v>0.00581108106201933</v>
      </c>
      <c r="J38" s="91" t="n">
        <f aca="false">+'Datos ICP (2)'!AJ85</f>
        <v>0.00573267335078054</v>
      </c>
      <c r="K38" s="91" t="n">
        <f aca="false">+'Datos ICP (2)'!AK85</f>
        <v>0.00546257154641183</v>
      </c>
      <c r="L38" s="91" t="n">
        <f aca="false">+'Datos ICP (2)'!AL85</f>
        <v>0.00570370071510173</v>
      </c>
      <c r="M38" s="91" t="n">
        <f aca="false">+'Datos ICP (2)'!AM85</f>
        <v>0.0058239751262108</v>
      </c>
      <c r="N38" s="91" t="n">
        <f aca="false">+'Datos ICP (2)'!AN85</f>
        <v>0.00653676013728166</v>
      </c>
      <c r="O38" s="91" t="n">
        <f aca="false">+'Datos ICP (2)'!AO85</f>
        <v>0.00609177798087179</v>
      </c>
      <c r="P38" s="91" t="n">
        <f aca="false">+'Datos ICP (2)'!AP85</f>
        <v>0.005732013770406</v>
      </c>
      <c r="Q38" s="91" t="n">
        <f aca="false">+'Datos ICP (2)'!AQ85</f>
        <v>0.0629761412133203</v>
      </c>
    </row>
    <row r="39" customFormat="false" ht="15" hidden="false" customHeight="false" outlineLevel="0" collapsed="false">
      <c r="C39" s="93" t="n">
        <v>2026</v>
      </c>
      <c r="D39" s="94" t="s">
        <v>3</v>
      </c>
      <c r="E39" s="91" t="n">
        <f aca="false">+'Datos ICP (2)'!AE86</f>
        <v>0.00388234363273376</v>
      </c>
      <c r="F39" s="91" t="n">
        <f aca="false">+'Datos ICP (2)'!AF86</f>
        <v>0.00363126461056962</v>
      </c>
      <c r="G39" s="91" t="n">
        <f aca="false">+'Datos ICP (2)'!AG86</f>
        <v>0.0038819280865483</v>
      </c>
      <c r="H39" s="91" t="n">
        <f aca="false">+'Datos ICP (2)'!AH86</f>
        <v>-0.254362857499898</v>
      </c>
      <c r="I39" s="91"/>
      <c r="J39" s="91"/>
      <c r="K39" s="91"/>
      <c r="L39" s="91"/>
      <c r="M39" s="91"/>
      <c r="N39" s="91"/>
      <c r="O39" s="91"/>
      <c r="P39" s="91"/>
      <c r="Q39" s="91" t="n">
        <f aca="false">+'Datos ICP (2)'!AQ86</f>
        <v>-0.746250693705866</v>
      </c>
    </row>
    <row r="40" customFormat="false" ht="15" hidden="false" customHeight="false" outlineLevel="0" collapsed="false">
      <c r="C40" s="93"/>
      <c r="D40" s="94" t="s">
        <v>26</v>
      </c>
      <c r="E40" s="91" t="n">
        <f aca="false">+'Datos ICP (2)'!AE87</f>
        <v>0.00272443815472734</v>
      </c>
      <c r="F40" s="91" t="n">
        <f aca="false">+'Datos ICP (2)'!AF87</f>
        <v>0.00244521636660222</v>
      </c>
      <c r="G40" s="91" t="n">
        <f aca="false">+'Datos ICP (2)'!AG87</f>
        <v>0.00268777625151762</v>
      </c>
      <c r="H40" s="91" t="n">
        <f aca="false">+'Datos ICP (2)'!AH87</f>
        <v>-1</v>
      </c>
      <c r="I40" s="91"/>
      <c r="J40" s="91"/>
      <c r="K40" s="91"/>
      <c r="L40" s="91"/>
      <c r="M40" s="91"/>
      <c r="N40" s="91"/>
      <c r="O40" s="91"/>
      <c r="P40" s="91"/>
      <c r="Q40" s="91" t="n">
        <f aca="false">+'Datos ICP (2)'!AQ87</f>
        <v>-3</v>
      </c>
    </row>
    <row r="41" customFormat="false" ht="15" hidden="false" customHeight="false" outlineLevel="0" collapsed="false">
      <c r="C41" s="93"/>
      <c r="D41" s="94" t="s">
        <v>38</v>
      </c>
      <c r="E41" s="91" t="n">
        <f aca="false">+'Datos ICP (2)'!AE88</f>
        <v>0.0055847005748062</v>
      </c>
      <c r="F41" s="91" t="n">
        <f aca="false">+'Datos ICP (2)'!AF88</f>
        <v>0.00557319975137394</v>
      </c>
      <c r="G41" s="91" t="n">
        <f aca="false">+'Datos ICP (2)'!AG88</f>
        <v>0.0059821111206444</v>
      </c>
      <c r="H41" s="91" t="n">
        <f aca="false">+'Datos ICP (2)'!AH88</f>
        <v>0.0056080100795266</v>
      </c>
      <c r="I41" s="91"/>
      <c r="J41" s="91"/>
      <c r="K41" s="91"/>
      <c r="L41" s="91"/>
      <c r="M41" s="91"/>
      <c r="N41" s="91"/>
      <c r="O41" s="91"/>
      <c r="P41" s="91"/>
      <c r="Q41" s="91" t="n">
        <f aca="false">+'Datos ICP (2)'!AQ88</f>
        <v>0.0517849491595523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5" activeCellId="0" sqref="P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5"/>
      <c r="C1" s="96"/>
      <c r="J1" s="97" t="s">
        <v>49</v>
      </c>
      <c r="K1" s="95"/>
      <c r="L1" s="98"/>
      <c r="N1" s="97" t="s">
        <v>50</v>
      </c>
      <c r="O1" s="95"/>
      <c r="P1" s="98"/>
      <c r="R1" s="97" t="s">
        <v>51</v>
      </c>
      <c r="S1" s="95"/>
      <c r="T1" s="98"/>
    </row>
    <row r="2" customFormat="false" ht="15" hidden="false" customHeight="false" outlineLevel="0" collapsed="false">
      <c r="C2" s="96"/>
      <c r="O2" s="99" t="s">
        <v>52</v>
      </c>
      <c r="P2" s="100" t="n">
        <v>0</v>
      </c>
    </row>
    <row r="3" customFormat="false" ht="15" hidden="false" customHeight="false" outlineLevel="0" collapsed="false">
      <c r="C3" s="96"/>
      <c r="K3" s="99" t="s">
        <v>53</v>
      </c>
      <c r="L3" s="100" t="n">
        <v>0.0072</v>
      </c>
      <c r="O3" s="99" t="s">
        <v>54</v>
      </c>
      <c r="P3" s="100" t="n">
        <v>0</v>
      </c>
      <c r="S3" s="99" t="s">
        <v>55</v>
      </c>
      <c r="T3" s="100" t="n">
        <v>1</v>
      </c>
    </row>
    <row r="4" customFormat="false" ht="15" hidden="false" customHeight="false" outlineLevel="0" collapsed="false">
      <c r="C4" s="96"/>
      <c r="K4" s="99" t="s">
        <v>56</v>
      </c>
      <c r="L4" s="100" t="n">
        <v>0.9718</v>
      </c>
      <c r="O4" s="99" t="s">
        <v>57</v>
      </c>
      <c r="P4" s="100" t="n">
        <v>0</v>
      </c>
      <c r="S4" s="99" t="s">
        <v>58</v>
      </c>
      <c r="T4" s="100" t="n">
        <v>0</v>
      </c>
    </row>
    <row r="5" customFormat="false" ht="15" hidden="false" customHeight="false" outlineLevel="0" collapsed="false">
      <c r="A5" s="95"/>
      <c r="B5" s="95"/>
      <c r="C5" s="96"/>
      <c r="K5" s="99" t="s">
        <v>59</v>
      </c>
      <c r="L5" s="100" t="n">
        <v>0.021</v>
      </c>
      <c r="O5" s="99" t="s">
        <v>60</v>
      </c>
      <c r="P5" s="100" t="n">
        <v>0</v>
      </c>
    </row>
    <row r="6" customFormat="false" ht="15" hidden="false" customHeight="false" outlineLevel="0" collapsed="false">
      <c r="A6" s="95"/>
      <c r="B6" s="95"/>
      <c r="C6" s="96"/>
      <c r="K6" s="99" t="s">
        <v>61</v>
      </c>
      <c r="L6" s="100" t="n">
        <v>0</v>
      </c>
      <c r="O6" s="99" t="s">
        <v>62</v>
      </c>
      <c r="P6" s="100" t="n">
        <v>0.214</v>
      </c>
    </row>
    <row r="7" customFormat="false" ht="15" hidden="false" customHeight="false" outlineLevel="0" collapsed="false">
      <c r="B7" s="95"/>
      <c r="C7" s="96"/>
      <c r="L7" s="101" t="n">
        <f aca="false">SUM(L3:L6)</f>
        <v>1</v>
      </c>
      <c r="O7" s="99" t="s">
        <v>63</v>
      </c>
      <c r="P7" s="100" t="n">
        <v>0</v>
      </c>
      <c r="Q7" s="101"/>
    </row>
    <row r="8" customFormat="false" ht="15" hidden="false" customHeight="false" outlineLevel="0" collapsed="false">
      <c r="C8" s="96"/>
      <c r="O8" s="99" t="s">
        <v>64</v>
      </c>
      <c r="P8" s="100" t="n">
        <v>0.786</v>
      </c>
    </row>
    <row r="9" customFormat="false" ht="15" hidden="false" customHeight="false" outlineLevel="0" collapsed="false">
      <c r="C9" s="96"/>
      <c r="O9" s="99" t="s">
        <v>65</v>
      </c>
      <c r="P9" s="100" t="n">
        <v>0</v>
      </c>
    </row>
    <row r="10" customFormat="false" ht="15" hidden="false" customHeight="false" outlineLevel="0" collapsed="false">
      <c r="C10" s="96"/>
      <c r="O10" s="99" t="s">
        <v>66</v>
      </c>
      <c r="P10" s="100" t="n">
        <v>0</v>
      </c>
    </row>
    <row r="11" customFormat="false" ht="15" hidden="false" customHeight="false" outlineLevel="0" collapsed="false">
      <c r="C11" s="96"/>
      <c r="O11" s="99" t="s">
        <v>67</v>
      </c>
      <c r="P11" s="100" t="n">
        <v>0</v>
      </c>
    </row>
    <row r="12" customFormat="false" ht="15" hidden="true" customHeight="false" outlineLevel="0" collapsed="false">
      <c r="C12" s="96"/>
      <c r="O12" s="99"/>
      <c r="P12" s="100"/>
    </row>
    <row r="13" customFormat="false" ht="15" hidden="false" customHeight="false" outlineLevel="0" collapsed="false">
      <c r="C13" s="96"/>
      <c r="O13" s="99" t="s">
        <v>68</v>
      </c>
      <c r="P13" s="100" t="n">
        <v>0</v>
      </c>
    </row>
    <row r="14" customFormat="false" ht="15" hidden="true" customHeight="false" outlineLevel="0" collapsed="false">
      <c r="A14" s="95" t="s">
        <v>69</v>
      </c>
      <c r="B14" s="102" t="n">
        <v>0</v>
      </c>
      <c r="C14" s="96"/>
    </row>
    <row r="15" customFormat="false" ht="15" hidden="false" customHeight="false" outlineLevel="0" collapsed="false">
      <c r="A15" s="95"/>
      <c r="B15" s="102"/>
      <c r="C15" s="96"/>
      <c r="P15" s="101" t="n">
        <f aca="false">SUM(P2:P14)</f>
        <v>1</v>
      </c>
    </row>
    <row r="16" customFormat="false" ht="15" hidden="false" customHeight="false" outlineLevel="0" collapsed="false">
      <c r="B16" s="95"/>
      <c r="C16" s="96"/>
    </row>
    <row r="17" customFormat="false" ht="15" hidden="false" customHeight="false" outlineLevel="0" collapsed="false">
      <c r="C17" s="96"/>
    </row>
    <row r="18" customFormat="false" ht="15" hidden="false" customHeight="false" outlineLevel="0" collapsed="false">
      <c r="C18" s="96"/>
    </row>
    <row r="19" customFormat="false" ht="15" hidden="false" customHeight="false" outlineLevel="0" collapsed="false">
      <c r="C19" s="96"/>
    </row>
    <row r="20" customFormat="false" ht="15" hidden="false" customHeight="false" outlineLevel="0" collapsed="false">
      <c r="C20" s="96"/>
    </row>
    <row r="21" customFormat="false" ht="15" hidden="false" customHeight="false" outlineLevel="0" collapsed="false">
      <c r="C21" s="96"/>
      <c r="N21" s="103"/>
      <c r="O21" s="104"/>
    </row>
    <row r="22" customFormat="false" ht="15" hidden="false" customHeight="false" outlineLevel="0" collapsed="false">
      <c r="A22" s="96"/>
      <c r="B22" s="96"/>
      <c r="C22" s="96"/>
    </row>
    <row r="23" customFormat="false" ht="15" hidden="false" customHeight="false" outlineLevel="0" collapsed="false">
      <c r="A23" s="96"/>
      <c r="B23" s="96"/>
      <c r="C23" s="96"/>
    </row>
    <row r="24" customFormat="false" ht="15" hidden="false" customHeight="false" outlineLevel="0" collapsed="false">
      <c r="A24" s="96"/>
      <c r="B24" s="96"/>
      <c r="C24" s="96"/>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2026-05-19T13:57:08Z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