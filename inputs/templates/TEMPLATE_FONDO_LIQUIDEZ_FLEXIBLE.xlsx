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<sst xmlns="http://schemas.openxmlformats.org/spreadsheetml/2006/main" count="244" uniqueCount="71">
  <si>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</si>
  <si>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</si>
  <si>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</si>
  <si>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</si>
  <si>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</si>
  <si>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</si>
  <si>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</si>
  <si>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</si>
  <si>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</si>
  <si>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</si>
  <si>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</si>
  <si>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</si>
  <si>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</si>
  <si>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</si>
  <si>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</si>
  <si>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</si>
  <si>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</si>
  <si>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</si>
  <si>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</si>
  <si>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Flexible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</si>
  <si>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</si>
  <si>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</si>
  <si>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</si>
  <si>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</si>
  <si>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</si>
  <si>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</si>
  <si>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</si>
  <si>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lexible</t>
  </si>
  <si>
    <t xml:space="preserve">(*) Acum a Mar</t>
  </si>
  <si>
    <t xml:space="preserve">FONDO LIQUIDEZ FLEXIBLE</t>
  </si>
  <si>
    <t xml:space="preserve">FLEXIBLE</t>
  </si>
  <si>
    <t xml:space="preserve">Rentabilidad</t>
  </si>
  <si>
    <t xml:space="preserve">Mensual</t>
  </si>
  <si>
    <t xml:space="preserve">Trimestral</t>
  </si>
  <si>
    <t xml:space="preserve">Semestral</t>
  </si>
  <si>
    <t xml:space="preserve">Anual</t>
  </si>
  <si>
    <t xml:space="preserve">Acum. 2025</t>
  </si>
  <si>
    <t xml:space="preserve">ICP (Bechmark)</t>
  </si>
  <si>
    <t xml:space="preserve">FIP LIQUIDEZ FLEXIBLE</t>
  </si>
  <si>
    <t xml:space="preserve">Año</t>
  </si>
  <si>
    <t xml:space="preserve">Fondo</t>
  </si>
  <si>
    <t xml:space="preserve">FIP Liquidez Flexible</t>
  </si>
  <si>
    <t xml:space="preserve">DIVIDENDO 2016</t>
  </si>
  <si>
    <t xml:space="preserve">Dividendo 2017</t>
  </si>
  <si>
    <t xml:space="preserve">Dividendo 2018</t>
  </si>
  <si>
    <t xml:space="preserve">Dividendo 2021</t>
  </si>
  <si>
    <t xml:space="preserve">Dividendo 2022</t>
  </si>
  <si>
    <t xml:space="preserve">ICP (Benchmark)</t>
  </si>
  <si>
    <t xml:space="preserve">Total
Año</t>
  </si>
  <si>
    <t xml:space="preserve">FIP LIQUIDEZ Continua</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</si>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</sst>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_ * #,##0.00_ ;_ * \-#,##0.00_ ;_ * \-_ ;_ @_ "/>
    <numFmt numFmtId="176" formatCode="0.000%"/>
    <numFmt numFmtId="177" formatCode="_ * #,##0.000_ ;_ * \-#,##0.000_ ;_ * \-_ ;_ @_ "/>
    <numFmt numFmtId="178" formatCode="#,##0"/>
    <numFmt numFmtId="179" formatCode="0.0%"/>
  </numFmts>
  <fonts count="42">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20"/>
      <color rgb="FF000000"/>
      <name val="Be Vietnam Pro Medium"/>
      <family val="2"/>
    </font>
    <font>
      <sz val="12"/>
      <color rgb="FF000000"/>
      <name val="Be Vietnam Pro Light"/>
      <family val="2"/>
    </font>
    <font>
      <sz val="10"/>
      <color rgb="FF595959"/>
      <name val="Calibri"/>
      <family val="2"/>
    </font>
    <font>
      <sz val="18"/>
      <color rgb="FF000000"/>
      <name val="Be Vietnam Pro Light"/>
      <family val="2"/>
    </font>
    <font>
      <sz val="9"/>
      <color theme="1"/>
      <name val="Be Vietnam Pro Medium"/>
      <family val="0"/>
      <charset val="1"/>
    </font>
    <font>
      <sz val="11"/>
      <color theme="1"/>
      <name val="Aileron"/>
      <family val="3"/>
      <charset val="1"/>
    </font>
    <font>
      <b val="true"/>
      <sz val="11"/>
      <color theme="1"/>
      <name val="Aileron"/>
      <family val="3"/>
      <charset val="1"/>
    </font>
    <font>
      <sz val="11"/>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21" applyFont="true" applyBorder="false" applyAlignment="false" applyProtection="false">
      <alignment horizontal="general" vertical="bottom" textRotation="0" wrapText="false" indent="0" shrinkToFit="false"/>
      <protection locked="true" hidden="false"/>
    </xf>
    <xf numFmtId="167" fontId="7" fillId="0" borderId="0" xfId="21" applyFont="true" applyBorder="false" applyAlignment="false" applyProtection="false">
      <alignment horizontal="general" vertical="bottom" textRotation="0" wrapText="false" indent="0" shrinkToFit="false"/>
      <protection locked="true" hidden="false"/>
    </xf>
    <xf numFmtId="168" fontId="7" fillId="0"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false" applyProtection="false">
      <alignment horizontal="general" vertical="bottom" textRotation="0" wrapText="false" indent="0" shrinkToFit="false"/>
      <protection locked="true" hidden="false"/>
    </xf>
    <xf numFmtId="164" fontId="9" fillId="3" borderId="0" xfId="21" applyFont="true" applyBorder="false" applyAlignment="true" applyProtection="false">
      <alignment horizontal="center" vertical="bottom" textRotation="0" wrapText="false" indent="0" shrinkToFit="false"/>
      <protection locked="true" hidden="false"/>
    </xf>
    <xf numFmtId="164" fontId="7" fillId="4"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center" vertical="bottom" textRotation="0" wrapText="false" indent="0" shrinkToFit="false"/>
      <protection locked="true" hidden="false"/>
    </xf>
    <xf numFmtId="167" fontId="7" fillId="0" borderId="0" xfId="21" applyFont="true" applyBorder="false" applyAlignment="true" applyProtection="false">
      <alignment horizontal="center" vertical="bottom" textRotation="0" wrapText="false" indent="0" shrinkToFit="false"/>
      <protection locked="true" hidden="false"/>
    </xf>
    <xf numFmtId="164" fontId="7" fillId="0" borderId="1" xfId="22" applyFont="true" applyBorder="true" applyAlignment="false" applyProtection="false">
      <alignment horizontal="general"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9" fillId="2" borderId="0" xfId="21"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69" fontId="11" fillId="2" borderId="0" xfId="23" applyFont="true" applyBorder="false" applyAlignment="true" applyProtection="false">
      <alignment horizontal="center" vertical="bottom" textRotation="0" wrapText="false" indent="0" shrinkToFit="false"/>
      <protection locked="true" hidden="false"/>
    </xf>
    <xf numFmtId="170" fontId="7" fillId="0" borderId="0" xfId="21" applyFont="true" applyBorder="false" applyAlignment="false" applyProtection="false">
      <alignment horizontal="general" vertical="bottom" textRotation="0" wrapText="false" indent="0" shrinkToFit="false"/>
      <protection locked="true" hidden="false"/>
    </xf>
    <xf numFmtId="171" fontId="7" fillId="0" borderId="0" xfId="21" applyFont="true" applyBorder="false" applyAlignment="false" applyProtection="false">
      <alignment horizontal="general" vertical="bottom" textRotation="0" wrapText="false" indent="0" shrinkToFit="false"/>
      <protection locked="true" hidden="false"/>
    </xf>
    <xf numFmtId="172" fontId="7" fillId="0" borderId="0" xfId="21" applyFont="true" applyBorder="false" applyAlignment="false" applyProtection="false">
      <alignment horizontal="general" vertical="bottom" textRotation="0" wrapText="false" indent="0" shrinkToFit="false"/>
      <protection locked="true" hidden="false"/>
    </xf>
    <xf numFmtId="173" fontId="7" fillId="0" borderId="0" xfId="21"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9" fontId="11" fillId="4" borderId="0" xfId="23" applyFont="true" applyBorder="false" applyAlignment="true" applyProtection="false">
      <alignment horizontal="center" vertical="bottom" textRotation="0" wrapText="false" indent="0" shrinkToFit="false"/>
      <protection locked="true" hidden="false"/>
    </xf>
    <xf numFmtId="174" fontId="7" fillId="0" borderId="0" xfId="21" applyFont="true" applyBorder="false" applyAlignment="false" applyProtection="false">
      <alignment horizontal="general" vertical="bottom"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0"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72" fontId="7" fillId="2" borderId="0" xfId="21" applyFont="true" applyBorder="false" applyAlignment="false" applyProtection="false">
      <alignment horizontal="general" vertical="bottom" textRotation="0" wrapText="false" indent="0" shrinkToFit="false"/>
      <protection locked="true" hidden="false"/>
    </xf>
    <xf numFmtId="164" fontId="7" fillId="2" borderId="0" xfId="21" applyFont="true" applyBorder="false" applyAlignment="true" applyProtection="false">
      <alignment horizontal="right" vertical="bottom" textRotation="0" wrapText="false" indent="0" shrinkToFit="false"/>
      <protection locked="true" hidden="false"/>
    </xf>
    <xf numFmtId="170" fontId="7" fillId="5" borderId="0" xfId="21" applyFont="true" applyBorder="false" applyAlignment="false" applyProtection="false">
      <alignment horizontal="general" vertical="bottom" textRotation="0" wrapText="false" indent="0" shrinkToFit="false"/>
      <protection locked="true" hidden="false"/>
    </xf>
    <xf numFmtId="170" fontId="7" fillId="2" borderId="0" xfId="21" applyFont="true" applyBorder="false" applyAlignment="false" applyProtection="false">
      <alignment horizontal="general" vertical="bottom" textRotation="0" wrapText="false" indent="0" shrinkToFit="false"/>
      <protection locked="true" hidden="false"/>
    </xf>
    <xf numFmtId="171" fontId="7" fillId="2" borderId="0" xfId="21" applyFont="true" applyBorder="false" applyAlignment="false" applyProtection="false">
      <alignment horizontal="general" vertical="bottom" textRotation="0" wrapText="false" indent="0" shrinkToFit="false"/>
      <protection locked="true" hidden="false"/>
    </xf>
    <xf numFmtId="164" fontId="7" fillId="0" borderId="0" xfId="21" applyFont="true" applyBorder="false" applyAlignment="true" applyProtection="false">
      <alignment horizontal="right" vertical="bottom" textRotation="0" wrapText="false" indent="0" shrinkToFit="false"/>
      <protection locked="true" hidden="false"/>
    </xf>
    <xf numFmtId="175"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right"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13" fillId="2" borderId="0" xfId="21" applyFont="true" applyBorder="false" applyAlignment="true" applyProtection="false">
      <alignment horizontal="center" vertical="bottom" textRotation="0" wrapText="false" indent="0" shrinkToFit="false"/>
      <protection locked="true" hidden="false"/>
    </xf>
    <xf numFmtId="164" fontId="13" fillId="4" borderId="0" xfId="21" applyFont="true" applyBorder="false" applyAlignment="true" applyProtection="false">
      <alignment horizontal="center" vertical="bottom" textRotation="0" wrapText="false" indent="0" shrinkToFit="false"/>
      <protection locked="true" hidden="false"/>
    </xf>
    <xf numFmtId="164" fontId="9" fillId="0" borderId="0" xfId="21" applyFont="true" applyBorder="false" applyAlignment="true" applyProtection="false">
      <alignment horizontal="center" vertical="bottom" textRotation="0" wrapText="false" indent="0" shrinkToFit="false"/>
      <protection locked="true" hidden="false"/>
    </xf>
    <xf numFmtId="175"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1" applyFont="true" applyBorder="true" applyAlignment="true" applyProtection="false">
      <alignment horizontal="center" vertical="center" textRotation="0" wrapText="false" indent="0" shrinkToFit="false"/>
      <protection locked="true" hidden="false"/>
    </xf>
    <xf numFmtId="169" fontId="14" fillId="2" borderId="0" xfId="23" applyFont="true" applyBorder="false" applyAlignment="true" applyProtection="false">
      <alignment horizontal="center" vertical="bottom" textRotation="0" wrapText="false" indent="0" shrinkToFit="false"/>
      <protection locked="true" hidden="false"/>
    </xf>
    <xf numFmtId="169" fontId="14" fillId="4" borderId="0" xfId="23" applyFont="true" applyBorder="false" applyAlignment="true" applyProtection="false">
      <alignment horizontal="center" vertical="bottom" textRotation="0" wrapText="false" indent="0" shrinkToFit="false"/>
      <protection locked="true" hidden="false"/>
    </xf>
    <xf numFmtId="164" fontId="15" fillId="4" borderId="0" xfId="21" applyFont="true" applyBorder="false" applyAlignment="true" applyProtection="false">
      <alignment horizontal="left" vertical="bottom" textRotation="0" wrapText="false" indent="0" shrinkToFit="false"/>
      <protection locked="true" hidden="false"/>
    </xf>
    <xf numFmtId="176" fontId="7" fillId="0" borderId="0" xfId="19" applyFont="true" applyBorder="false" applyAlignment="false" applyProtection="false">
      <alignment horizontal="general" vertical="bottom" textRotation="0" wrapText="false" indent="0" shrinkToFit="false"/>
      <protection locked="true" hidden="false"/>
    </xf>
    <xf numFmtId="169" fontId="11" fillId="0" borderId="0" xfId="23" applyFont="true" applyBorder="false" applyAlignment="true" applyProtection="false">
      <alignment horizontal="center" vertical="bottom" textRotation="0" wrapText="false" indent="0" shrinkToFit="false"/>
      <protection locked="true" hidden="false"/>
    </xf>
    <xf numFmtId="177" fontId="7" fillId="0" borderId="0" xfId="25" applyFont="true" applyBorder="false" applyAlignment="false" applyProtection="false">
      <alignment horizontal="general" vertical="bottom"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64" fontId="17" fillId="3" borderId="0" xfId="21" applyFont="true" applyBorder="false" applyAlignment="true" applyProtection="false">
      <alignment horizontal="center" vertical="bottom" textRotation="0" wrapText="false" indent="0" shrinkToFit="false"/>
      <protection locked="true" hidden="false"/>
    </xf>
    <xf numFmtId="164" fontId="18" fillId="4" borderId="0" xfId="21" applyFont="true" applyBorder="false" applyAlignment="true" applyProtection="false">
      <alignment horizontal="left" vertical="bottom" textRotation="0" wrapText="false" indent="0" shrinkToFit="false"/>
      <protection locked="true" hidden="false"/>
    </xf>
    <xf numFmtId="164" fontId="17" fillId="6" borderId="0" xfId="21" applyFont="true" applyBorder="false" applyAlignment="true" applyProtection="false">
      <alignment horizontal="center" vertical="bottom" textRotation="0" wrapText="false" indent="0" shrinkToFit="false"/>
      <protection locked="true" hidden="false"/>
    </xf>
    <xf numFmtId="169" fontId="19" fillId="6" borderId="0" xfId="23" applyFont="true" applyBorder="false" applyAlignment="true" applyProtection="false">
      <alignment horizontal="center" vertical="bottom" textRotation="0" wrapText="false" indent="0" shrinkToFit="false"/>
      <protection locked="true" hidden="false"/>
    </xf>
    <xf numFmtId="169" fontId="17" fillId="2" borderId="0" xfId="23" applyFont="true" applyBorder="false" applyAlignment="true" applyProtection="false">
      <alignment horizontal="center" vertical="bottom" textRotation="0" wrapText="false" indent="0" shrinkToFit="false"/>
      <protection locked="true" hidden="false"/>
    </xf>
    <xf numFmtId="164" fontId="17" fillId="2" borderId="0" xfId="21" applyFont="true" applyBorder="false" applyAlignment="true" applyProtection="false">
      <alignment horizontal="center" vertical="bottom" textRotation="0" wrapText="false" indent="0" shrinkToFit="false"/>
      <protection locked="true" hidden="false"/>
    </xf>
    <xf numFmtId="169" fontId="19" fillId="2" borderId="0" xfId="23" applyFont="true" applyBorder="false" applyAlignment="true" applyProtection="false">
      <alignment horizontal="center" vertical="bottom" textRotation="0" wrapText="false" indent="0" shrinkToFit="false"/>
      <protection locked="true" hidden="false"/>
    </xf>
    <xf numFmtId="164" fontId="16" fillId="6" borderId="0" xfId="21" applyFont="true" applyBorder="false" applyAlignment="true" applyProtection="false">
      <alignment horizontal="center" vertical="center" textRotation="0" wrapText="false" indent="0" shrinkToFit="false"/>
      <protection locked="true" hidden="false"/>
    </xf>
    <xf numFmtId="164" fontId="16" fillId="2" borderId="0" xfId="21" applyFont="true" applyBorder="false" applyAlignment="true" applyProtection="false">
      <alignment horizontal="center" vertical="center" textRotation="0" wrapText="false" indent="0" shrinkToFit="false"/>
      <protection locked="true" hidden="false"/>
    </xf>
    <xf numFmtId="169" fontId="7" fillId="0" borderId="0" xfId="21" applyFont="true" applyBorder="false" applyAlignment="false" applyProtection="false">
      <alignment horizontal="general" vertical="bottom" textRotation="0" wrapText="false" indent="0" shrinkToFit="false"/>
      <protection locked="true" hidden="false"/>
    </xf>
    <xf numFmtId="164" fontId="16" fillId="2" borderId="0" xfId="21"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73" fontId="7" fillId="5" borderId="0" xfId="21"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65" fontId="7" fillId="0" borderId="0" xfId="25" applyFont="true" applyBorder="false" applyAlignment="false" applyProtection="false">
      <alignment horizontal="general" vertical="bottom" textRotation="0" wrapText="false" indent="0" shrinkToFit="false"/>
      <protection locked="true" hidden="false"/>
    </xf>
    <xf numFmtId="165" fontId="7" fillId="0" borderId="0" xfId="21" applyFont="true" applyBorder="false" applyAlignment="false" applyProtection="false">
      <alignment horizontal="general" vertical="bottom" textRotation="0" wrapText="false" indent="0" shrinkToFit="false"/>
      <protection locked="true" hidden="false"/>
    </xf>
    <xf numFmtId="169" fontId="21" fillId="0" borderId="0" xfId="23"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70" fontId="23" fillId="0" borderId="0" xfId="0" applyFont="true" applyBorder="false" applyAlignment="false" applyProtection="false">
      <alignment horizontal="general"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24" fillId="8" borderId="3" xfId="0" applyFont="true" applyBorder="true" applyAlignment="true" applyProtection="false">
      <alignment horizontal="general" vertical="bottom" textRotation="0" wrapText="true" indent="0" shrinkToFit="false"/>
      <protection locked="true" hidden="false"/>
    </xf>
    <xf numFmtId="167" fontId="22" fillId="0" borderId="2" xfId="0" applyFont="true" applyBorder="true" applyAlignment="false" applyProtection="false">
      <alignment horizontal="general" vertical="bottom" textRotation="0" wrapText="false" indent="0" shrinkToFit="false"/>
      <protection locked="true" hidden="false"/>
    </xf>
    <xf numFmtId="164" fontId="24" fillId="8" borderId="3" xfId="0" applyFont="true" applyBorder="true" applyAlignment="false" applyProtection="false">
      <alignment horizontal="general" vertical="bottom" textRotation="0" wrapText="false" indent="0" shrinkToFit="false"/>
      <protection locked="true" hidden="false"/>
    </xf>
    <xf numFmtId="178" fontId="22"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9" fontId="5" fillId="0" borderId="0" xfId="0" applyFont="true" applyBorder="false" applyAlignment="true" applyProtection="false">
      <alignment horizontal="center"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right" vertical="bottom" textRotation="0" wrapText="true" indent="0" shrinkToFit="false"/>
      <protection locked="true" hidden="false"/>
    </xf>
    <xf numFmtId="164" fontId="34" fillId="0" borderId="0" xfId="0" applyFont="true" applyBorder="false" applyAlignment="true" applyProtection="false">
      <alignment horizontal="right" vertical="bottom" textRotation="0" wrapText="false" indent="0" shrinkToFit="false"/>
      <protection locked="true" hidden="false"/>
    </xf>
    <xf numFmtId="169" fontId="36" fillId="0" borderId="0" xfId="19"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40" fillId="9" borderId="0" xfId="0" applyFont="true" applyBorder="false" applyAlignment="false" applyProtection="false">
      <alignment horizontal="general" vertical="bottom" textRotation="0" wrapText="false" indent="0" shrinkToFit="false"/>
      <protection locked="true" hidden="false"/>
    </xf>
    <xf numFmtId="169" fontId="40" fillId="9" borderId="0" xfId="0" applyFont="true" applyBorder="false" applyAlignment="false" applyProtection="false">
      <alignment horizontal="general" vertical="bottom" textRotation="0" wrapText="false" indent="0" shrinkToFit="false"/>
      <protection locked="true" hidden="false"/>
    </xf>
    <xf numFmtId="179" fontId="40"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7"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Flexible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97458261"/>
        <c:axId val="5732983"/>
      </c:lineChart>
      <c:dateAx>
        <c:axId val="97458261"/>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5732983"/>
        <c:crosses val="autoZero"/>
        <c:auto val="1"/>
        <c:lblOffset val="100"/>
        <c:baseTimeUnit val="months"/>
        <c:majorUnit val="6"/>
        <c:majorTimeUnit val="months"/>
        <c:minorUnit val="6"/>
        <c:minorTimeUnit val="months"/>
        <c:noMultiLvlLbl val="0"/>
      </c:dateAx>
      <c:valAx>
        <c:axId val="5732983"/>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97458261"/>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2000" spc="-1" strike="noStrike">
                <a:solidFill>
                  <a:srgbClr val="000000"/>
                </a:solidFill>
                <a:latin typeface="Be Vietnam Pro Medium"/>
              </a:defRPr>
            </a:pPr>
            <a:r>
              <a:rPr b="0" lang="en-US" sz="2000" spc="-1" strike="noStrike">
                <a:solidFill>
                  <a:srgbClr val="000000"/>
                </a:solidFill>
                <a:latin typeface="Be Vietnam Pro Medium"/>
              </a:rPr>
              <a:t>FIP Liquidez Flexible</a:t>
            </a:r>
          </a:p>
        </c:rich>
      </c:tx>
      <c:overlay val="0"/>
      <c:spPr>
        <a:noFill/>
        <a:ln w="0">
          <a:noFill/>
        </a:ln>
      </c:spPr>
    </c:title>
    <c:autoTitleDeleted val="0"/>
    <c:plotArea>
      <c:layout>
        <c:manualLayout>
          <c:layoutTarget val="inner"/>
          <c:xMode val="edge"/>
          <c:yMode val="edge"/>
          <c:x val="0.0764211415192108"/>
          <c:y val="0.107416204803378"/>
          <c:w val="0.905423559666833"/>
          <c:h val="0.779889152810768"/>
        </c:manualLayout>
      </c:layout>
      <c:lineChart>
        <c:grouping val="standard"/>
        <c:varyColors val="0"/>
        <c:ser>
          <c:idx val="0"/>
          <c:order val="0"/>
          <c:tx>
            <c:strRef>
              <c:f>"FIP Liquidez Flexible"</c:f>
              <c:strCache>
                <c:ptCount val="1"/>
                <c:pt idx="0">
                  <c:v>FIP Liquidez Flexible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(2)'!$F$236:$F$244</c:f>
              <c:numCache>
                <c:formatCode>m/d/yyyy</c:formatCode>
                <c:ptCount val="9"/>
                <c:pt idx="0">
                  <c:v>3/31/2025</c:v>
                </c:pt>
                <c:pt idx="1">
                  <c:v>4/30/2025</c:v>
                </c:pt>
                <c:pt idx="2">
                  <c:v>5/31/2025</c:v>
                </c:pt>
                <c:pt idx="3">
                  <c:v>6/30/2025</c:v>
                </c:pt>
                <c:pt idx="4">
                  <c:v>7/31/2025</c:v>
                </c:pt>
                <c:pt idx="5">
                  <c:v>8/31/2025</c:v>
                </c:pt>
                <c:pt idx="6">
                  <c:v>9/30/2025</c:v>
                </c:pt>
                <c:pt idx="7">
                  <c:v>10/31/2025</c:v>
                </c:pt>
                <c:pt idx="8">
                  <c:v>11/30/2025</c:v>
                </c:pt>
              </c:numCache>
            </c:numRef>
          </c:cat>
          <c:val>
            <c:numRef>
              <c:f>'Datos ICP (2)'!$J$236:$J$244</c:f>
              <c:numCache>
                <c:formatCode>#,##0.00</c:formatCode>
                <c:ptCount val="9"/>
                <c:pt idx="0">
                  <c:v>100</c:v>
                </c:pt>
                <c:pt idx="1">
                  <c:v>100.40216</c:v>
                </c:pt>
                <c:pt idx="2">
                  <c:v>101.031782580645</c:v>
                </c:pt>
                <c:pt idx="3">
                  <c:v>101.684317029101</c:v>
                </c:pt>
                <c:pt idx="4">
                  <c:v>102.286524190153</c:v>
                </c:pt>
                <c:pt idx="5">
                  <c:v>102.881580549627</c:v>
                </c:pt>
                <c:pt idx="6">
                  <c:v>103.497053177396</c:v>
                </c:pt>
                <c:pt idx="7">
                  <c:v>104.158081194049</c:v>
                </c:pt>
                <c:pt idx="8">
                  <c:v>104.760264288562</c:v>
                </c:pt>
              </c:numCache>
            </c:numRef>
          </c:val>
          <c:smooth val="0"/>
        </c:ser>
        <c:ser>
          <c:idx val="1"/>
          <c:order val="1"/>
          <c:tx>
            <c:strRef>
              <c:f>"Competencia Relevante"</c:f>
              <c:strCache>
                <c:ptCount val="1"/>
                <c:pt idx="0">
                  <c:v>Competencia Relevante</c:v>
                </c:pt>
              </c:strCache>
            </c:strRef>
          </c:tx>
          <c:spPr>
            <a:solidFill>
              <a:srgbClr val="a6a6a6"/>
            </a:solidFill>
            <a:ln cap="rnd" w="3816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(2)'!$F$236:$F$244</c:f>
              <c:numCache>
                <c:formatCode>m/d/yyyy</c:formatCode>
                <c:ptCount val="9"/>
                <c:pt idx="0">
                  <c:v>3/31/2025</c:v>
                </c:pt>
                <c:pt idx="1">
                  <c:v>4/30/2025</c:v>
                </c:pt>
                <c:pt idx="2">
                  <c:v>5/31/2025</c:v>
                </c:pt>
                <c:pt idx="3">
                  <c:v>6/30/2025</c:v>
                </c:pt>
                <c:pt idx="4">
                  <c:v>7/31/2025</c:v>
                </c:pt>
                <c:pt idx="5">
                  <c:v>8/31/2025</c:v>
                </c:pt>
                <c:pt idx="6">
                  <c:v>9/30/2025</c:v>
                </c:pt>
                <c:pt idx="7">
                  <c:v>10/31/2025</c:v>
                </c:pt>
                <c:pt idx="8">
                  <c:v>11/30/2025</c:v>
                </c:pt>
              </c:numCache>
            </c:numRef>
          </c:cat>
          <c:val>
            <c:numRef>
              <c:f>'Datos ICP (2)'!$M$236:$M$244</c:f>
              <c:numCache>
                <c:formatCode>0.00</c:formatCode>
                <c:ptCount val="9"/>
                <c:pt idx="0">
                  <c:v>107.655326983979</c:v>
                </c:pt>
                <c:pt idx="1">
                  <c:v>107.975703820493</c:v>
                </c:pt>
                <c:pt idx="2">
                  <c:v>108.298561191174</c:v>
                </c:pt>
                <c:pt idx="3">
                  <c:v>108.623137660128</c:v>
                </c:pt>
                <c:pt idx="4">
                  <c:v>108.943647516591</c:v>
                </c:pt>
                <c:pt idx="5">
                  <c:v>109.249612096655</c:v>
                </c:pt>
                <c:pt idx="6">
                  <c:v>109.551317460466</c:v>
                </c:pt>
                <c:pt idx="7">
                  <c:v>109.855077967093</c:v>
                </c:pt>
                <c:pt idx="8">
                  <c:v>110.162124641678</c:v>
                </c:pt>
              </c:numCache>
            </c:numRef>
          </c:val>
          <c:smooth val="0"/>
        </c:ser>
        <c:ser>
          <c:idx val="2"/>
          <c:order val="2"/>
          <c:tx>
            <c:strRef>
              <c:f>"ICP Nom"</c:f>
              <c:strCache>
                <c:ptCount val="1"/>
                <c:pt idx="0">
                  <c:v>ICP Nom</c:v>
                </c:pt>
              </c:strCache>
            </c:strRef>
          </c:tx>
          <c:spPr>
            <a:solidFill>
              <a:srgbClr val="bfbfbf"/>
            </a:solidFill>
            <a:ln cap="rnd" w="3816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(2)'!$F$236:$F$244</c:f>
              <c:numCache>
                <c:formatCode>m/d/yyyy</c:formatCode>
                <c:ptCount val="9"/>
                <c:pt idx="0">
                  <c:v>3/31/2025</c:v>
                </c:pt>
                <c:pt idx="1">
                  <c:v>4/30/2025</c:v>
                </c:pt>
                <c:pt idx="2">
                  <c:v>5/31/2025</c:v>
                </c:pt>
                <c:pt idx="3">
                  <c:v>6/30/2025</c:v>
                </c:pt>
                <c:pt idx="4">
                  <c:v>7/31/2025</c:v>
                </c:pt>
                <c:pt idx="5">
                  <c:v>8/31/2025</c:v>
                </c:pt>
                <c:pt idx="6">
                  <c:v>9/30/2025</c:v>
                </c:pt>
                <c:pt idx="7">
                  <c:v>10/31/2025</c:v>
                </c:pt>
                <c:pt idx="8">
                  <c:v>11/30/2025</c:v>
                </c:pt>
              </c:numCache>
            </c:numRef>
          </c:cat>
          <c:val>
            <c:numRef>
              <c:f>'Datos ICP (2)'!$D$236:$D$244</c:f>
              <c:numCache>
                <c:formatCode>0.00</c:formatCode>
                <c:ptCount val="9"/>
                <c:pt idx="0">
                  <c:v>110.243957378385</c:v>
                </c:pt>
                <c:pt idx="1">
                  <c:v>110.704304883999</c:v>
                </c:pt>
                <c:pt idx="2">
                  <c:v>111.151503167103</c:v>
                </c:pt>
                <c:pt idx="3">
                  <c:v>111.631073678691</c:v>
                </c:pt>
                <c:pt idx="4">
                  <c:v>112.096279478611</c:v>
                </c:pt>
                <c:pt idx="5">
                  <c:v>112.512114153679</c:v>
                </c:pt>
                <c:pt idx="6">
                  <c:v>112.988045883136</c:v>
                </c:pt>
                <c:pt idx="7">
                  <c:v>113.421722091055</c:v>
                </c:pt>
                <c:pt idx="8">
                  <c:v>113.856403996233</c:v>
                </c:pt>
              </c:numCache>
            </c:numRef>
          </c:val>
          <c:smooth val="0"/>
        </c:ser>
        <c:hiLowLines>
          <c:spPr>
            <a:ln w="0">
              <a:noFill/>
            </a:ln>
          </c:spPr>
        </c:hiLowLines>
        <c:marker val="1"/>
        <c:axId val="32968073"/>
        <c:axId val="12868724"/>
      </c:lineChart>
      <c:dateAx>
        <c:axId val="32968073"/>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2868724"/>
        <c:auto val="1"/>
        <c:lblOffset val="100"/>
        <c:baseTimeUnit val="days"/>
        <c:noMultiLvlLbl val="0"/>
      </c:dateAx>
      <c:valAx>
        <c:axId val="12868724"/>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200" spc="-1" strike="noStrike">
                <a:solidFill>
                  <a:srgbClr val="000000"/>
                </a:solidFill>
                <a:latin typeface="Be Vietnam Pro Light"/>
              </a:defRPr>
            </a:pPr>
          </a:p>
        </c:txPr>
        <c:crossAx val="32968073"/>
        <c:crosses val="autoZero"/>
        <c:crossBetween val="between"/>
        <c:majorUnit val="5"/>
        <c:minorUnit val="5"/>
      </c:valAx>
      <c:spPr>
        <a:noFill/>
        <a:ln w="0">
          <a:noFill/>
        </a:ln>
      </c:spPr>
    </c:plotArea>
    <c:legend>
      <c:legendPos val="b"/>
      <c:overlay val="0"/>
      <c:spPr>
        <a:noFill/>
        <a:ln w="0">
          <a:noFill/>
        </a:ln>
      </c:spPr>
      <c:txPr>
        <a:bodyPr/>
        <a:lstStyle/>
        <a:p>
          <a:pPr>
            <a:defRPr b="0" sz="1800" spc="-1" strike="noStrike">
              <a:solidFill>
                <a:srgbClr val="000000"/>
              </a:solidFill>
              <a:latin typeface="Be Vietnam Pro Light"/>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0.529</c:v>
                </c:pt>
                <c:pt idx="1">
                  <c:v>0.4679</c:v>
                </c:pt>
                <c:pt idx="2">
                  <c:v>0</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0.1185</c:v>
                </c:pt>
                <c:pt idx="3">
                  <c:v>0.799</c:v>
                </c:pt>
                <c:pt idx="4">
                  <c:v>0</c:v>
                </c:pt>
                <c:pt idx="5">
                  <c:v>0.0825</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794760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268200</xdr:colOff>
      <xdr:row>263</xdr:row>
      <xdr:rowOff>24480</xdr:rowOff>
    </xdr:from>
    <xdr:to>
      <xdr:col>14</xdr:col>
      <xdr:colOff>191520</xdr:colOff>
      <xdr:row>291</xdr:row>
      <xdr:rowOff>146520</xdr:rowOff>
    </xdr:to>
    <xdr:graphicFrame>
      <xdr:nvGraphicFramePr>
        <xdr:cNvPr id="1" name="Chart 2"/>
        <xdr:cNvGraphicFramePr/>
      </xdr:nvGraphicFramePr>
      <xdr:xfrm>
        <a:off x="4578480" y="50164200"/>
        <a:ext cx="9378720" cy="54558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42578125" defaultRowHeight="15" zeroHeight="false" outlineLevelRow="0" outlineLevelCol="0"/>
  <cols>
    <col collapsed="false" customWidth="true" hidden="false" outlineLevel="0" max="1" min="1" style="0" width="71"/>
  </cols>
  <sheetData>
    <row r="2" customFormat="false" ht="191.25"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F11" colorId="64" zoomScale="70" zoomScaleNormal="70"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4" min="34" style="3" width="7.86"/>
    <col collapsed="false" customWidth="true" hidden="false" outlineLevel="0" max="35" min="35" style="3" width="7.71"/>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39" min="39" style="3" width="7.57"/>
    <col collapsed="false" customWidth="true" hidden="false" outlineLevel="0" max="40" min="40" style="3" width="7.29"/>
    <col collapsed="false" customWidth="true" hidden="false" outlineLevel="0" max="41" min="41" style="3" width="7.15"/>
    <col collapsed="false" customWidth="true" hidden="false" outlineLevel="0" max="42" min="42" style="3" width="7.71"/>
    <col collapsed="false" customWidth="true" hidden="false" outlineLevel="0" max="43" min="43" style="3" width="8.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c r="AF2" s="15"/>
      <c r="AG2" s="15"/>
      <c r="AH2" s="15"/>
      <c r="AI2" s="15"/>
      <c r="AJ2" s="15"/>
      <c r="AK2" s="15"/>
      <c r="AL2" s="15"/>
      <c r="AM2" s="15"/>
      <c r="AN2" s="15"/>
      <c r="AO2" s="15"/>
      <c r="AP2" s="15"/>
      <c r="AQ2" s="16"/>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c r="Q3" s="20"/>
      <c r="R3" s="20"/>
      <c r="S3" s="20"/>
      <c r="T3" s="20"/>
      <c r="U3" s="20"/>
      <c r="V3" s="20"/>
      <c r="W3" s="20"/>
      <c r="X3" s="20"/>
      <c r="Y3" s="20"/>
      <c r="Z3" s="20"/>
      <c r="AA3" s="20"/>
      <c r="AC3" s="6"/>
      <c r="AD3" s="21" t="n">
        <v>2007</v>
      </c>
      <c r="AE3" s="22"/>
      <c r="AF3" s="22"/>
      <c r="AG3" s="22"/>
      <c r="AH3" s="22"/>
      <c r="AI3" s="22"/>
      <c r="AJ3" s="22"/>
      <c r="AK3" s="22"/>
      <c r="AL3" s="22"/>
      <c r="AM3" s="22"/>
      <c r="AN3" s="22"/>
      <c r="AO3" s="22"/>
      <c r="AP3" s="22"/>
      <c r="AQ3" s="23"/>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c r="Q4" s="20"/>
      <c r="R4" s="20"/>
      <c r="S4" s="20"/>
      <c r="T4" s="20"/>
      <c r="U4" s="20"/>
      <c r="V4" s="20"/>
      <c r="W4" s="20"/>
      <c r="X4" s="20"/>
      <c r="Y4" s="20"/>
      <c r="Z4" s="20"/>
      <c r="AA4" s="20"/>
      <c r="AC4" s="6"/>
      <c r="AD4" s="14" t="n">
        <v>2008</v>
      </c>
      <c r="AE4" s="15"/>
      <c r="AF4" s="15"/>
      <c r="AG4" s="15"/>
      <c r="AH4" s="15"/>
      <c r="AI4" s="15"/>
      <c r="AJ4" s="15"/>
      <c r="AK4" s="15"/>
      <c r="AL4" s="15"/>
      <c r="AM4" s="15"/>
      <c r="AN4" s="15"/>
      <c r="AO4" s="15"/>
      <c r="AP4" s="15"/>
      <c r="AQ4" s="16"/>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c r="Q5" s="20"/>
      <c r="R5" s="20"/>
      <c r="S5" s="20"/>
      <c r="T5" s="20"/>
      <c r="U5" s="20"/>
      <c r="V5" s="20"/>
      <c r="W5" s="20"/>
      <c r="X5" s="20"/>
      <c r="Y5" s="20"/>
      <c r="Z5" s="20"/>
      <c r="AA5" s="20"/>
      <c r="AC5" s="6"/>
      <c r="AD5" s="21" t="n">
        <v>2009</v>
      </c>
      <c r="AE5" s="22"/>
      <c r="AF5" s="22"/>
      <c r="AG5" s="22"/>
      <c r="AH5" s="22"/>
      <c r="AI5" s="22"/>
      <c r="AJ5" s="22"/>
      <c r="AK5" s="22"/>
      <c r="AL5" s="22"/>
      <c r="AM5" s="22"/>
      <c r="AN5" s="22"/>
      <c r="AO5" s="22"/>
      <c r="AP5" s="22"/>
      <c r="AQ5" s="23"/>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c r="Q6" s="20"/>
      <c r="R6" s="20"/>
      <c r="S6" s="20"/>
      <c r="T6" s="20"/>
      <c r="U6" s="20"/>
      <c r="V6" s="20"/>
      <c r="W6" s="20"/>
      <c r="X6" s="20"/>
      <c r="Y6" s="20"/>
      <c r="Z6" s="20"/>
      <c r="AA6" s="20"/>
      <c r="AC6" s="6"/>
      <c r="AD6" s="14" t="n">
        <v>2010</v>
      </c>
      <c r="AE6" s="15"/>
      <c r="AF6" s="15"/>
      <c r="AG6" s="15"/>
      <c r="AH6" s="15"/>
      <c r="AI6" s="15"/>
      <c r="AJ6" s="15"/>
      <c r="AK6" s="15"/>
      <c r="AL6" s="15"/>
      <c r="AM6" s="15"/>
      <c r="AN6" s="15"/>
      <c r="AO6" s="15"/>
      <c r="AP6" s="15"/>
      <c r="AQ6" s="16"/>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c r="Q7" s="20"/>
      <c r="R7" s="20"/>
      <c r="S7" s="20"/>
      <c r="T7" s="20"/>
      <c r="U7" s="20"/>
      <c r="V7" s="20"/>
      <c r="W7" s="20"/>
      <c r="X7" s="20"/>
      <c r="Y7" s="20"/>
      <c r="Z7" s="20"/>
      <c r="AA7" s="20"/>
      <c r="AC7" s="6"/>
      <c r="AD7" s="21" t="n">
        <v>2011</v>
      </c>
      <c r="AE7" s="22"/>
      <c r="AF7" s="22"/>
      <c r="AG7" s="22"/>
      <c r="AH7" s="22"/>
      <c r="AI7" s="22"/>
      <c r="AJ7" s="22"/>
      <c r="AK7" s="22"/>
      <c r="AL7" s="22"/>
      <c r="AM7" s="22"/>
      <c r="AN7" s="22"/>
      <c r="AO7" s="22"/>
      <c r="AP7" s="22"/>
      <c r="AQ7" s="23"/>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c r="Q8" s="20"/>
      <c r="R8" s="20"/>
      <c r="S8" s="20"/>
      <c r="T8" s="20"/>
      <c r="U8" s="20"/>
      <c r="V8" s="20"/>
      <c r="W8" s="20"/>
      <c r="X8" s="20"/>
      <c r="Y8" s="20"/>
      <c r="Z8" s="20"/>
      <c r="AA8" s="20"/>
      <c r="AC8" s="6"/>
      <c r="AD8" s="14" t="n">
        <v>2012</v>
      </c>
      <c r="AE8" s="15"/>
      <c r="AF8" s="15"/>
      <c r="AG8" s="15"/>
      <c r="AH8" s="15"/>
      <c r="AI8" s="15"/>
      <c r="AJ8" s="15"/>
      <c r="AK8" s="15"/>
      <c r="AL8" s="15"/>
      <c r="AM8" s="15"/>
      <c r="AN8" s="15"/>
      <c r="AO8" s="15"/>
      <c r="AP8" s="15"/>
      <c r="AQ8" s="16"/>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c r="Q9" s="20"/>
      <c r="R9" s="20"/>
      <c r="S9" s="20"/>
      <c r="T9" s="20"/>
      <c r="U9" s="20"/>
      <c r="V9" s="20"/>
      <c r="W9" s="20"/>
      <c r="X9" s="20"/>
      <c r="Y9" s="20"/>
      <c r="Z9" s="20"/>
      <c r="AA9" s="20"/>
      <c r="AC9" s="6"/>
      <c r="AD9" s="21" t="n">
        <v>2013</v>
      </c>
      <c r="AE9" s="22"/>
      <c r="AF9" s="22"/>
      <c r="AG9" s="22"/>
      <c r="AH9" s="22"/>
      <c r="AI9" s="22"/>
      <c r="AJ9" s="22"/>
      <c r="AK9" s="22"/>
      <c r="AL9" s="22"/>
      <c r="AM9" s="22"/>
      <c r="AN9" s="22"/>
      <c r="AO9" s="22"/>
      <c r="AP9" s="22"/>
      <c r="AQ9" s="23"/>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c r="Q10" s="20"/>
      <c r="R10" s="20"/>
      <c r="S10" s="20"/>
      <c r="T10" s="20"/>
      <c r="U10" s="20"/>
      <c r="V10" s="20"/>
      <c r="W10" s="20"/>
      <c r="X10" s="20"/>
      <c r="Y10" s="20"/>
      <c r="Z10" s="20"/>
      <c r="AA10" s="20"/>
      <c r="AC10" s="6"/>
      <c r="AD10" s="14" t="n">
        <v>2014</v>
      </c>
      <c r="AE10" s="15"/>
      <c r="AF10" s="15"/>
      <c r="AG10" s="15"/>
      <c r="AH10" s="15"/>
      <c r="AI10" s="15"/>
      <c r="AJ10" s="15"/>
      <c r="AK10" s="15"/>
      <c r="AL10" s="15"/>
      <c r="AM10" s="15"/>
      <c r="AN10" s="15"/>
      <c r="AO10" s="15"/>
      <c r="AP10" s="15"/>
      <c r="AQ10" s="16"/>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c r="Q11" s="20"/>
      <c r="R11" s="20"/>
      <c r="S11" s="20"/>
      <c r="T11" s="20"/>
      <c r="U11" s="20"/>
      <c r="V11" s="20"/>
      <c r="W11" s="20"/>
      <c r="X11" s="20"/>
      <c r="Y11" s="20"/>
      <c r="Z11" s="20"/>
      <c r="AA11" s="20"/>
      <c r="AC11" s="6"/>
      <c r="AD11" s="21" t="n">
        <v>2015</v>
      </c>
      <c r="AE11" s="22"/>
      <c r="AF11" s="22"/>
      <c r="AG11" s="22"/>
      <c r="AH11" s="22"/>
      <c r="AI11" s="22"/>
      <c r="AJ11" s="22"/>
      <c r="AK11" s="22"/>
      <c r="AL11" s="22"/>
      <c r="AM11" s="22"/>
      <c r="AN11" s="22"/>
      <c r="AO11" s="22"/>
      <c r="AP11" s="22"/>
      <c r="AQ11" s="23"/>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c r="Q12" s="20"/>
      <c r="R12" s="20"/>
      <c r="S12" s="20"/>
      <c r="T12" s="20"/>
      <c r="U12" s="20"/>
      <c r="V12" s="20"/>
      <c r="W12" s="20"/>
      <c r="X12" s="20"/>
      <c r="Y12" s="20"/>
      <c r="Z12" s="20"/>
      <c r="AA12" s="20"/>
      <c r="AC12" s="6"/>
      <c r="AD12" s="14" t="n">
        <v>2016</v>
      </c>
      <c r="AE12" s="15"/>
      <c r="AF12" s="15"/>
      <c r="AG12" s="15"/>
      <c r="AH12" s="15"/>
      <c r="AI12" s="15"/>
      <c r="AJ12" s="15"/>
      <c r="AK12" s="15"/>
      <c r="AL12" s="15"/>
      <c r="AM12" s="15"/>
      <c r="AN12" s="15"/>
      <c r="AO12" s="15"/>
      <c r="AP12" s="15"/>
      <c r="AQ12" s="16"/>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c r="Q13" s="20"/>
      <c r="R13" s="20"/>
      <c r="S13" s="20"/>
      <c r="T13" s="20"/>
      <c r="U13" s="20"/>
      <c r="V13" s="20"/>
      <c r="W13" s="20"/>
      <c r="X13" s="20"/>
      <c r="Y13" s="20"/>
      <c r="Z13" s="20"/>
      <c r="AA13" s="20"/>
      <c r="AC13" s="6"/>
      <c r="AD13" s="21" t="n">
        <v>2017</v>
      </c>
      <c r="AE13" s="22"/>
      <c r="AF13" s="22"/>
      <c r="AG13" s="22"/>
      <c r="AH13" s="22"/>
      <c r="AI13" s="22"/>
      <c r="AJ13" s="22"/>
      <c r="AK13" s="22"/>
      <c r="AL13" s="22"/>
      <c r="AM13" s="22"/>
      <c r="AN13" s="22"/>
      <c r="AO13" s="22"/>
      <c r="AP13" s="22"/>
      <c r="AQ13" s="23"/>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c r="Q14" s="20"/>
      <c r="R14" s="20"/>
      <c r="S14" s="20"/>
      <c r="T14" s="20"/>
      <c r="U14" s="20"/>
      <c r="V14" s="20"/>
      <c r="W14" s="20"/>
      <c r="X14" s="20"/>
      <c r="Y14" s="20"/>
      <c r="Z14" s="20"/>
      <c r="AA14" s="20"/>
      <c r="AC14" s="6"/>
      <c r="AD14" s="14" t="n">
        <v>2018</v>
      </c>
      <c r="AE14" s="15"/>
      <c r="AF14" s="15"/>
      <c r="AG14" s="15"/>
      <c r="AH14" s="15"/>
      <c r="AI14" s="15"/>
      <c r="AJ14" s="15"/>
      <c r="AK14" s="27"/>
      <c r="AL14" s="27"/>
      <c r="AM14" s="27"/>
      <c r="AN14" s="15"/>
      <c r="AO14" s="15"/>
      <c r="AP14" s="15"/>
      <c r="AQ14" s="16"/>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T15" s="18"/>
      <c r="U15" s="19"/>
      <c r="V15" s="18"/>
      <c r="W15" s="18"/>
      <c r="X15" s="18"/>
      <c r="Y15" s="6"/>
      <c r="Z15" s="28"/>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U16" s="19"/>
      <c r="V16" s="19"/>
      <c r="W16" s="19"/>
      <c r="Y16" s="19"/>
      <c r="AA16" s="19"/>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Q17" s="19"/>
      <c r="R17" s="19"/>
      <c r="S17" s="19"/>
      <c r="U17" s="19"/>
      <c r="V17" s="19"/>
      <c r="W17" s="19"/>
      <c r="X17" s="19"/>
      <c r="Y17" s="19"/>
      <c r="Z17" s="19"/>
      <c r="AA17" s="19"/>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AD18" s="21" t="n">
        <v>2022</v>
      </c>
      <c r="AE18" s="22"/>
      <c r="AF18" s="22"/>
      <c r="AG18" s="22"/>
      <c r="AH18" s="22"/>
      <c r="AI18" s="22"/>
      <c r="AJ18" s="22"/>
      <c r="AK18" s="22"/>
      <c r="AL18" s="22"/>
      <c r="AM18" s="22"/>
      <c r="AN18" s="22"/>
      <c r="AO18" s="22"/>
      <c r="AP18" s="22"/>
      <c r="AQ18" s="23"/>
      <c r="AR18" s="26"/>
      <c r="AS18" s="9"/>
      <c r="AV18" s="6"/>
      <c r="AW18" s="6"/>
      <c r="AX18" s="6" t="n">
        <v>-1</v>
      </c>
      <c r="AY18" s="6" t="n">
        <v>-3</v>
      </c>
      <c r="AZ18" s="6" t="n">
        <v>-6</v>
      </c>
      <c r="BA18" s="6" t="n">
        <v>-12</v>
      </c>
      <c r="BB18" s="6"/>
    </row>
    <row r="19" customFormat="false" ht="15" hidden="false" customHeight="false" outlineLevel="0" collapsed="false">
      <c r="A19" s="17" t="n">
        <v>39202</v>
      </c>
      <c r="B19" s="20" t="n">
        <v>11712.58</v>
      </c>
      <c r="C19" s="25" t="n">
        <f aca="false">(B19/B18-1)/(A19-A18)*30</f>
        <v>0.00423892793075653</v>
      </c>
      <c r="D19" s="19"/>
      <c r="E19" s="19"/>
      <c r="F19" s="19"/>
      <c r="O19" s="3" t="n">
        <v>2022</v>
      </c>
      <c r="Q19" s="19"/>
      <c r="AD19" s="21" t="n">
        <v>2023</v>
      </c>
      <c r="AE19" s="22"/>
      <c r="AF19" s="22"/>
      <c r="AG19" s="22"/>
      <c r="AH19" s="22"/>
      <c r="AI19" s="22"/>
      <c r="AJ19" s="22"/>
      <c r="AK19" s="22"/>
      <c r="AL19" s="22"/>
      <c r="AM19" s="22"/>
      <c r="AN19" s="22"/>
      <c r="AO19" s="22"/>
      <c r="AP19" s="22"/>
      <c r="AQ19" s="23"/>
      <c r="AR19" s="26"/>
      <c r="AS19" s="9"/>
      <c r="AV19" s="29" t="s">
        <v>25</v>
      </c>
      <c r="AW19" s="30" t="n">
        <v>46142</v>
      </c>
      <c r="AX19" s="31" t="n">
        <f aca="false">EOMONTH($AW19,AX18)+6+1</f>
        <v>46119</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Q20" s="19"/>
      <c r="Y20" s="19"/>
      <c r="AD20" s="21" t="n">
        <v>2024</v>
      </c>
      <c r="AE20" s="22"/>
      <c r="AF20" s="22"/>
      <c r="AG20" s="22"/>
      <c r="AH20" s="22"/>
      <c r="AI20" s="22"/>
      <c r="AJ20" s="22"/>
      <c r="AK20" s="22"/>
      <c r="AL20" s="22"/>
      <c r="AM20" s="22"/>
      <c r="AN20" s="22"/>
      <c r="AO20" s="22"/>
      <c r="AP20" s="22"/>
      <c r="AQ20" s="23"/>
      <c r="AR20" s="9"/>
      <c r="AS20" s="9"/>
      <c r="AV20" s="6" t="s">
        <v>3</v>
      </c>
      <c r="AW20" s="32" t="n">
        <f aca="false">LOOKUP(AW19,$A$3:$A$2973,$B$3:$B$2973)</f>
        <v>19916.8502383877</v>
      </c>
      <c r="AX20" s="32" t="n">
        <f aca="false">LOOKUP(AX19,$A$3:$A$2973,$B$3:$B$2973)</f>
        <v>26333.64</v>
      </c>
      <c r="AY20" s="32" t="n">
        <f aca="false">LOOKUP(AY19,$A$3:$A$2973,$B$3:$B$2973)</f>
        <v>26136.9</v>
      </c>
      <c r="AZ20" s="32" t="n">
        <f aca="false">LOOKUP(AZ19,$A$3:$A$2973,$B$3:$B$2973)</f>
        <v>25829.5</v>
      </c>
      <c r="BA20" s="32" t="n">
        <f aca="false">LOOKUP(BA19,$A$3:$A$2973,$B$3:$B$2973)</f>
        <v>25197.48</v>
      </c>
      <c r="BB20" s="32"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Q21" s="19"/>
      <c r="U21" s="19"/>
      <c r="Y21" s="19"/>
      <c r="AD21" s="21" t="n">
        <v>2025</v>
      </c>
      <c r="AE21" s="22" t="n">
        <v>0</v>
      </c>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0.0461215166375695</v>
      </c>
      <c r="AV21" s="6" t="s">
        <v>26</v>
      </c>
      <c r="AW21" s="32" t="n">
        <f aca="false">LOOKUP(AW19,$F$2:$F$2974,$K$2:$K$2974)</f>
        <v>0</v>
      </c>
      <c r="AX21" s="32" t="n">
        <f aca="false">LOOKUP(AX19,$F$2:$F$2974,$K$2:$K$2974)</f>
        <v>6335.4774</v>
      </c>
      <c r="AY21" s="32" t="n">
        <f aca="false">LOOKUP(AY19,$F$2:$F$2974,$K$2:$K$2974)</f>
        <v>6303.0823</v>
      </c>
      <c r="AZ21" s="32" t="n">
        <f aca="false">LOOKUP(AZ19,$F$2:$F$2974,$K$2:$K$2974)</f>
        <v>6250.6982</v>
      </c>
      <c r="BA21" s="32" t="n">
        <f aca="false">LOOKUP(BA19,$F$2:$F$2974,$K$2:$K$2974)</f>
        <v>6141.4105</v>
      </c>
      <c r="BB21" s="32" t="n">
        <f aca="false">LOOKUP(BB19,$F$2:$F$2974,$K$2:$K$2974)</f>
        <v>1066.0204</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6" t="s">
        <v>27</v>
      </c>
      <c r="AW22" s="32" t="n">
        <f aca="false">LOOKUP(AW19,$F$2:$F$2972,$H$2:$H$2972)</f>
        <v>1080.4574</v>
      </c>
      <c r="AX22" s="32" t="n">
        <f aca="false">LOOKUP(AX19,$F$2:$F$2972,$H$2:$H$2972)</f>
        <v>1074.2224</v>
      </c>
      <c r="AY22" s="32" t="n">
        <f aca="false">LOOKUP(AY19,$F$2:$F$2972,$H$2:$H$2972)</f>
        <v>1061.8231</v>
      </c>
      <c r="AZ22" s="32" t="n">
        <f aca="false">LOOKUP(AZ19,$F$2:$F$2972,$H$2:$H$2972)</f>
        <v>1042.423</v>
      </c>
      <c r="BA22" s="32" t="n">
        <f aca="false">LOOKUP(BA19,$F$2:$F$2972,$H$2:$H$2972)</f>
        <v>1004.0216</v>
      </c>
      <c r="BB22" s="32"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t="s">
        <v>28</v>
      </c>
      <c r="AE23" s="9"/>
      <c r="AF23" s="9"/>
      <c r="AG23" s="9"/>
      <c r="AH23" s="9"/>
      <c r="AI23" s="9"/>
      <c r="AJ23" s="9"/>
      <c r="AK23" s="9"/>
      <c r="AL23" s="9"/>
      <c r="AM23" s="9"/>
      <c r="AN23" s="9"/>
      <c r="AO23" s="9"/>
      <c r="AP23" s="9"/>
      <c r="AQ23" s="9"/>
      <c r="AV23" s="6"/>
      <c r="AW23" s="32"/>
      <c r="AX23" s="32"/>
      <c r="AY23" s="32"/>
      <c r="AZ23" s="32"/>
      <c r="BA23" s="32"/>
      <c r="BB23" s="32"/>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V24" s="6"/>
      <c r="AW24" s="6"/>
      <c r="AX24" s="6"/>
      <c r="AY24" s="6"/>
      <c r="AZ24" s="6"/>
      <c r="BA24" s="6"/>
      <c r="BB24" s="6"/>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3"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4" t="n">
        <f aca="false">LOOKUP(DATE($O27,U$25,U$24),$A$2:$A$2943,$H$2:$H$2943)</f>
        <v>0</v>
      </c>
      <c r="V27" s="34" t="n">
        <f aca="false">LOOKUP(DATE($O27,V$25,V$24),$A$2:$A$2943,$H$2:$H$2943)</f>
        <v>0</v>
      </c>
      <c r="W27" s="34" t="n">
        <f aca="false">LOOKUP(DATE($O27,W$25,W$24),$A$2:$A$2943,$H$2:$H$2943)</f>
        <v>0</v>
      </c>
      <c r="X27" s="34" t="n">
        <f aca="false">LOOKUP(DATE($O27,X$25,X$24),$A$2:$A$2943,$H$2:$H$2943)</f>
        <v>0</v>
      </c>
      <c r="Y27" s="34" t="n">
        <f aca="false">LOOKUP(DATE($O27,Y$25,Y$24),$A$2:$A$2943,$H$2:$H$2943)</f>
        <v>0</v>
      </c>
      <c r="Z27" s="34" t="n">
        <f aca="false">LOOKUP(DATE($O27,Z$25,Z$24),$A$2:$A$2943,$H$2:$H$2943)</f>
        <v>0</v>
      </c>
      <c r="AA27" s="34" t="n">
        <f aca="false">LOOKUP(DATE($O27,AA$25,AA$24),$A$2:$A$2943,$H$2:$H$2943)</f>
        <v>0</v>
      </c>
      <c r="AD27" s="35"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4" t="n">
        <f aca="false">LOOKUP(DATE($O28,P$25,P$24),$A$2:$A$2943,$H$2:$H$2943)</f>
        <v>0</v>
      </c>
      <c r="Q28" s="34" t="n">
        <f aca="false">LOOKUP(DATE($O28,Q$25,Q$24),$A$2:$A$2943,$H$2:$H$2943)</f>
        <v>0</v>
      </c>
      <c r="R28" s="34" t="n">
        <f aca="false">LOOKUP(DATE($O28,R$25,R$24),$A$2:$A$2943,$H$2:$H$2943)</f>
        <v>0</v>
      </c>
      <c r="S28" s="34" t="n">
        <f aca="false">LOOKUP(DATE($O28,S$25,S$24),$A$2:$A$2943,$H$2:$H$2943)</f>
        <v>0</v>
      </c>
      <c r="T28" s="34" t="n">
        <f aca="false">LOOKUP(DATE($O28,T$25,T$24),$A$2:$A$2943,$H$2:$H$2943)</f>
        <v>0</v>
      </c>
      <c r="U28" s="34" t="n">
        <f aca="false">LOOKUP(DATE($O28,U$25,U$24),$A$2:$A$2943,$H$2:$H$2943)</f>
        <v>0</v>
      </c>
      <c r="V28" s="34" t="n">
        <f aca="false">LOOKUP(DATE($O28,V$25,V$24),$A$2:$A$2943,$H$2:$H$2943)</f>
        <v>0</v>
      </c>
      <c r="W28" s="34" t="n">
        <f aca="false">LOOKUP(DATE($O28,W$25,W$24),$A$2:$A$2943,$H$2:$H$2943)</f>
        <v>0</v>
      </c>
      <c r="X28" s="34" t="n">
        <f aca="false">LOOKUP(DATE($O28,X$25,X$24),$A$2:$A$2943,$H$2:$H$2943)</f>
        <v>0</v>
      </c>
      <c r="Y28" s="34" t="n">
        <f aca="false">LOOKUP(DATE($O28,Y$25,Y$24),$A$2:$A$2943,$H$2:$H$2943)</f>
        <v>0</v>
      </c>
      <c r="Z28" s="34" t="n">
        <f aca="false">LOOKUP(DATE($O28,Z$25,Z$24),$A$2:$A$2943,$H$2:$H$2943)</f>
        <v>0</v>
      </c>
      <c r="AA28" s="34" t="n">
        <f aca="false">LOOKUP(DATE($O28,AA$25,AA$24),$A$2:$A$2943,$H$2:$H$2943)</f>
        <v>0</v>
      </c>
      <c r="AD28" s="14" t="n">
        <v>2016</v>
      </c>
      <c r="AE28" s="15"/>
      <c r="AF28" s="15"/>
      <c r="AG28" s="15"/>
      <c r="AH28" s="15"/>
      <c r="AI28" s="15"/>
      <c r="AJ28" s="15"/>
      <c r="AK28" s="15"/>
      <c r="AL28" s="15"/>
      <c r="AM28" s="15"/>
      <c r="AN28" s="15"/>
      <c r="AO28" s="15"/>
      <c r="AP28" s="15"/>
      <c r="AQ28" s="16"/>
      <c r="AR28" s="9"/>
      <c r="AS28" s="9"/>
      <c r="AV28" s="36"/>
      <c r="AW28" s="37" t="s">
        <v>31</v>
      </c>
      <c r="AX28" s="37" t="s">
        <v>32</v>
      </c>
      <c r="AY28" s="37" t="s">
        <v>33</v>
      </c>
      <c r="AZ28" s="37" t="s">
        <v>34</v>
      </c>
      <c r="BA28" s="37" t="s">
        <v>35</v>
      </c>
      <c r="BB28" s="37" t="s">
        <v>36</v>
      </c>
      <c r="BC28" s="38"/>
      <c r="BD28" s="39"/>
    </row>
    <row r="29" customFormat="false" ht="15" hidden="false" customHeight="false" outlineLevel="0" collapsed="false">
      <c r="A29" s="17" t="n">
        <v>39478</v>
      </c>
      <c r="B29" s="20" t="n">
        <v>12223.14</v>
      </c>
      <c r="C29" s="25" t="n">
        <f aca="false">(B29/B28-1)/(A29-A28)*30</f>
        <v>0.0056172766427787</v>
      </c>
      <c r="D29" s="19"/>
      <c r="E29" s="19"/>
      <c r="F29" s="19"/>
      <c r="O29" s="3" t="n">
        <v>2018</v>
      </c>
      <c r="P29" s="34" t="n">
        <f aca="false">LOOKUP(DATE($O29,P$25,P$24),$A$2:$A$2943,$H$2:$H$2943)</f>
        <v>0</v>
      </c>
      <c r="Q29" s="34" t="n">
        <f aca="false">LOOKUP(DATE($O29,Q$25,Q$24),$A$2:$A$2943,$H$2:$H$2943)</f>
        <v>0</v>
      </c>
      <c r="R29" s="34" t="n">
        <f aca="false">LOOKUP(DATE($O29,R$25,R$24),$A$2:$A$2943,$H$2:$H$2943)</f>
        <v>0</v>
      </c>
      <c r="S29" s="34" t="n">
        <f aca="false">LOOKUP(DATE($O29,S$25,S$24),$A$2:$A$2943,$H$2:$H$2943)</f>
        <v>0</v>
      </c>
      <c r="T29" s="34" t="n">
        <f aca="false">LOOKUP(DATE($O29,T$25,T$24),$A$2:$A$2943,$H$2:$H$2943)</f>
        <v>0</v>
      </c>
      <c r="U29" s="34" t="n">
        <f aca="false">LOOKUP(DATE($O29,U$25,U$24),$A$2:$A$2943,$H$2:$H$2943)</f>
        <v>0</v>
      </c>
      <c r="V29" s="34" t="n">
        <f aca="false">LOOKUP(DATE($O29,V$25,V$24),$A$2:$A$2943,$H$2:$H$2943)</f>
        <v>0</v>
      </c>
      <c r="W29" s="34" t="n">
        <f aca="false">LOOKUP(DATE($O29,W$25,W$24),$A$2:$A$2943,$H$2:$H$2943)</f>
        <v>0</v>
      </c>
      <c r="X29" s="34" t="n">
        <f aca="false">LOOKUP(DATE($O29,X$25,X$24),$A$2:$A$2943,$H$2:$H$2943)</f>
        <v>0</v>
      </c>
      <c r="Y29" s="40" t="n">
        <f aca="false">LOOKUP(DATE($O29,Y$25,Y$24),$A$2:$A$2943,$H$2:$H$2943)</f>
        <v>0</v>
      </c>
      <c r="Z29" s="40" t="n">
        <f aca="false">LOOKUP(DATE($O29,Z$25,Z$24),$A$2:$A$2943,$H$2:$H$2943)</f>
        <v>0</v>
      </c>
      <c r="AA29" s="40"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1"/>
      <c r="AW29" s="37" t="s">
        <v>37</v>
      </c>
      <c r="AX29" s="42" t="n">
        <f aca="false">$AW20/AX20-1</f>
        <v>-0.243672722859896</v>
      </c>
      <c r="AY29" s="42" t="n">
        <f aca="false">$AW20/AY20-1</f>
        <v>-0.237979628862347</v>
      </c>
      <c r="AZ29" s="42" t="n">
        <f aca="false">$AW20/AZ20-1</f>
        <v>-0.228910732364632</v>
      </c>
      <c r="BA29" s="42" t="n">
        <f aca="false">$AW20/BA20-1</f>
        <v>-0.209569757039683</v>
      </c>
      <c r="BB29" s="42" t="n">
        <f aca="false">+AQ86</f>
        <v>-0.71393888658704</v>
      </c>
      <c r="BC29" s="43"/>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4" t="n">
        <f aca="false">LOOKUP(DATE($O30,P$25,P$24),$A$2:$A$2943,$H$2:$H$2943)</f>
        <v>0</v>
      </c>
      <c r="Q30" s="34" t="n">
        <f aca="false">LOOKUP(DATE($O30,Q$25,Q$24),$A$2:$A$2943,$H$2:$H$2943)</f>
        <v>0</v>
      </c>
      <c r="R30" s="34" t="n">
        <f aca="false">LOOKUP(DATE($O30,R$25,R$24),$A$2:$A$2943,$H$2:$H$2943)</f>
        <v>0</v>
      </c>
      <c r="S30" s="34" t="n">
        <f aca="false">LOOKUP(DATE($O30,S$25,S$24),$A$2:$A$2943,$H$2:$H$2943)</f>
        <v>0</v>
      </c>
      <c r="T30" s="34" t="n">
        <f aca="false">LOOKUP(DATE($O30,T$25,T$24),$A$2:$A$2943,$H$2:$H$2943)</f>
        <v>0</v>
      </c>
      <c r="U30" s="34" t="n">
        <f aca="false">LOOKUP(DATE($O30,U$25,U$24),$A$2:$A$2943,$H$2:$H$2943)</f>
        <v>0</v>
      </c>
      <c r="V30" s="34" t="n">
        <f aca="false">LOOKUP(DATE($O30,V$25,V$24),$A$2:$A$2943,$H$2:$H$2943)</f>
        <v>0</v>
      </c>
      <c r="W30" s="34" t="n">
        <f aca="false">LOOKUP(DATE($O30,W$25,W$24),$A$2:$A$2943,$H$2:$H$2943)</f>
        <v>0</v>
      </c>
      <c r="X30" s="34" t="n">
        <f aca="false">LOOKUP(DATE($O30,X$25,X$24),$A$2:$A$2943,$H$2:$H$2943)</f>
        <v>0</v>
      </c>
      <c r="Y30" s="34" t="n">
        <f aca="false">LOOKUP(DATE($O30,Y$25,Y$24),$A$2:$A$2943,$H$2:$H$2943)</f>
        <v>0</v>
      </c>
      <c r="Z30" s="34" t="n">
        <f aca="false">LOOKUP(DATE($O30,Z$25,Z$24),$A$2:$A$2943,$H$2:$H$2943)</f>
        <v>0</v>
      </c>
      <c r="AA30" s="34" t="n">
        <f aca="false">LOOKUP(DATE($O30,AA$25,AA$24),$A$2:$A$2943,$H$2:$H$2943)</f>
        <v>0</v>
      </c>
      <c r="AD30" s="14" t="n">
        <v>2018</v>
      </c>
      <c r="AE30" s="15"/>
      <c r="AF30" s="15"/>
      <c r="AG30" s="15"/>
      <c r="AH30" s="15"/>
      <c r="AI30" s="15"/>
      <c r="AJ30" s="15"/>
      <c r="AK30" s="15"/>
      <c r="AL30" s="15"/>
      <c r="AM30" s="15"/>
      <c r="AN30" s="15"/>
      <c r="AO30" s="15"/>
      <c r="AP30" s="15"/>
      <c r="AQ30" s="16"/>
      <c r="AR30" s="26"/>
      <c r="AS30" s="9"/>
      <c r="AV30" s="41"/>
      <c r="AW30" s="37" t="s">
        <v>26</v>
      </c>
      <c r="AX30" s="42" t="n">
        <f aca="false">$AW21/AX21-1</f>
        <v>-1</v>
      </c>
      <c r="AY30" s="42" t="n">
        <f aca="false">$AW21/AY21-1</f>
        <v>-1</v>
      </c>
      <c r="AZ30" s="42" t="n">
        <f aca="false">$AW21/AZ21-1</f>
        <v>-1</v>
      </c>
      <c r="BA30" s="42" t="n">
        <f aca="false">$AW21/BA21-1</f>
        <v>-1</v>
      </c>
      <c r="BB30" s="42" t="n">
        <f aca="false">+AQ87</f>
        <v>-3</v>
      </c>
      <c r="BC30" s="43"/>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4" t="n">
        <f aca="false">LOOKUP(DATE($O31,P$25,P$24),$A$2:$A$2943,$H$2:$H$2943)</f>
        <v>0</v>
      </c>
      <c r="Q31" s="34" t="n">
        <f aca="false">LOOKUP(DATE($O31,Q$25,Q$24)+1,$A$2:$A$2943,$H$2:$H$2943)</f>
        <v>0</v>
      </c>
      <c r="R31" s="34" t="n">
        <f aca="false">LOOKUP(DATE($O31,R$25,R$24)+1,$A$2:$A$2943,$H$2:$H$2943)</f>
        <v>0</v>
      </c>
      <c r="S31" s="34" t="n">
        <f aca="false">LOOKUP(DATE($O31,S$25,S$24)+1,$A$2:$A$2943,$H$2:$H$2943)</f>
        <v>0</v>
      </c>
      <c r="T31" s="34" t="n">
        <f aca="false">LOOKUP(DATE($O31,T$25,T$24)+1,$A$2:$A$2943,$H$2:$H$2943)</f>
        <v>0</v>
      </c>
      <c r="U31" s="34" t="n">
        <f aca="false">LOOKUP(DATE($O31,U$25,U$24)+1,$A$2:$A$2943,$H$2:$H$2943)</f>
        <v>0</v>
      </c>
      <c r="V31" s="34" t="n">
        <f aca="false">LOOKUP(DATE($O31,V$25,V$24)+1,$A$2:$A$2943,$H$2:$H$2943)</f>
        <v>0</v>
      </c>
      <c r="W31" s="34" t="n">
        <f aca="false">LOOKUP(DATE($O31,W$25,W$24)+1,$A$2:$A$2943,$H$2:$H$2943)</f>
        <v>0</v>
      </c>
      <c r="X31" s="34" t="n">
        <f aca="false">LOOKUP(DATE($O31,X$25,X$24)+1,$A$2:$A$2943,$H$2:$H$2943)</f>
        <v>0</v>
      </c>
      <c r="Y31" s="34" t="n">
        <f aca="false">+H183</f>
        <v>0</v>
      </c>
      <c r="Z31" s="34" t="n">
        <f aca="false">+H184</f>
        <v>0</v>
      </c>
      <c r="AA31" s="34" t="n">
        <f aca="false">+H185</f>
        <v>0</v>
      </c>
      <c r="AD31" s="21" t="n">
        <v>2019</v>
      </c>
      <c r="AE31" s="22"/>
      <c r="AF31" s="22"/>
      <c r="AG31" s="22"/>
      <c r="AH31" s="22"/>
      <c r="AI31" s="22"/>
      <c r="AJ31" s="22"/>
      <c r="AK31" s="22"/>
      <c r="AL31" s="22"/>
      <c r="AM31" s="22"/>
      <c r="AN31" s="22"/>
      <c r="AO31" s="22"/>
      <c r="AP31" s="22"/>
      <c r="AQ31" s="23"/>
      <c r="AR31" s="9"/>
      <c r="AS31" s="9"/>
      <c r="AV31" s="9"/>
      <c r="AW31" s="37" t="s">
        <v>38</v>
      </c>
      <c r="AX31" s="42" t="n">
        <f aca="false">$AW22/AX22-1</f>
        <v>0.00580419846020708</v>
      </c>
      <c r="AY31" s="42" t="n">
        <f aca="false">IFERROR($AW22/AY22-1,0)</f>
        <v>0.017549345083941</v>
      </c>
      <c r="AZ31" s="42" t="n">
        <f aca="false">IFERROR($AW22/AZ22-1,0)</f>
        <v>0.0364865318589478</v>
      </c>
      <c r="BA31" s="42" t="n">
        <f aca="false">$AW22/BA22-1</f>
        <v>0.0761296370516331</v>
      </c>
      <c r="BB31" s="42" t="n">
        <f aca="false">+AQ88</f>
        <v>0.0535401604264298</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c r="U32" s="20"/>
      <c r="V32" s="20"/>
      <c r="W32" s="20"/>
      <c r="X32" s="20"/>
      <c r="Y32" s="20"/>
      <c r="Z32" s="20"/>
      <c r="AA32" s="20"/>
      <c r="AD32" s="21" t="n">
        <v>2020</v>
      </c>
      <c r="AE32" s="22"/>
      <c r="AF32" s="22"/>
      <c r="AG32" s="22"/>
      <c r="AH32" s="22"/>
      <c r="AI32" s="22"/>
      <c r="AJ32" s="22"/>
      <c r="AK32" s="22"/>
      <c r="AL32" s="22"/>
      <c r="AM32" s="22"/>
      <c r="AN32" s="22"/>
      <c r="AO32" s="22"/>
      <c r="AP32" s="22"/>
      <c r="AQ32" s="23"/>
      <c r="AR32" s="9"/>
      <c r="AS32" s="9"/>
      <c r="AV32" s="9"/>
      <c r="AW32" s="44"/>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c r="U33" s="20"/>
      <c r="V33" s="20"/>
      <c r="W33" s="20"/>
      <c r="X33" s="20"/>
      <c r="Y33" s="20"/>
      <c r="Z33" s="20"/>
      <c r="AA33" s="20"/>
      <c r="AD33" s="21" t="n">
        <v>2021</v>
      </c>
      <c r="AE33" s="22"/>
      <c r="AF33" s="22"/>
      <c r="AG33" s="22"/>
      <c r="AH33" s="22"/>
      <c r="AI33" s="22"/>
      <c r="AJ33" s="22"/>
      <c r="AK33" s="22"/>
      <c r="AL33" s="22"/>
      <c r="AM33" s="22"/>
      <c r="AN33" s="22"/>
      <c r="AO33" s="22"/>
      <c r="AP33" s="22"/>
      <c r="AQ33" s="23"/>
      <c r="AR33" s="9"/>
      <c r="AS33" s="9"/>
      <c r="AY33" s="45"/>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c r="X34" s="20"/>
      <c r="Y34" s="20"/>
      <c r="Z34" s="20"/>
      <c r="AA34" s="20"/>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c r="Q35" s="20"/>
      <c r="R35" s="20"/>
      <c r="S35" s="20"/>
      <c r="T35" s="20"/>
      <c r="U35" s="20"/>
      <c r="V35" s="20"/>
      <c r="W35" s="20"/>
      <c r="X35" s="20"/>
      <c r="Y35" s="20"/>
      <c r="Z35" s="20"/>
      <c r="AA35" s="20"/>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v>1000</v>
      </c>
      <c r="Q36" s="20" t="n">
        <v>1000</v>
      </c>
      <c r="R36" s="20" t="n">
        <v>1000</v>
      </c>
      <c r="S36" s="20" t="n">
        <f aca="false">+H237</f>
        <v>1004.0216</v>
      </c>
      <c r="T36" s="20" t="n">
        <f aca="false">+H238</f>
        <v>1010.5277</v>
      </c>
      <c r="U36" s="20" t="n">
        <f aca="false">+H239</f>
        <v>1017.0544</v>
      </c>
      <c r="V36" s="20" t="n">
        <f aca="false">+H240</f>
        <v>1023.2785</v>
      </c>
      <c r="W36" s="20" t="n">
        <f aca="false">+H241</f>
        <v>1029.4299</v>
      </c>
      <c r="X36" s="20" t="n">
        <f aca="false">+H242</f>
        <v>1035.5883</v>
      </c>
      <c r="Y36" s="20" t="n">
        <f aca="false">+H243</f>
        <v>1042.423</v>
      </c>
      <c r="Z36" s="20" t="n">
        <f aca="false">+H244</f>
        <v>1048.4497</v>
      </c>
      <c r="AA36" s="20" t="n">
        <f aca="false">+H245</f>
        <v>1055.3872</v>
      </c>
      <c r="AD36" s="21" t="n">
        <v>2024</v>
      </c>
      <c r="AE36" s="22"/>
      <c r="AF36" s="22"/>
      <c r="AG36" s="22"/>
      <c r="AH36" s="22"/>
      <c r="AI36" s="22"/>
      <c r="AJ36" s="22"/>
      <c r="AK36" s="22"/>
      <c r="AL36" s="22"/>
      <c r="AM36" s="22"/>
      <c r="AN36" s="22"/>
      <c r="AO36" s="22"/>
      <c r="AP36" s="22"/>
      <c r="AQ36" s="23"/>
      <c r="AR36" s="9"/>
      <c r="AS36" s="9"/>
    </row>
    <row r="37" customFormat="false" ht="15" hidden="false" customHeight="false" outlineLevel="0" collapsed="false">
      <c r="A37" s="17"/>
      <c r="B37" s="20"/>
      <c r="C37" s="25"/>
      <c r="D37" s="19"/>
      <c r="E37" s="19"/>
      <c r="F37" s="19"/>
      <c r="O37" s="3" t="n">
        <v>2026</v>
      </c>
      <c r="P37" s="20" t="n">
        <f aca="false">$H246</f>
        <v>1061.8231</v>
      </c>
      <c r="Q37" s="20" t="n">
        <f aca="false">$H247</f>
        <v>1067.7792</v>
      </c>
      <c r="R37" s="20" t="n">
        <f aca="false">$H248</f>
        <v>1074.2224</v>
      </c>
      <c r="S37" s="20" t="n">
        <f aca="false">$H249</f>
        <v>1080.4574</v>
      </c>
      <c r="T37" s="20"/>
      <c r="U37" s="20"/>
      <c r="V37" s="20"/>
      <c r="W37" s="20"/>
      <c r="X37" s="20"/>
      <c r="Y37" s="20"/>
      <c r="Z37" s="20"/>
      <c r="AA37" s="20"/>
      <c r="AD37" s="21" t="n">
        <v>2025</v>
      </c>
      <c r="AE37" s="22" t="n">
        <v>0</v>
      </c>
      <c r="AF37" s="22" t="n">
        <f aca="false">+(Q36/P36-1)</f>
        <v>0</v>
      </c>
      <c r="AG37" s="22" t="n">
        <f aca="false">+(R36/Q36-1)</f>
        <v>0</v>
      </c>
      <c r="AH37" s="22" t="n">
        <f aca="false">+(S36/R36-1)</f>
        <v>0.00402159999999996</v>
      </c>
      <c r="AI37" s="22" t="n">
        <f aca="false">+(T36/S36-1)</f>
        <v>0.00648003987165202</v>
      </c>
      <c r="AJ37" s="22" t="n">
        <f aca="false">+(U36/T36-1)</f>
        <v>0.00645870469458676</v>
      </c>
      <c r="AK37" s="22" t="n">
        <f aca="false">+(V36/U36-1)</f>
        <v>0.0061197316485726</v>
      </c>
      <c r="AL37" s="22" t="n">
        <f aca="false">+(W36/V36-1)</f>
        <v>0.00601146217769655</v>
      </c>
      <c r="AM37" s="22" t="n">
        <f aca="false">+(X36/W36-1)</f>
        <v>0.00598234032254141</v>
      </c>
      <c r="AN37" s="22" t="n">
        <f aca="false">+(Y36/X36-1)</f>
        <v>0.00659982350128918</v>
      </c>
      <c r="AO37" s="22" t="n">
        <f aca="false">+(Z36/Y36-1)</f>
        <v>0.00578143421624411</v>
      </c>
      <c r="AP37" s="22" t="n">
        <f aca="false">+(AA36/Z36-1)</f>
        <v>0.00661691257100849</v>
      </c>
      <c r="AQ37" s="23" t="n">
        <f aca="false">+(AA36/R36-1)/COUNTA(AE37:AP37)*12</f>
        <v>0.0553872</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0.00609814104245365</v>
      </c>
      <c r="AF38" s="22" t="n">
        <f aca="false">+(Q37/P37-1)</f>
        <v>0.00560931477192383</v>
      </c>
      <c r="AG38" s="22" t="n">
        <f aca="false">+(R37/Q37-1)</f>
        <v>0.00603420632280538</v>
      </c>
      <c r="AH38" s="22" t="n">
        <f aca="false">+(S37/R37-1)</f>
        <v>0.00580419846020708</v>
      </c>
      <c r="AQ38" s="23" t="n">
        <f aca="false">+(R37/AA36-1)/COUNTA(AE38:AP38)*12</f>
        <v>0.0535401604264298</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3" t="s">
        <v>26</v>
      </c>
      <c r="P40" s="3" t="s">
        <v>4</v>
      </c>
      <c r="Q40" s="3" t="s">
        <v>5</v>
      </c>
      <c r="R40" s="3" t="s">
        <v>6</v>
      </c>
      <c r="S40" s="3" t="s">
        <v>7</v>
      </c>
      <c r="T40" s="3" t="s">
        <v>8</v>
      </c>
      <c r="U40" s="3" t="s">
        <v>9</v>
      </c>
      <c r="V40" s="3" t="s">
        <v>10</v>
      </c>
      <c r="W40" s="3" t="s">
        <v>11</v>
      </c>
      <c r="X40" s="3" t="s">
        <v>12</v>
      </c>
      <c r="Y40" s="3" t="s">
        <v>13</v>
      </c>
      <c r="Z40" s="3" t="s">
        <v>14</v>
      </c>
      <c r="AA40" s="3" t="s">
        <v>15</v>
      </c>
      <c r="AD40" s="35"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9"/>
      <c r="BF40" s="39"/>
      <c r="BG40" s="39"/>
      <c r="BH40" s="39"/>
      <c r="BI40" s="39"/>
      <c r="BJ40" s="39"/>
    </row>
    <row r="41" customFormat="false" ht="15" hidden="false" customHeight="true" outlineLevel="0" collapsed="false">
      <c r="A41" s="17" t="n">
        <v>39813</v>
      </c>
      <c r="B41" s="20" t="n">
        <v>13066.33</v>
      </c>
      <c r="C41" s="25" t="n">
        <f aca="false">(B41/B40-1)/(A41-A40)*30</f>
        <v>0.00668628022256474</v>
      </c>
      <c r="D41" s="19"/>
      <c r="E41" s="19"/>
      <c r="F41" s="19"/>
      <c r="O41" s="3" t="n">
        <v>2016</v>
      </c>
      <c r="P41" s="20"/>
      <c r="Q41" s="20"/>
      <c r="R41" s="20"/>
      <c r="S41" s="20"/>
      <c r="T41" s="20"/>
      <c r="U41" s="34"/>
      <c r="V41" s="34"/>
      <c r="W41" s="34"/>
      <c r="X41" s="34"/>
      <c r="Y41" s="34"/>
      <c r="Z41" s="34"/>
      <c r="AA41" s="34"/>
      <c r="AD41" s="14" t="n">
        <v>2016</v>
      </c>
      <c r="AE41" s="15"/>
      <c r="AF41" s="15"/>
      <c r="AG41" s="15"/>
      <c r="AH41" s="15"/>
      <c r="AI41" s="15"/>
      <c r="AJ41" s="15"/>
      <c r="AK41" s="15"/>
      <c r="AL41" s="15"/>
      <c r="AM41" s="15"/>
      <c r="AN41" s="15"/>
      <c r="AO41" s="15"/>
      <c r="AP41" s="15"/>
      <c r="AQ41" s="16"/>
      <c r="AR41" s="9"/>
      <c r="AS41" s="9"/>
      <c r="BE41" s="27"/>
      <c r="BF41" s="27"/>
      <c r="BG41" s="27"/>
      <c r="BH41" s="27"/>
      <c r="BI41" s="27"/>
      <c r="BJ41" s="46"/>
    </row>
    <row r="42" customFormat="false" ht="15" hidden="false" customHeight="true" outlineLevel="0" collapsed="false">
      <c r="A42" s="17" t="n">
        <v>39843</v>
      </c>
      <c r="B42" s="20" t="n">
        <v>13151.16</v>
      </c>
      <c r="C42" s="25" t="n">
        <f aca="false">(B42/B41-1)/(A42-A41)*30</f>
        <v>0.0064922591117782</v>
      </c>
      <c r="D42" s="19"/>
      <c r="E42" s="19"/>
      <c r="F42" s="19"/>
      <c r="O42" s="3" t="n">
        <v>2017</v>
      </c>
      <c r="P42" s="34"/>
      <c r="Q42" s="34"/>
      <c r="R42" s="34"/>
      <c r="S42" s="34"/>
      <c r="T42" s="34"/>
      <c r="U42" s="4"/>
      <c r="V42" s="4"/>
      <c r="W42" s="4"/>
      <c r="X42" s="4"/>
      <c r="Y42" s="4"/>
      <c r="Z42" s="4"/>
      <c r="AA42" s="4"/>
      <c r="AD42" s="21" t="n">
        <v>2017</v>
      </c>
      <c r="AE42" s="22"/>
      <c r="AF42" s="22"/>
      <c r="AG42" s="22"/>
      <c r="AH42" s="22"/>
      <c r="AI42" s="22"/>
      <c r="AJ42" s="22"/>
      <c r="AK42" s="22"/>
      <c r="AL42" s="22"/>
      <c r="AM42" s="22"/>
      <c r="AN42" s="22"/>
      <c r="AO42" s="22"/>
      <c r="AP42" s="22"/>
      <c r="AQ42" s="23"/>
      <c r="AR42" s="9"/>
      <c r="AS42" s="9"/>
      <c r="BE42" s="27"/>
      <c r="BF42" s="27"/>
      <c r="BG42" s="27"/>
      <c r="BH42" s="27"/>
      <c r="BI42" s="27"/>
      <c r="BJ42" s="46"/>
    </row>
    <row r="43" customFormat="false" ht="15" hidden="false" customHeight="true" outlineLevel="0" collapsed="false">
      <c r="A43" s="17" t="n">
        <v>39871</v>
      </c>
      <c r="B43" s="20" t="n">
        <v>13212.09</v>
      </c>
      <c r="C43" s="25" t="n">
        <f aca="false">(B43/B42-1)/(A43-A42)*30</f>
        <v>0.00496398362252023</v>
      </c>
      <c r="D43" s="19"/>
      <c r="E43" s="19"/>
      <c r="F43" s="19"/>
      <c r="O43" s="3" t="n">
        <v>2018</v>
      </c>
      <c r="P43" s="34"/>
      <c r="Q43" s="34"/>
      <c r="R43" s="34"/>
      <c r="S43" s="34"/>
      <c r="T43" s="20"/>
      <c r="U43" s="20"/>
      <c r="V43" s="20"/>
      <c r="W43" s="20"/>
      <c r="X43" s="20"/>
      <c r="Y43" s="20"/>
      <c r="Z43" s="20"/>
      <c r="AA43" s="20"/>
      <c r="AD43" s="14" t="n">
        <v>2018</v>
      </c>
      <c r="AE43" s="15"/>
      <c r="AF43" s="15"/>
      <c r="AG43" s="15"/>
      <c r="AH43" s="15"/>
      <c r="AI43" s="15"/>
      <c r="AJ43" s="15"/>
      <c r="AK43" s="27"/>
      <c r="AL43" s="27"/>
      <c r="AM43" s="27"/>
      <c r="AN43" s="15"/>
      <c r="AO43" s="15"/>
      <c r="AP43" s="15"/>
      <c r="AQ43" s="16"/>
      <c r="AR43" s="9"/>
      <c r="AS43" s="9"/>
      <c r="BE43" s="27"/>
      <c r="BF43" s="27"/>
      <c r="BG43" s="27"/>
      <c r="BH43" s="27"/>
      <c r="BI43" s="27"/>
      <c r="BJ43" s="46"/>
    </row>
    <row r="44" customFormat="false" ht="15" hidden="false" customHeight="false" outlineLevel="0" collapsed="false">
      <c r="A44" s="17" t="n">
        <v>39903</v>
      </c>
      <c r="B44" s="20" t="n">
        <v>13251.18</v>
      </c>
      <c r="C44" s="25" t="n">
        <f aca="false">(B44/B43-1)/(A44-A43)*30</f>
        <v>0.00277373791731671</v>
      </c>
      <c r="D44" s="19"/>
      <c r="E44" s="19"/>
      <c r="F44" s="19"/>
      <c r="O44" s="3" t="n">
        <v>2019</v>
      </c>
      <c r="R44" s="18"/>
      <c r="S44" s="18"/>
      <c r="T44" s="18"/>
      <c r="X44" s="47"/>
      <c r="Y44" s="47"/>
      <c r="AD44" s="21" t="n">
        <v>2019</v>
      </c>
      <c r="AE44" s="22"/>
      <c r="AF44" s="22"/>
      <c r="AG44" s="22"/>
      <c r="AH44" s="22"/>
      <c r="AI44" s="22"/>
      <c r="AJ44" s="22"/>
      <c r="AK44" s="22"/>
      <c r="AL44" s="22"/>
      <c r="AM44" s="22"/>
      <c r="AN44" s="22"/>
      <c r="AO44" s="22"/>
      <c r="AP44" s="22"/>
      <c r="AQ44" s="23"/>
      <c r="AR44" s="9"/>
      <c r="AS44" s="9"/>
      <c r="BE44" s="27"/>
      <c r="BF44" s="27"/>
      <c r="BG44" s="27"/>
      <c r="BH44" s="27"/>
      <c r="BI44" s="27"/>
      <c r="BJ44" s="46"/>
    </row>
    <row r="45" customFormat="false" ht="15" hidden="false" customHeight="false" outlineLevel="0" collapsed="false">
      <c r="A45" s="17" t="n">
        <v>39933</v>
      </c>
      <c r="B45" s="20" t="n">
        <v>13272.62</v>
      </c>
      <c r="C45" s="25" t="n">
        <f aca="false">(B45/B44-1)/(A45-A44)*30</f>
        <v>0.00161796911671264</v>
      </c>
      <c r="D45" s="19"/>
      <c r="E45" s="19"/>
      <c r="F45" s="19"/>
      <c r="O45" s="3" t="n">
        <v>2020</v>
      </c>
      <c r="AD45" s="21" t="n">
        <v>2020</v>
      </c>
      <c r="AE45" s="22"/>
      <c r="AF45" s="22"/>
      <c r="AG45" s="22"/>
      <c r="AH45" s="22"/>
      <c r="AI45" s="22"/>
      <c r="AJ45" s="22"/>
      <c r="AK45" s="22"/>
      <c r="AL45" s="22"/>
      <c r="AM45" s="22"/>
      <c r="AN45" s="22"/>
      <c r="AO45" s="22"/>
      <c r="AP45" s="22"/>
      <c r="AQ45" s="23"/>
      <c r="AR45" s="9"/>
      <c r="AS45" s="9"/>
      <c r="BE45" s="27"/>
      <c r="BF45" s="27"/>
      <c r="BG45" s="27"/>
      <c r="BH45" s="27"/>
      <c r="BI45" s="27"/>
      <c r="BJ45" s="46"/>
    </row>
    <row r="46" customFormat="false" ht="15" hidden="false" customHeight="false" outlineLevel="0" collapsed="false">
      <c r="A46" s="17" t="n">
        <v>39962</v>
      </c>
      <c r="B46" s="20" t="n">
        <v>13286.96</v>
      </c>
      <c r="C46" s="25" t="n">
        <f aca="false">(B46/B45-1)/(A46-A45)*30</f>
        <v>0.00111767554247918</v>
      </c>
      <c r="D46" s="19"/>
      <c r="E46" s="19"/>
      <c r="F46" s="19"/>
      <c r="O46" s="3" t="n">
        <v>2021</v>
      </c>
      <c r="X46" s="18"/>
      <c r="Z46" s="18"/>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6"/>
    </row>
    <row r="47" customFormat="false" ht="15.75" hidden="false" customHeight="true" outlineLevel="0" collapsed="false">
      <c r="A47" s="17" t="n">
        <v>39994</v>
      </c>
      <c r="B47" s="20" t="n">
        <v>13299.08</v>
      </c>
      <c r="C47" s="25" t="n">
        <f aca="false">(B47/B46-1)/(A47-A46)*30</f>
        <v>0.000855161752575523</v>
      </c>
      <c r="D47" s="19"/>
      <c r="E47" s="19"/>
      <c r="F47" s="19"/>
      <c r="O47" s="3" t="n">
        <v>2022</v>
      </c>
      <c r="U47" s="18"/>
      <c r="W47" s="18"/>
      <c r="X47" s="18"/>
      <c r="Y47" s="18"/>
      <c r="Z47" s="18"/>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6"/>
    </row>
    <row r="48" customFormat="false" ht="15" hidden="false" customHeight="false" outlineLevel="0" collapsed="false">
      <c r="A48" s="17" t="n">
        <v>40025</v>
      </c>
      <c r="B48" s="20" t="n">
        <v>13305.34</v>
      </c>
      <c r="C48" s="25" t="n">
        <f aca="false">(B48/B47-1)/(A48-A47)*30</f>
        <v>0.000455525082647034</v>
      </c>
      <c r="D48" s="19"/>
      <c r="E48" s="19"/>
      <c r="F48" s="19"/>
      <c r="O48" s="3" t="n">
        <v>2023</v>
      </c>
      <c r="T48" s="18"/>
      <c r="W48" s="18"/>
      <c r="X48" s="18"/>
      <c r="Z48" s="18"/>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6"/>
    </row>
    <row r="49" customFormat="false" ht="15" hidden="false" customHeight="false" outlineLevel="0" collapsed="false">
      <c r="A49" s="17" t="n">
        <v>40056</v>
      </c>
      <c r="B49" s="20" t="n">
        <v>13310.07</v>
      </c>
      <c r="C49" s="25" t="n">
        <f aca="false">(B49/B48-1)/(A49-A48)*30</f>
        <v>0.000344028739952432</v>
      </c>
      <c r="D49" s="19"/>
      <c r="E49" s="19"/>
      <c r="F49" s="19"/>
      <c r="O49" s="3" t="n">
        <v>2024</v>
      </c>
      <c r="P49" s="18"/>
      <c r="AA49" s="3" t="n">
        <f aca="false">+V232</f>
        <v>0</v>
      </c>
      <c r="AD49" s="21" t="n">
        <v>2024</v>
      </c>
      <c r="AE49" s="22"/>
      <c r="AF49" s="22"/>
      <c r="AG49" s="22"/>
      <c r="AH49" s="22"/>
      <c r="AI49" s="22"/>
      <c r="AJ49" s="22"/>
      <c r="AK49" s="22"/>
      <c r="AL49" s="22"/>
      <c r="AM49" s="22"/>
      <c r="AN49" s="22"/>
      <c r="AO49" s="22"/>
      <c r="AP49" s="22"/>
      <c r="AQ49" s="23"/>
      <c r="AR49" s="9"/>
      <c r="AS49" s="9"/>
      <c r="BD49" s="27"/>
      <c r="BE49" s="27"/>
      <c r="BF49" s="27"/>
      <c r="BG49" s="27"/>
      <c r="BH49" s="27"/>
      <c r="BI49" s="27"/>
      <c r="BJ49" s="46"/>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+K233</f>
        <v>6069.3455</v>
      </c>
      <c r="Q50" s="3" t="n">
        <f aca="false">+K234</f>
        <v>6087.6762</v>
      </c>
      <c r="R50" s="3" t="n">
        <f aca="false">+K235</f>
        <v>6104.4912</v>
      </c>
      <c r="S50" s="3" t="n">
        <f aca="false">+K236</f>
        <v>6123.1882</v>
      </c>
      <c r="T50" s="3" t="n">
        <f aca="false">+K238</f>
        <v>6160.386</v>
      </c>
      <c r="U50" s="3" t="n">
        <f aca="false">+K239</f>
        <v>6178.849</v>
      </c>
      <c r="V50" s="3" t="n">
        <f aca="false">+K240</f>
        <v>6197.6884</v>
      </c>
      <c r="W50" s="3" t="n">
        <f aca="false">+K241</f>
        <v>6215.6746</v>
      </c>
      <c r="X50" s="3" t="n">
        <f aca="false">+K242</f>
        <v>6232.8399</v>
      </c>
      <c r="Y50" s="3" t="n">
        <f aca="false">+K243</f>
        <v>6250.6982</v>
      </c>
      <c r="Z50" s="3" t="n">
        <f aca="false">+K244</f>
        <v>6268.169</v>
      </c>
      <c r="AA50" s="3" t="n">
        <f aca="false">+K245</f>
        <v>6285.9566</v>
      </c>
      <c r="AD50" s="21" t="n">
        <v>2025</v>
      </c>
      <c r="AE50" s="22" t="n">
        <v>0.003</v>
      </c>
      <c r="AF50" s="22" t="n">
        <f aca="false">+(Q50/P50-1)</f>
        <v>0.00302021033404665</v>
      </c>
      <c r="AG50" s="22" t="n">
        <f aca="false">+(R50/Q50-1)</f>
        <v>0.00276213771028111</v>
      </c>
      <c r="AH50" s="22" t="n">
        <f aca="false">+(S50/R50-1)</f>
        <v>0.00306282692323312</v>
      </c>
      <c r="AI50" s="22" t="n">
        <f aca="false">+(T50/S50-1)</f>
        <v>0.00607490718642301</v>
      </c>
      <c r="AJ50" s="22" t="n">
        <f aca="false">+(U50/T50-1)</f>
        <v>0.00299705245742721</v>
      </c>
      <c r="AK50" s="22" t="n">
        <f aca="false">+(V50/U50-1)</f>
        <v>0.00304901446855221</v>
      </c>
      <c r="AL50" s="22" t="n">
        <f aca="false">+(W50/V50-1)</f>
        <v>0.0029020820085115</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0.0356893671648779</v>
      </c>
      <c r="AR50" s="9"/>
      <c r="AS50" s="9"/>
      <c r="BD50" s="27"/>
      <c r="BE50" s="27"/>
      <c r="BF50" s="27"/>
      <c r="BG50" s="27"/>
      <c r="BH50" s="27"/>
      <c r="BI50" s="27"/>
      <c r="BJ50" s="46"/>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6"/>
      <c r="BK51" s="48"/>
    </row>
    <row r="52" customFormat="false" ht="15" hidden="false" customHeight="false" outlineLevel="0" collapsed="false">
      <c r="A52" s="17" t="n">
        <v>40147</v>
      </c>
      <c r="B52" s="20" t="n">
        <v>13324.51</v>
      </c>
      <c r="C52" s="25" t="n">
        <f aca="false">(B52/B51-1)/(A52-A51)*30</f>
        <v>0.000346562998396176</v>
      </c>
      <c r="D52" s="19"/>
      <c r="E52" s="19"/>
      <c r="F52" s="19"/>
      <c r="AD52" s="26" t="s">
        <v>28</v>
      </c>
      <c r="AE52" s="9"/>
      <c r="AF52" s="9"/>
      <c r="AG52" s="9"/>
      <c r="AH52" s="9"/>
      <c r="AI52" s="9"/>
      <c r="AJ52" s="9"/>
      <c r="AK52" s="9"/>
      <c r="AL52" s="9"/>
      <c r="AM52" s="9"/>
      <c r="AN52" s="9"/>
      <c r="AO52" s="9"/>
      <c r="AP52" s="9"/>
      <c r="AQ52" s="9"/>
      <c r="AR52" s="9"/>
      <c r="AS52" s="9"/>
      <c r="BD52" s="27"/>
      <c r="BE52" s="27"/>
      <c r="BF52" s="27"/>
      <c r="BG52" s="27"/>
      <c r="BH52" s="27"/>
      <c r="BI52" s="27"/>
      <c r="BJ52" s="46"/>
      <c r="BK52" s="48"/>
    </row>
    <row r="53" customFormat="false" ht="15" hidden="false" customHeight="false" outlineLevel="0" collapsed="false">
      <c r="A53" s="17" t="n">
        <v>40178</v>
      </c>
      <c r="B53" s="20" t="n">
        <v>13329.5</v>
      </c>
      <c r="C53" s="25" t="n">
        <f aca="false">(B53/B52-1)/(A53-A52)*30</f>
        <v>0.000362417248969413</v>
      </c>
      <c r="D53" s="19"/>
      <c r="E53" s="19"/>
      <c r="F53" s="19"/>
      <c r="AD53" s="26"/>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49" t="s">
        <v>39</v>
      </c>
      <c r="AD54" s="50" t="s">
        <v>40</v>
      </c>
      <c r="AE54" s="50" t="s">
        <v>4</v>
      </c>
      <c r="AF54" s="50" t="s">
        <v>5</v>
      </c>
      <c r="AG54" s="50" t="s">
        <v>6</v>
      </c>
      <c r="AH54" s="50" t="s">
        <v>7</v>
      </c>
      <c r="AI54" s="50" t="s">
        <v>8</v>
      </c>
      <c r="AJ54" s="50" t="s">
        <v>9</v>
      </c>
      <c r="AK54" s="50" t="s">
        <v>10</v>
      </c>
      <c r="AL54" s="50" t="s">
        <v>11</v>
      </c>
      <c r="AM54" s="50" t="s">
        <v>12</v>
      </c>
      <c r="AN54" s="50" t="s">
        <v>13</v>
      </c>
      <c r="AO54" s="50" t="s">
        <v>14</v>
      </c>
      <c r="AP54" s="50" t="s">
        <v>15</v>
      </c>
      <c r="AQ54" s="50" t="s">
        <v>16</v>
      </c>
      <c r="AR54" s="51"/>
      <c r="AS54" s="9"/>
    </row>
    <row r="55" customFormat="false" ht="15" hidden="false" customHeight="false" outlineLevel="0" collapsed="false">
      <c r="A55" s="17" t="n">
        <v>40235</v>
      </c>
      <c r="B55" s="20" t="n">
        <v>13338.53</v>
      </c>
      <c r="C55" s="25" t="n">
        <f aca="false">(B55/B54-1)/(A55-A54)*30</f>
        <v>0.000343904927964735</v>
      </c>
      <c r="D55" s="19"/>
      <c r="E55" s="19"/>
      <c r="F55" s="19"/>
      <c r="AC55" s="52" t="n">
        <v>2013</v>
      </c>
      <c r="AD55" s="52" t="s">
        <v>3</v>
      </c>
      <c r="AE55" s="53"/>
      <c r="AF55" s="53"/>
      <c r="AG55" s="53"/>
      <c r="AH55" s="53"/>
      <c r="AI55" s="53"/>
      <c r="AJ55" s="53"/>
      <c r="AK55" s="53"/>
      <c r="AL55" s="53"/>
      <c r="AM55" s="53"/>
      <c r="AN55" s="53"/>
      <c r="AO55" s="53"/>
      <c r="AP55" s="53"/>
      <c r="AQ55" s="54"/>
      <c r="AR55" s="9"/>
      <c r="AS55" s="9"/>
    </row>
    <row r="56" customFormat="false" ht="15" hidden="false" customHeight="false" outlineLevel="0" collapsed="false">
      <c r="A56" s="17" t="n">
        <v>40268</v>
      </c>
      <c r="B56" s="20" t="n">
        <v>13343.79</v>
      </c>
      <c r="C56" s="25" t="n">
        <f aca="false">(B56/B55-1)/(A56-A55)*30</f>
        <v>0.000358496639571185</v>
      </c>
      <c r="D56" s="19"/>
      <c r="E56" s="19"/>
      <c r="F56" s="19"/>
      <c r="AC56" s="55" t="n">
        <v>2014</v>
      </c>
      <c r="AD56" s="55" t="s">
        <v>3</v>
      </c>
      <c r="AE56" s="56"/>
      <c r="AF56" s="56"/>
      <c r="AG56" s="56"/>
      <c r="AH56" s="56"/>
      <c r="AI56" s="56"/>
      <c r="AJ56" s="56"/>
      <c r="AK56" s="56"/>
      <c r="AL56" s="56"/>
      <c r="AM56" s="56"/>
      <c r="AN56" s="56"/>
      <c r="AO56" s="56"/>
      <c r="AP56" s="56"/>
      <c r="AQ56" s="54"/>
      <c r="AR56" s="9"/>
      <c r="AS56" s="9"/>
    </row>
    <row r="57" customFormat="false" ht="15" hidden="false" customHeight="false" outlineLevel="0" collapsed="false">
      <c r="A57" s="17" t="n">
        <v>40298</v>
      </c>
      <c r="B57" s="20" t="n">
        <v>13348.63</v>
      </c>
      <c r="C57" s="25" t="n">
        <f aca="false">(B57/B56-1)/(A57-A56)*30</f>
        <v>0.000362715540337399</v>
      </c>
      <c r="D57" s="19"/>
      <c r="E57" s="19"/>
      <c r="F57" s="19"/>
      <c r="AC57" s="52" t="n">
        <v>2015</v>
      </c>
      <c r="AD57" s="52" t="s">
        <v>3</v>
      </c>
      <c r="AE57" s="53"/>
      <c r="AF57" s="53"/>
      <c r="AG57" s="53"/>
      <c r="AH57" s="53"/>
      <c r="AI57" s="53"/>
      <c r="AJ57" s="53"/>
      <c r="AK57" s="53"/>
      <c r="AL57" s="53"/>
      <c r="AM57" s="53"/>
      <c r="AN57" s="53"/>
      <c r="AO57" s="53"/>
      <c r="AP57" s="53"/>
      <c r="AQ57" s="54"/>
      <c r="AR57" s="9"/>
      <c r="AS57" s="9"/>
    </row>
    <row r="58" customFormat="false" ht="15" hidden="false" customHeight="false" outlineLevel="0" collapsed="false">
      <c r="A58" s="17" t="n">
        <v>40329</v>
      </c>
      <c r="B58" s="20" t="n">
        <v>13353.5</v>
      </c>
      <c r="C58" s="25" t="n">
        <f aca="false">(B58/B57-1)/(A58-A57)*30</f>
        <v>0.00035306269076351</v>
      </c>
      <c r="D58" s="19"/>
      <c r="E58" s="19"/>
      <c r="F58" s="19"/>
      <c r="AC58" s="55" t="n">
        <v>2016</v>
      </c>
      <c r="AD58" s="55" t="s">
        <v>3</v>
      </c>
      <c r="AE58" s="56"/>
      <c r="AF58" s="56"/>
      <c r="AG58" s="56"/>
      <c r="AH58" s="56"/>
      <c r="AI58" s="56"/>
      <c r="AJ58" s="56"/>
      <c r="AK58" s="56"/>
      <c r="AL58" s="56"/>
      <c r="AM58" s="56"/>
      <c r="AN58" s="56"/>
      <c r="AO58" s="56"/>
      <c r="AP58" s="56"/>
      <c r="AQ58" s="54"/>
      <c r="AR58" s="51"/>
      <c r="AS58" s="9"/>
    </row>
    <row r="59" customFormat="false" ht="15" hidden="false" customHeight="false" outlineLevel="0" collapsed="false">
      <c r="A59" s="17" t="n">
        <v>40359</v>
      </c>
      <c r="B59" s="20" t="n">
        <v>13360.9</v>
      </c>
      <c r="C59" s="25" t="n">
        <f aca="false">(B59/B58-1)/(A59-A58)*30</f>
        <v>0.000554161830231825</v>
      </c>
      <c r="D59" s="19"/>
      <c r="E59" s="19"/>
      <c r="F59" s="19"/>
      <c r="AC59" s="57" t="n">
        <v>2017</v>
      </c>
      <c r="AD59" s="52" t="s">
        <v>3</v>
      </c>
      <c r="AE59" s="53"/>
      <c r="AF59" s="53"/>
      <c r="AG59" s="53"/>
      <c r="AH59" s="53"/>
      <c r="AI59" s="53"/>
      <c r="AJ59" s="53"/>
      <c r="AK59" s="53"/>
      <c r="AL59" s="53"/>
      <c r="AM59" s="53"/>
      <c r="AN59" s="53"/>
      <c r="AO59" s="53"/>
      <c r="AP59" s="53"/>
      <c r="AQ59" s="54"/>
      <c r="AR59" s="51"/>
      <c r="AS59" s="9"/>
    </row>
    <row r="60" customFormat="false" ht="15" hidden="false" customHeight="false" outlineLevel="0" collapsed="false">
      <c r="A60" s="17" t="n">
        <v>40389</v>
      </c>
      <c r="B60" s="20" t="n">
        <v>13373.99</v>
      </c>
      <c r="C60" s="25" t="n">
        <f aca="false">(B60/B59-1)/(A60-A59)*30</f>
        <v>0.00097972441976224</v>
      </c>
      <c r="D60" s="19"/>
      <c r="E60" s="19"/>
      <c r="F60" s="19"/>
      <c r="AC60" s="57"/>
      <c r="AD60" s="52" t="s">
        <v>26</v>
      </c>
      <c r="AE60" s="53"/>
      <c r="AF60" s="53"/>
      <c r="AG60" s="53"/>
      <c r="AH60" s="53"/>
      <c r="AI60" s="53"/>
      <c r="AJ60" s="53"/>
      <c r="AK60" s="53"/>
      <c r="AL60" s="53"/>
      <c r="AM60" s="53"/>
      <c r="AN60" s="53"/>
      <c r="AO60" s="53"/>
      <c r="AP60" s="53"/>
      <c r="AQ60" s="54"/>
      <c r="AR60" s="51" t="s">
        <v>24</v>
      </c>
      <c r="AS60" s="9"/>
    </row>
    <row r="61" customFormat="false" ht="15" hidden="false" customHeight="false" outlineLevel="0" collapsed="false">
      <c r="A61" s="17" t="n">
        <v>40421</v>
      </c>
      <c r="B61" s="20" t="n">
        <v>13395.21</v>
      </c>
      <c r="C61" s="25" t="n">
        <f aca="false">(B61/B60-1)/(A61-A60)*30</f>
        <v>0.00148749550433341</v>
      </c>
      <c r="D61" s="19"/>
      <c r="E61" s="19"/>
      <c r="F61" s="19"/>
      <c r="AC61" s="57"/>
      <c r="AD61" s="52" t="s">
        <v>41</v>
      </c>
      <c r="AE61" s="53"/>
      <c r="AF61" s="53"/>
      <c r="AG61" s="53"/>
      <c r="AH61" s="53"/>
      <c r="AI61" s="53"/>
      <c r="AJ61" s="53"/>
      <c r="AK61" s="53"/>
      <c r="AL61" s="53"/>
      <c r="AM61" s="53"/>
      <c r="AN61" s="53"/>
      <c r="AO61" s="53"/>
      <c r="AP61" s="53"/>
      <c r="AQ61" s="54"/>
      <c r="AR61" s="51"/>
      <c r="AS61" s="9"/>
    </row>
    <row r="62" customFormat="false" ht="15" hidden="false" customHeight="false" outlineLevel="0" collapsed="false">
      <c r="A62" s="17" t="n">
        <v>40451</v>
      </c>
      <c r="B62" s="20" t="n">
        <v>13419.79</v>
      </c>
      <c r="C62" s="25" t="n">
        <f aca="false">(B62/B61-1)/(A62-A61)*30</f>
        <v>0.00183498429662565</v>
      </c>
      <c r="D62" s="19"/>
      <c r="E62" s="19"/>
      <c r="F62" s="19"/>
      <c r="AC62" s="58" t="n">
        <v>2018</v>
      </c>
      <c r="AD62" s="52" t="s">
        <v>3</v>
      </c>
      <c r="AE62" s="56"/>
      <c r="AF62" s="56"/>
      <c r="AG62" s="56"/>
      <c r="AH62" s="56"/>
      <c r="AI62" s="56"/>
      <c r="AJ62" s="56"/>
      <c r="AK62" s="56"/>
      <c r="AL62" s="56"/>
      <c r="AM62" s="56"/>
      <c r="AN62" s="56"/>
      <c r="AO62" s="56"/>
      <c r="AP62" s="56"/>
      <c r="AQ62" s="54"/>
      <c r="AR62" s="9"/>
    </row>
    <row r="63" customFormat="false" ht="15" hidden="false" customHeight="false" outlineLevel="0" collapsed="false">
      <c r="A63" s="17" t="n">
        <v>40480</v>
      </c>
      <c r="B63" s="20" t="n">
        <v>13448.69</v>
      </c>
      <c r="C63" s="25" t="n">
        <f aca="false">(B63/B62-1)/(A63-A62)*30</f>
        <v>0.00222779579443021</v>
      </c>
      <c r="D63" s="19"/>
      <c r="E63" s="19"/>
      <c r="F63" s="19"/>
      <c r="AC63" s="58"/>
      <c r="AD63" s="52" t="s">
        <v>26</v>
      </c>
      <c r="AE63" s="56"/>
      <c r="AF63" s="56"/>
      <c r="AG63" s="56"/>
      <c r="AH63" s="56"/>
      <c r="AI63" s="56"/>
      <c r="AJ63" s="56"/>
      <c r="AK63" s="56"/>
      <c r="AL63" s="56"/>
      <c r="AM63" s="56"/>
      <c r="AN63" s="56"/>
      <c r="AO63" s="56"/>
      <c r="AP63" s="56"/>
      <c r="AQ63" s="54"/>
      <c r="AR63" s="9"/>
    </row>
    <row r="64" customFormat="false" ht="15" hidden="false" customHeight="false" outlineLevel="0" collapsed="false">
      <c r="A64" s="17" t="n">
        <v>40512</v>
      </c>
      <c r="B64" s="20" t="n">
        <v>13483.02</v>
      </c>
      <c r="C64" s="25" t="n">
        <f aca="false">(B64/B63-1)/(A64-A63)*30</f>
        <v>0.00239312341945575</v>
      </c>
      <c r="D64" s="19"/>
      <c r="E64" s="19"/>
      <c r="F64" s="19"/>
      <c r="AC64" s="58"/>
      <c r="AD64" s="52" t="s">
        <v>41</v>
      </c>
      <c r="AE64" s="56"/>
      <c r="AF64" s="56"/>
      <c r="AG64" s="56"/>
      <c r="AH64" s="56"/>
      <c r="AI64" s="56"/>
      <c r="AJ64" s="56"/>
      <c r="AK64" s="56"/>
      <c r="AL64" s="56"/>
      <c r="AM64" s="56"/>
      <c r="AN64" s="56"/>
      <c r="AO64" s="56"/>
      <c r="AP64" s="56"/>
      <c r="AQ64" s="54"/>
    </row>
    <row r="65" customFormat="false" ht="15" hidden="false" customHeight="false" outlineLevel="0" collapsed="false">
      <c r="A65" s="17" t="n">
        <v>40543</v>
      </c>
      <c r="B65" s="20" t="n">
        <v>13522.93</v>
      </c>
      <c r="C65" s="25" t="n">
        <f aca="false">(B65/B64-1)/(A65-A64)*30</f>
        <v>0.00286453484791705</v>
      </c>
      <c r="D65" s="19"/>
      <c r="E65" s="19"/>
      <c r="F65" s="19"/>
      <c r="AC65" s="57" t="n">
        <v>2019</v>
      </c>
      <c r="AD65" s="52" t="s">
        <v>3</v>
      </c>
      <c r="AE65" s="53"/>
      <c r="AF65" s="53"/>
      <c r="AG65" s="53"/>
      <c r="AH65" s="53"/>
      <c r="AI65" s="53"/>
      <c r="AJ65" s="53"/>
      <c r="AK65" s="53"/>
      <c r="AL65" s="53"/>
      <c r="AM65" s="53"/>
      <c r="AN65" s="53"/>
      <c r="AO65" s="53"/>
      <c r="AP65" s="53"/>
      <c r="AQ65" s="54"/>
    </row>
    <row r="66" customFormat="false" ht="15" hidden="false" customHeight="false" outlineLevel="0" collapsed="false">
      <c r="A66" s="17" t="n">
        <v>40574</v>
      </c>
      <c r="B66" s="20" t="n">
        <v>13557.12</v>
      </c>
      <c r="C66" s="25" t="n">
        <f aca="false">(B66/B65-1)/(A66-A65)*30</f>
        <v>0.00244674022376755</v>
      </c>
      <c r="D66" s="19"/>
      <c r="E66" s="19"/>
      <c r="F66" s="19"/>
      <c r="AC66" s="57"/>
      <c r="AD66" s="52" t="s">
        <v>26</v>
      </c>
      <c r="AE66" s="53"/>
      <c r="AF66" s="53"/>
      <c r="AG66" s="53"/>
      <c r="AH66" s="53"/>
      <c r="AI66" s="53"/>
      <c r="AJ66" s="53"/>
      <c r="AK66" s="53"/>
      <c r="AL66" s="53"/>
      <c r="AM66" s="53"/>
      <c r="AN66" s="53"/>
      <c r="AO66" s="53"/>
      <c r="AP66" s="53"/>
      <c r="AQ66" s="54"/>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7"/>
      <c r="AD67" s="52" t="s">
        <v>41</v>
      </c>
      <c r="AE67" s="53"/>
      <c r="AF67" s="53"/>
      <c r="AG67" s="53"/>
      <c r="AH67" s="53"/>
      <c r="AI67" s="53"/>
      <c r="AJ67" s="53"/>
      <c r="AK67" s="53"/>
      <c r="AL67" s="53"/>
      <c r="AM67" s="53"/>
      <c r="AN67" s="53"/>
      <c r="AO67" s="53"/>
      <c r="AP67" s="53"/>
      <c r="AQ67" s="54"/>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7" t="n">
        <v>2020</v>
      </c>
      <c r="AD68" s="52" t="s">
        <v>3</v>
      </c>
      <c r="AE68" s="53"/>
      <c r="AF68" s="53"/>
      <c r="AG68" s="53"/>
      <c r="AH68" s="53"/>
      <c r="AI68" s="53"/>
      <c r="AJ68" s="53"/>
      <c r="AK68" s="53"/>
      <c r="AL68" s="53"/>
      <c r="AM68" s="53"/>
      <c r="AN68" s="53"/>
      <c r="AO68" s="53"/>
      <c r="AP68" s="53"/>
      <c r="AQ68" s="54"/>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7"/>
      <c r="AD69" s="52" t="s">
        <v>26</v>
      </c>
      <c r="AE69" s="53"/>
      <c r="AF69" s="53"/>
      <c r="AG69" s="53"/>
      <c r="AH69" s="53"/>
      <c r="AI69" s="53"/>
      <c r="AJ69" s="53"/>
      <c r="AK69" s="53"/>
      <c r="AL69" s="53"/>
      <c r="AM69" s="53"/>
      <c r="AN69" s="53"/>
      <c r="AO69" s="53"/>
      <c r="AP69" s="53"/>
      <c r="AQ69" s="54"/>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7"/>
      <c r="AD70" s="52" t="s">
        <v>41</v>
      </c>
      <c r="AE70" s="53"/>
      <c r="AF70" s="53"/>
      <c r="AG70" s="53"/>
      <c r="AH70" s="53"/>
      <c r="AI70" s="53"/>
      <c r="AJ70" s="53"/>
      <c r="AK70" s="53"/>
      <c r="AL70" s="53"/>
      <c r="AM70" s="53"/>
      <c r="AN70" s="53"/>
      <c r="AO70" s="53"/>
      <c r="AP70" s="53"/>
      <c r="AQ70" s="54"/>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8" t="n">
        <v>2021</v>
      </c>
      <c r="AD71" s="52" t="s">
        <v>3</v>
      </c>
      <c r="AE71" s="59"/>
      <c r="AF71" s="59"/>
      <c r="AG71" s="59"/>
      <c r="AH71" s="59"/>
      <c r="AI71" s="59"/>
      <c r="AJ71" s="59"/>
      <c r="AK71" s="59"/>
      <c r="AL71" s="59"/>
      <c r="AM71" s="59"/>
      <c r="AN71" s="59"/>
      <c r="AO71" s="59"/>
      <c r="AP71" s="59"/>
      <c r="AQ71" s="59"/>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8"/>
      <c r="AD72" s="52" t="s">
        <v>26</v>
      </c>
      <c r="AE72" s="59"/>
      <c r="AF72" s="59"/>
      <c r="AG72" s="59"/>
      <c r="AH72" s="59"/>
      <c r="AI72" s="59"/>
      <c r="AJ72" s="59"/>
      <c r="AK72" s="59"/>
      <c r="AL72" s="59"/>
      <c r="AM72" s="59"/>
      <c r="AN72" s="59"/>
      <c r="AO72" s="59"/>
      <c r="AP72" s="59"/>
      <c r="AQ72" s="59"/>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8"/>
      <c r="AD73" s="52" t="s">
        <v>41</v>
      </c>
      <c r="AE73" s="59"/>
      <c r="AF73" s="59"/>
      <c r="AG73" s="59"/>
      <c r="AH73" s="59"/>
      <c r="AI73" s="59"/>
      <c r="AJ73" s="59"/>
      <c r="AK73" s="59"/>
      <c r="AL73" s="59"/>
      <c r="AM73" s="59"/>
      <c r="AN73" s="59"/>
      <c r="AO73" s="59"/>
      <c r="AP73" s="59"/>
      <c r="AQ73" s="59"/>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0" t="n">
        <v>2022</v>
      </c>
      <c r="AD74" s="52" t="s">
        <v>3</v>
      </c>
      <c r="AE74" s="59"/>
      <c r="AF74" s="59"/>
      <c r="AG74" s="59"/>
      <c r="AH74" s="59"/>
      <c r="AI74" s="59"/>
      <c r="AJ74" s="59"/>
      <c r="AK74" s="59"/>
      <c r="AL74" s="59"/>
      <c r="AM74" s="59"/>
      <c r="AN74" s="59"/>
      <c r="AO74" s="59"/>
      <c r="AP74" s="59"/>
      <c r="AQ74" s="59"/>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0"/>
      <c r="AD75" s="52" t="s">
        <v>26</v>
      </c>
      <c r="AE75" s="59"/>
      <c r="AF75" s="59"/>
      <c r="AG75" s="59"/>
      <c r="AH75" s="59"/>
      <c r="AI75" s="59"/>
      <c r="AJ75" s="59"/>
      <c r="AK75" s="59"/>
      <c r="AL75" s="59"/>
      <c r="AM75" s="59"/>
      <c r="AN75" s="59"/>
      <c r="AO75" s="59"/>
      <c r="AP75" s="59"/>
      <c r="AQ75" s="59"/>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0"/>
      <c r="AD76" s="52" t="s">
        <v>41</v>
      </c>
      <c r="AE76" s="59"/>
      <c r="AF76" s="59"/>
      <c r="AG76" s="59"/>
      <c r="AH76" s="59"/>
      <c r="AI76" s="59"/>
      <c r="AJ76" s="59"/>
      <c r="AK76" s="59"/>
      <c r="AL76" s="59"/>
      <c r="AM76" s="59"/>
      <c r="AN76" s="59"/>
      <c r="AO76" s="59"/>
      <c r="AP76" s="59"/>
      <c r="AQ76" s="59"/>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0" t="n">
        <v>2023</v>
      </c>
      <c r="AD77" s="52" t="s">
        <v>3</v>
      </c>
      <c r="AE77" s="59"/>
      <c r="AF77" s="59"/>
      <c r="AG77" s="59"/>
      <c r="AH77" s="59"/>
      <c r="AI77" s="59"/>
      <c r="AJ77" s="59"/>
      <c r="AK77" s="59"/>
      <c r="AL77" s="59"/>
      <c r="AM77" s="59"/>
      <c r="AN77" s="59"/>
      <c r="AO77" s="59" t="n">
        <f aca="false">+AO19</f>
        <v>0</v>
      </c>
      <c r="AP77" s="59" t="n">
        <f aca="false">+AP19</f>
        <v>0</v>
      </c>
      <c r="AQ77" s="59" t="n">
        <f aca="false">+AQ19</f>
        <v>0</v>
      </c>
    </row>
    <row r="78" s="4" customFormat="true" ht="15" hidden="false" customHeight="false" outlineLevel="0" collapsed="false">
      <c r="A78" s="17" t="n">
        <v>40939</v>
      </c>
      <c r="B78" s="20" t="n">
        <v>14236.38</v>
      </c>
      <c r="C78" s="25" t="n">
        <f aca="false">(B78/B77-1)/(A78-A77)*30</f>
        <v>0.00421697490162375</v>
      </c>
      <c r="D78" s="19"/>
      <c r="E78" s="19"/>
      <c r="F78" s="19"/>
      <c r="I78" s="5"/>
      <c r="AC78" s="60"/>
      <c r="AD78" s="52" t="s">
        <v>26</v>
      </c>
      <c r="AE78" s="59"/>
      <c r="AF78" s="59"/>
      <c r="AG78" s="59"/>
      <c r="AH78" s="59"/>
      <c r="AI78" s="59"/>
      <c r="AJ78" s="59"/>
      <c r="AK78" s="59"/>
      <c r="AL78" s="59"/>
      <c r="AM78" s="59"/>
      <c r="AN78" s="59"/>
      <c r="AO78" s="59" t="n">
        <f aca="false">+AO48</f>
        <v>0</v>
      </c>
      <c r="AP78" s="59" t="n">
        <f aca="false">+AP48</f>
        <v>0</v>
      </c>
      <c r="AQ78" s="59" t="n">
        <f aca="false">+AQ48</f>
        <v>0</v>
      </c>
    </row>
    <row r="79" s="4" customFormat="true" ht="15" hidden="false" customHeight="false" outlineLevel="0" collapsed="false">
      <c r="A79" s="17" t="n">
        <v>40968</v>
      </c>
      <c r="B79" s="20" t="n">
        <v>14293.67</v>
      </c>
      <c r="C79" s="25" t="n">
        <f aca="false">(B79/B78-1)/(A79-A78)*30</f>
        <v>0.00416296258187693</v>
      </c>
      <c r="D79" s="19"/>
      <c r="E79" s="19"/>
      <c r="F79" s="19"/>
      <c r="I79" s="5"/>
      <c r="AC79" s="60"/>
      <c r="AD79" s="52" t="s">
        <v>41</v>
      </c>
      <c r="AE79" s="59"/>
      <c r="AF79" s="59"/>
      <c r="AG79" s="59"/>
      <c r="AH79" s="59"/>
      <c r="AI79" s="59"/>
      <c r="AJ79" s="59"/>
      <c r="AK79" s="59"/>
      <c r="AL79" s="59"/>
      <c r="AM79" s="59"/>
      <c r="AN79" s="59"/>
      <c r="AO79" s="59" t="n">
        <f aca="false">+AO35</f>
        <v>0</v>
      </c>
      <c r="AP79" s="59" t="n">
        <f aca="false">+AP35</f>
        <v>0</v>
      </c>
      <c r="AQ79" s="59" t="n">
        <f aca="false">+AQ35</f>
        <v>0</v>
      </c>
    </row>
    <row r="80" s="4" customFormat="true" ht="15" hidden="false" customHeight="false" outlineLevel="0" collapsed="false">
      <c r="A80" s="17" t="n">
        <v>40998</v>
      </c>
      <c r="B80" s="20" t="n">
        <v>14353.34</v>
      </c>
      <c r="C80" s="25" t="n">
        <f aca="false">(B80/B79-1)/(A80-A79)*30</f>
        <v>0.00417457517908271</v>
      </c>
      <c r="D80" s="19"/>
      <c r="E80" s="19"/>
      <c r="F80" s="19"/>
      <c r="I80" s="5"/>
      <c r="AC80" s="60" t="n">
        <v>2024</v>
      </c>
      <c r="AD80" s="52" t="s">
        <v>3</v>
      </c>
      <c r="AE80" s="59" t="n">
        <f aca="false">+AE20</f>
        <v>0</v>
      </c>
      <c r="AF80" s="59" t="n">
        <f aca="false">+AF20</f>
        <v>0</v>
      </c>
      <c r="AG80" s="59" t="n">
        <f aca="false">+AG20</f>
        <v>0</v>
      </c>
      <c r="AH80" s="59" t="n">
        <f aca="false">+AH20</f>
        <v>0</v>
      </c>
      <c r="AI80" s="59" t="n">
        <f aca="false">+AI20</f>
        <v>0</v>
      </c>
      <c r="AJ80" s="59" t="n">
        <f aca="false">+AJ20</f>
        <v>0</v>
      </c>
      <c r="AK80" s="59" t="n">
        <f aca="false">+AK20</f>
        <v>0</v>
      </c>
      <c r="AL80" s="59" t="n">
        <f aca="false">+AL20</f>
        <v>0</v>
      </c>
      <c r="AM80" s="59" t="n">
        <f aca="false">+AM20</f>
        <v>0</v>
      </c>
      <c r="AN80" s="59" t="n">
        <f aca="false">+AN20</f>
        <v>0</v>
      </c>
      <c r="AO80" s="59" t="n">
        <f aca="false">+AO20</f>
        <v>0</v>
      </c>
      <c r="AP80" s="59" t="n">
        <f aca="false">+AP20</f>
        <v>0</v>
      </c>
      <c r="AQ80" s="59" t="n">
        <f aca="false">+AQ20</f>
        <v>0</v>
      </c>
    </row>
    <row r="81" s="4" customFormat="true" ht="15" hidden="false" customHeight="false" outlineLevel="0" collapsed="false">
      <c r="A81" s="17" t="n">
        <v>41029</v>
      </c>
      <c r="B81" s="20" t="n">
        <v>14415.21</v>
      </c>
      <c r="C81" s="25" t="n">
        <f aca="false">(B81/B80-1)/(A81-A80)*30</f>
        <v>0.00417144675374423</v>
      </c>
      <c r="D81" s="19"/>
      <c r="E81" s="19"/>
      <c r="F81" s="19"/>
      <c r="I81" s="5"/>
      <c r="AC81" s="60"/>
      <c r="AD81" s="52" t="s">
        <v>26</v>
      </c>
      <c r="AE81" s="59" t="n">
        <f aca="false">+AE49</f>
        <v>0</v>
      </c>
      <c r="AF81" s="59" t="n">
        <f aca="false">+AF49</f>
        <v>0</v>
      </c>
      <c r="AG81" s="59" t="n">
        <f aca="false">+AG49</f>
        <v>0</v>
      </c>
      <c r="AH81" s="59" t="n">
        <f aca="false">+AH49</f>
        <v>0</v>
      </c>
      <c r="AI81" s="59" t="n">
        <f aca="false">+AI49</f>
        <v>0</v>
      </c>
      <c r="AJ81" s="59" t="n">
        <f aca="false">+AJ49</f>
        <v>0</v>
      </c>
      <c r="AK81" s="59" t="n">
        <f aca="false">+AK49</f>
        <v>0</v>
      </c>
      <c r="AL81" s="59" t="n">
        <f aca="false">+AL49</f>
        <v>0</v>
      </c>
      <c r="AM81" s="59" t="n">
        <f aca="false">+AM49</f>
        <v>0</v>
      </c>
      <c r="AN81" s="59" t="n">
        <f aca="false">+AN49</f>
        <v>0</v>
      </c>
      <c r="AO81" s="59" t="n">
        <f aca="false">+AO49</f>
        <v>0</v>
      </c>
      <c r="AP81" s="59" t="n">
        <f aca="false">+AP49</f>
        <v>0</v>
      </c>
      <c r="AQ81" s="59" t="n">
        <f aca="false">+AQ49</f>
        <v>0</v>
      </c>
    </row>
    <row r="82" s="4" customFormat="true" ht="15" hidden="false" customHeight="false" outlineLevel="0" collapsed="false">
      <c r="A82" s="17" t="n">
        <v>41060</v>
      </c>
      <c r="B82" s="20" t="n">
        <v>14477.55</v>
      </c>
      <c r="C82" s="25" t="n">
        <f aca="false">(B82/B81-1)/(A82-A81)*30</f>
        <v>0.00418509562178174</v>
      </c>
      <c r="D82" s="19"/>
      <c r="E82" s="19"/>
      <c r="F82" s="19"/>
      <c r="I82" s="5"/>
      <c r="AC82" s="60"/>
      <c r="AD82" s="52" t="s">
        <v>41</v>
      </c>
      <c r="AE82" s="59" t="n">
        <f aca="false">+AE36</f>
        <v>0</v>
      </c>
      <c r="AF82" s="59" t="n">
        <f aca="false">+AF36</f>
        <v>0</v>
      </c>
      <c r="AG82" s="59" t="n">
        <f aca="false">+AG36</f>
        <v>0</v>
      </c>
      <c r="AH82" s="59" t="n">
        <f aca="false">+AH36</f>
        <v>0</v>
      </c>
      <c r="AI82" s="59" t="n">
        <f aca="false">+AI36</f>
        <v>0</v>
      </c>
      <c r="AJ82" s="59" t="n">
        <f aca="false">+AJ36</f>
        <v>0</v>
      </c>
      <c r="AK82" s="59" t="n">
        <f aca="false">+AK36</f>
        <v>0</v>
      </c>
      <c r="AL82" s="59" t="n">
        <f aca="false">+AL36</f>
        <v>0</v>
      </c>
      <c r="AM82" s="59" t="n">
        <f aca="false">+AM36</f>
        <v>0</v>
      </c>
      <c r="AN82" s="59" t="n">
        <f aca="false">+AN36</f>
        <v>0</v>
      </c>
      <c r="AO82" s="59" t="n">
        <f aca="false">+AO36</f>
        <v>0</v>
      </c>
      <c r="AP82" s="59" t="n">
        <f aca="false">+AP36</f>
        <v>0</v>
      </c>
      <c r="AQ82" s="59" t="n">
        <f aca="false">+AQ36</f>
        <v>0</v>
      </c>
    </row>
    <row r="83" s="4" customFormat="true" ht="15" hidden="false" customHeight="false" outlineLevel="0" collapsed="false">
      <c r="A83" s="17" t="n">
        <v>41089</v>
      </c>
      <c r="B83" s="20" t="n">
        <v>14536.13</v>
      </c>
      <c r="C83" s="25" t="n">
        <f aca="false">(B83/B82-1)/(A83-A82)*30</f>
        <v>0.00418579110415774</v>
      </c>
      <c r="D83" s="19"/>
      <c r="E83" s="19"/>
      <c r="F83" s="19"/>
      <c r="I83" s="5"/>
      <c r="AC83" s="60" t="n">
        <v>2025</v>
      </c>
      <c r="AD83" s="52" t="s">
        <v>3</v>
      </c>
      <c r="AE83" s="59" t="n">
        <f aca="false">+AE21</f>
        <v>0</v>
      </c>
      <c r="AF83" s="59" t="n">
        <f aca="false">+AF21</f>
        <v>0.00389626305099444</v>
      </c>
      <c r="AG83" s="59" t="n">
        <f aca="false">+AG21</f>
        <v>0.0043138020854181</v>
      </c>
      <c r="AH83" s="59" t="n">
        <f aca="false">+AH21</f>
        <v>0.00417571644342774</v>
      </c>
      <c r="AI83" s="59" t="n">
        <f aca="false">+AI21</f>
        <v>0.00417422694650416</v>
      </c>
      <c r="AJ83" s="59" t="n">
        <f aca="false">+AJ21</f>
        <v>0.00431456613652492</v>
      </c>
      <c r="AK83" s="59" t="n">
        <f aca="false">+AK21</f>
        <v>0.00430626208344687</v>
      </c>
      <c r="AL83" s="59" t="n">
        <f aca="false">+AL21</f>
        <v>0.00383327468941586</v>
      </c>
      <c r="AM83" s="59" t="n">
        <f aca="false">+AM21</f>
        <v>0.00423004876441735</v>
      </c>
      <c r="AN83" s="59" t="n">
        <f aca="false">+AN21</f>
        <v>0.00396619021077105</v>
      </c>
      <c r="AO83" s="59" t="n">
        <f aca="false">+AO21</f>
        <v>0.00383243965233548</v>
      </c>
      <c r="AP83" s="59" t="n">
        <f aca="false">+AP21</f>
        <v>0.00413946203577598</v>
      </c>
      <c r="AQ83" s="59" t="n">
        <f aca="false">+AQ21</f>
        <v>0.0461215166375695</v>
      </c>
    </row>
    <row r="84" s="4" customFormat="true" ht="15" hidden="false" customHeight="false" outlineLevel="0" collapsed="false">
      <c r="A84" s="17" t="n">
        <v>41121</v>
      </c>
      <c r="B84" s="20" t="n">
        <v>14600.61</v>
      </c>
      <c r="C84" s="25" t="n">
        <f aca="false">(B84/B83-1)/(A84-A83)*30</f>
        <v>0.00415860342470799</v>
      </c>
      <c r="D84" s="19"/>
      <c r="E84" s="19"/>
      <c r="F84" s="19"/>
      <c r="I84" s="5"/>
      <c r="AC84" s="60"/>
      <c r="AD84" s="52" t="s">
        <v>26</v>
      </c>
      <c r="AE84" s="59" t="n">
        <f aca="false">+AE50</f>
        <v>0.003</v>
      </c>
      <c r="AF84" s="59" t="n">
        <f aca="false">+AF50</f>
        <v>0.00302021033404665</v>
      </c>
      <c r="AG84" s="59" t="n">
        <f aca="false">+AG50</f>
        <v>0.00276213771028111</v>
      </c>
      <c r="AH84" s="59" t="n">
        <f aca="false">+AH50</f>
        <v>0.00306282692323312</v>
      </c>
      <c r="AI84" s="59" t="n">
        <f aca="false">+AI50</f>
        <v>0.00607490718642301</v>
      </c>
      <c r="AJ84" s="59" t="n">
        <f aca="false">+AJ50</f>
        <v>0.00299705245742721</v>
      </c>
      <c r="AK84" s="59" t="n">
        <f aca="false">+AK50</f>
        <v>0.00304901446855221</v>
      </c>
      <c r="AL84" s="59" t="n">
        <f aca="false">+AL50</f>
        <v>0.0029020820085115</v>
      </c>
      <c r="AM84" s="59" t="n">
        <f aca="false">+AM50</f>
        <v>0.00276161496613736</v>
      </c>
      <c r="AN84" s="59" t="n">
        <f aca="false">+AN50</f>
        <v>0.00286519472447866</v>
      </c>
      <c r="AO84" s="59" t="n">
        <f aca="false">+AO50</f>
        <v>0.00279501576319907</v>
      </c>
      <c r="AP84" s="59" t="n">
        <f aca="false">+AP50</f>
        <v>0.00283776649927603</v>
      </c>
      <c r="AQ84" s="59" t="n">
        <f aca="false">+AQ50</f>
        <v>0.0356893671648779</v>
      </c>
    </row>
    <row r="85" s="4" customFormat="true" ht="15" hidden="false" customHeight="false" outlineLevel="0" collapsed="false">
      <c r="A85" s="17" t="n">
        <v>41152</v>
      </c>
      <c r="B85" s="20" t="n">
        <v>14663.33</v>
      </c>
      <c r="C85" s="25" t="n">
        <f aca="false">(B85/B84-1)/(A85-A84)*30</f>
        <v>0.0041571396122181</v>
      </c>
      <c r="D85" s="19"/>
      <c r="E85" s="19"/>
      <c r="F85" s="19"/>
      <c r="I85" s="5"/>
      <c r="AC85" s="60"/>
      <c r="AD85" s="52" t="s">
        <v>41</v>
      </c>
      <c r="AE85" s="59" t="n">
        <f aca="false">+AE37</f>
        <v>0</v>
      </c>
      <c r="AF85" s="59" t="n">
        <f aca="false">+AF37</f>
        <v>0</v>
      </c>
      <c r="AG85" s="59" t="n">
        <f aca="false">+AG37</f>
        <v>0</v>
      </c>
      <c r="AH85" s="59" t="n">
        <f aca="false">+AH37</f>
        <v>0.00402159999999996</v>
      </c>
      <c r="AI85" s="59" t="n">
        <f aca="false">+AI37</f>
        <v>0.00648003987165202</v>
      </c>
      <c r="AJ85" s="59" t="n">
        <f aca="false">+AJ37</f>
        <v>0.00645870469458676</v>
      </c>
      <c r="AK85" s="59" t="n">
        <f aca="false">+AK37</f>
        <v>0.0061197316485726</v>
      </c>
      <c r="AL85" s="59" t="n">
        <f aca="false">+AL37</f>
        <v>0.00601146217769655</v>
      </c>
      <c r="AM85" s="59" t="n">
        <f aca="false">+AM37</f>
        <v>0.00598234032254141</v>
      </c>
      <c r="AN85" s="59" t="n">
        <f aca="false">+AN37</f>
        <v>0.00659982350128918</v>
      </c>
      <c r="AO85" s="59" t="n">
        <f aca="false">+AO37</f>
        <v>0.00578143421624411</v>
      </c>
      <c r="AP85" s="59" t="n">
        <f aca="false">+AP37</f>
        <v>0.00661691257100849</v>
      </c>
      <c r="AQ85" s="59" t="n">
        <f aca="false">+AQ37</f>
        <v>0.0553872</v>
      </c>
    </row>
    <row r="86" s="4" customFormat="true" ht="15" hidden="false" customHeight="false" outlineLevel="0" collapsed="false">
      <c r="A86" s="17" t="n">
        <v>41180</v>
      </c>
      <c r="B86" s="20" t="n">
        <v>14720.68</v>
      </c>
      <c r="C86" s="25" t="n">
        <f aca="false">(B86/B85-1)/(A86-A85)*30</f>
        <v>0.0041904825555607</v>
      </c>
      <c r="D86" s="19"/>
      <c r="E86" s="19"/>
      <c r="F86" s="19"/>
      <c r="I86" s="5"/>
      <c r="AC86" s="60" t="n">
        <v>2026</v>
      </c>
      <c r="AD86" s="52" t="s">
        <v>3</v>
      </c>
      <c r="AE86" s="59" t="n">
        <f aca="false">+AE22</f>
        <v>0.00388234363273376</v>
      </c>
      <c r="AF86" s="59" t="n">
        <f aca="false">+AF22</f>
        <v>0.00363126461056962</v>
      </c>
      <c r="AG86" s="59" t="n">
        <f aca="false">+AG22</f>
        <v>0.0038819280865483</v>
      </c>
      <c r="AH86" s="59" t="n">
        <f aca="false">+AH22</f>
        <v>-0.243672722859896</v>
      </c>
      <c r="AI86" s="59"/>
      <c r="AJ86" s="59"/>
      <c r="AK86" s="59"/>
      <c r="AL86" s="59"/>
      <c r="AM86" s="59"/>
      <c r="AN86" s="59"/>
      <c r="AO86" s="59"/>
      <c r="AP86" s="59"/>
      <c r="AQ86" s="59"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0"/>
      <c r="AD87" s="52" t="s">
        <v>26</v>
      </c>
      <c r="AE87" s="59" t="n">
        <f aca="false">+AE51</f>
        <v>0.00272443815472734</v>
      </c>
      <c r="AF87" s="59" t="n">
        <f aca="false">+AF51</f>
        <v>0.00244521636660222</v>
      </c>
      <c r="AG87" s="59" t="n">
        <f aca="false">+AG51</f>
        <v>0.00268777625151762</v>
      </c>
      <c r="AH87" s="59" t="n">
        <f aca="false">+AH51</f>
        <v>-1</v>
      </c>
      <c r="AI87" s="59"/>
      <c r="AJ87" s="59"/>
      <c r="AK87" s="59"/>
      <c r="AL87" s="59"/>
      <c r="AM87" s="59"/>
      <c r="AN87" s="59"/>
      <c r="AO87" s="59"/>
      <c r="AP87" s="59"/>
      <c r="AQ87" s="59"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0"/>
      <c r="AD88" s="52" t="s">
        <v>41</v>
      </c>
      <c r="AE88" s="59" t="n">
        <f aca="false">+AE38</f>
        <v>0.00609814104245365</v>
      </c>
      <c r="AF88" s="59" t="n">
        <f aca="false">+AF38</f>
        <v>0.00560931477192383</v>
      </c>
      <c r="AG88" s="59" t="n">
        <f aca="false">+AG38</f>
        <v>0.00603420632280538</v>
      </c>
      <c r="AH88" s="59" t="n">
        <f aca="false">+AH38</f>
        <v>0.00580419846020708</v>
      </c>
      <c r="AI88" s="59"/>
      <c r="AJ88" s="59"/>
      <c r="AK88" s="59"/>
      <c r="AL88" s="59"/>
      <c r="AM88" s="59"/>
      <c r="AN88" s="59"/>
      <c r="AO88" s="59"/>
      <c r="AP88" s="59"/>
      <c r="AQ88" s="59" t="n">
        <f aca="false">+AQ38</f>
        <v>0.0535401604264298</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D91" s="17" t="n">
        <v>43008</v>
      </c>
      <c r="AE91" s="61" t="n">
        <v>0.00311210000000006</v>
      </c>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D92" s="17" t="n">
        <v>43039</v>
      </c>
      <c r="AE92" s="61" t="n">
        <v>0.00266354947734888</v>
      </c>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D93" s="17" t="n">
        <v>43069</v>
      </c>
      <c r="AE93" s="61" t="n">
        <v>0.00270401929468234</v>
      </c>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43100</v>
      </c>
      <c r="AE94" s="61" t="n">
        <v>0.00300965446914445</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43131</v>
      </c>
      <c r="AE95" s="61" t="n">
        <v>0.00473727239934226</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43159</v>
      </c>
      <c r="AE96" s="61" t="n">
        <v>0.00378152301954046</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C97" s="3"/>
      <c r="AD97" s="17" t="n">
        <v>43190</v>
      </c>
      <c r="AE97" s="61" t="n">
        <v>0.00300527511908573</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C98" s="3"/>
      <c r="AD98" s="17" t="n">
        <v>43220</v>
      </c>
      <c r="AE98" s="61" t="n">
        <v>0.00316130254575997</v>
      </c>
      <c r="AF98" s="3"/>
      <c r="AG98" s="3"/>
      <c r="AH98" s="3"/>
      <c r="AI98" s="3"/>
      <c r="AJ98" s="3"/>
      <c r="AK98" s="3"/>
      <c r="AL98" s="3"/>
      <c r="AM98" s="3"/>
      <c r="AN98" s="3"/>
      <c r="AO98" s="3"/>
      <c r="AP98" s="3"/>
      <c r="AQ98" s="3"/>
    </row>
    <row r="99" s="4" customFormat="true" ht="15" hidden="false" customHeight="false" outlineLevel="0" collapsed="false">
      <c r="A99" s="17" t="n">
        <v>41578</v>
      </c>
      <c r="B99" s="20" t="n">
        <v>15554.36</v>
      </c>
      <c r="C99" s="25" t="n">
        <f aca="false">(B99/B98-1)/(A99-A98)*30</f>
        <v>0.00395880485699199</v>
      </c>
      <c r="D99" s="19"/>
      <c r="E99" s="19"/>
      <c r="F99" s="19"/>
      <c r="I99" s="5"/>
      <c r="AD99" s="17" t="n">
        <v>43251</v>
      </c>
      <c r="AE99" s="61" t="n">
        <v>0.00310067866389014</v>
      </c>
      <c r="AF99" s="3"/>
      <c r="AG99" s="3"/>
      <c r="AH99" s="3"/>
      <c r="AI99" s="3"/>
      <c r="AJ99" s="3"/>
      <c r="AK99" s="3"/>
      <c r="AL99" s="3"/>
      <c r="AM99" s="3"/>
      <c r="AN99" s="3"/>
      <c r="AO99" s="3"/>
      <c r="AP99" s="3"/>
      <c r="AQ99" s="3"/>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43281</v>
      </c>
      <c r="AE100" s="61" t="n">
        <v>0.00287709140845549</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43312</v>
      </c>
      <c r="AE101" s="61" t="n">
        <v>0.00279025405786912</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43343</v>
      </c>
      <c r="AE102" s="61" t="n">
        <v>0.00269722002207049</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43373</v>
      </c>
      <c r="AE103" s="61" t="n">
        <v>0.00294678677406712</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43404</v>
      </c>
      <c r="AE104" s="61" t="n">
        <v>0.00273411579812808</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43434</v>
      </c>
      <c r="AE105" s="61" t="n">
        <v>0.00284409288655185</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43465</v>
      </c>
      <c r="AE106" s="61" t="n">
        <v>0.00262659891580654</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43496</v>
      </c>
      <c r="AE107" s="61" t="n">
        <v>0.00281430328228941</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43524</v>
      </c>
      <c r="AE108" s="61" t="n">
        <v>0.00282360638687196</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43555</v>
      </c>
      <c r="AE109" s="61" t="n">
        <v>0.00286536279403882</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43585</v>
      </c>
      <c r="AE110" s="61" t="n">
        <v>0.00293240905161363</v>
      </c>
    </row>
    <row r="111" s="4" customFormat="true" ht="15" hidden="false" customHeight="false" outlineLevel="0" collapsed="false">
      <c r="A111" s="17" t="n">
        <v>41943</v>
      </c>
      <c r="B111" s="20" t="n">
        <v>16200.86</v>
      </c>
      <c r="C111" s="25" t="n">
        <f aca="false">(B111/B110-1)/(A111-A110)*30</f>
        <v>0.00254477121384836</v>
      </c>
      <c r="D111" s="19"/>
      <c r="E111" s="19"/>
      <c r="F111" s="19"/>
      <c r="I111" s="5"/>
    </row>
    <row r="112" s="4" customFormat="true" ht="15" hidden="false" customHeight="false" outlineLevel="0" collapsed="false">
      <c r="A112" s="17" t="n">
        <v>41971</v>
      </c>
      <c r="B112" s="20" t="n">
        <v>16240.11</v>
      </c>
      <c r="C112" s="25" t="n">
        <f aca="false">(B112/B111-1)/(A112-A111)*30</f>
        <v>0.00259576167120579</v>
      </c>
      <c r="D112" s="19"/>
      <c r="E112" s="19"/>
      <c r="F112" s="19"/>
      <c r="I112" s="5"/>
    </row>
    <row r="113" s="4" customFormat="true" ht="15" hidden="false" customHeight="false" outlineLevel="0" collapsed="false">
      <c r="A113" s="17" t="n">
        <v>42004</v>
      </c>
      <c r="B113" s="20" t="n">
        <v>16283.49</v>
      </c>
      <c r="C113" s="25" t="n">
        <f aca="false">(B113/B112-1)/(A113-A112)*30</f>
        <v>0.00242833106649904</v>
      </c>
      <c r="D113" s="19"/>
      <c r="E113" s="19"/>
      <c r="F113" s="19"/>
      <c r="I113" s="5"/>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2"/>
      <c r="H130" s="62"/>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2"/>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3" t="n">
        <v>17149.23</v>
      </c>
      <c r="C132" s="25" t="n">
        <f aca="false">(B132/B131-1)/(A132-A131)*30</f>
        <v>0.00289846803993268</v>
      </c>
      <c r="D132" s="19"/>
      <c r="F132" s="17" t="n">
        <f aca="false">+A132</f>
        <v>42582</v>
      </c>
      <c r="H132" s="62"/>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2"/>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2"/>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2"/>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2"/>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2"/>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42</v>
      </c>
      <c r="AD147" s="4"/>
      <c r="AE147" s="4"/>
      <c r="AF147" s="4"/>
      <c r="AG147" s="4"/>
      <c r="AH147" s="4"/>
      <c r="AI147" s="4"/>
      <c r="AJ147" s="4"/>
      <c r="AK147" s="4"/>
      <c r="AL147" s="4"/>
      <c r="AM147" s="4"/>
      <c r="AN147" s="4"/>
      <c r="AO147" s="4"/>
      <c r="AP147" s="4"/>
      <c r="AQ147" s="4"/>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t="n">
        <v>1063.8688</v>
      </c>
      <c r="L148" s="25" t="n">
        <f aca="false">+(K148/K147-1)/(F148-F147)*30</f>
        <v>0.00195678792184273</v>
      </c>
      <c r="M148" s="19"/>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t="n">
        <v>1066.0204</v>
      </c>
      <c r="L149" s="25" t="n">
        <f aca="false">+(K149/K148-1)/(F149-F148)*30</f>
        <v>0.00195719016140636</v>
      </c>
      <c r="M149" s="19"/>
      <c r="Q149" s="4" t="n">
        <f aca="false">+G137+S148</f>
        <v>0</v>
      </c>
      <c r="S149" s="3" t="s">
        <v>43</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t="n">
        <v>1068.2126</v>
      </c>
      <c r="L150" s="25" t="n">
        <f aca="false">+(K150/K149-1)/(F150-F149)*30</f>
        <v>0.0019900968789787</v>
      </c>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t="n">
        <v>1070.2119</v>
      </c>
      <c r="L151" s="25" t="n">
        <f aca="false">+(K151/K150-1)/(F151-F150)*30</f>
        <v>0.00200531911237248</v>
      </c>
      <c r="M151" s="19"/>
      <c r="S151" s="3" t="s">
        <v>44</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t="n">
        <v>1072.548</v>
      </c>
      <c r="L152" s="25" t="n">
        <f aca="false">+(K152/K151-1)/(F152-F151)*30</f>
        <v>0.00211242459132052</v>
      </c>
      <c r="M152" s="19"/>
    </row>
    <row r="153" customFormat="false" ht="15" hidden="false" customHeight="false" outlineLevel="0" collapsed="false">
      <c r="A153" s="17" t="n">
        <v>43220</v>
      </c>
      <c r="B153" s="3" t="n">
        <v>18044.25</v>
      </c>
      <c r="C153" s="25" t="n">
        <f aca="false">(B153/B152-1)/(A153-A152)*30</f>
        <v>0.00207810036525014</v>
      </c>
      <c r="D153" s="19"/>
      <c r="F153" s="17" t="n">
        <v>43220</v>
      </c>
      <c r="I153" s="25"/>
      <c r="J153" s="18"/>
      <c r="K153" s="4" t="n">
        <v>1074.6551</v>
      </c>
      <c r="L153" s="25" t="n">
        <f aca="false">+(K153/K152-1)/(F153-F152)*30</f>
        <v>0.0019645740796681</v>
      </c>
      <c r="M153" s="19"/>
      <c r="S153" s="3" t="s">
        <v>44</v>
      </c>
    </row>
    <row r="154" customFormat="false" ht="15" hidden="false" customHeight="false" outlineLevel="0" collapsed="false">
      <c r="A154" s="17" t="n">
        <v>43251</v>
      </c>
      <c r="B154" s="18" t="n">
        <v>18082.87</v>
      </c>
      <c r="C154" s="25" t="n">
        <f aca="false">(B154/B153-1)/(A154-A153)*30</f>
        <v>0.00207125225755497</v>
      </c>
      <c r="D154" s="19"/>
      <c r="F154" s="17" t="n">
        <v>43251</v>
      </c>
      <c r="I154" s="25"/>
      <c r="J154" s="18"/>
      <c r="K154" s="4" t="n">
        <v>1076.9917</v>
      </c>
      <c r="L154" s="25" t="n">
        <f aca="false">+(K154/K153-1)/(F154-F153)*30</f>
        <v>0.002104140953178</v>
      </c>
      <c r="M154" s="19"/>
    </row>
    <row r="155" customFormat="false" ht="15" hidden="false" customHeight="false" outlineLevel="0" collapsed="false">
      <c r="A155" s="17" t="n">
        <v>43281</v>
      </c>
      <c r="B155" s="19" t="n">
        <v>18120.6225</v>
      </c>
      <c r="C155" s="25" t="n">
        <f aca="false">(B155/B154-1)/(A155-A154)*30</f>
        <v>0.00208774934509859</v>
      </c>
      <c r="D155" s="19"/>
      <c r="F155" s="17" t="n">
        <v>43281</v>
      </c>
      <c r="I155" s="25"/>
      <c r="J155" s="18"/>
      <c r="K155" s="3" t="n">
        <v>1079.3907</v>
      </c>
      <c r="L155" s="25" t="n">
        <f aca="false">+(K155/K154-1)/(F155-F154)*30</f>
        <v>0.00222750091760204</v>
      </c>
      <c r="M155" s="19"/>
      <c r="S155" s="3" t="s">
        <v>45</v>
      </c>
    </row>
    <row r="156" customFormat="false" ht="15" hidden="false" customHeight="false" outlineLevel="0" collapsed="false">
      <c r="A156" s="17" t="n">
        <v>43312</v>
      </c>
      <c r="B156" s="18" t="n">
        <v>18159.66</v>
      </c>
      <c r="C156" s="25" t="n">
        <f aca="false">(B156/B155-1)/(A156-A155)*30</f>
        <v>0.00208481942639947</v>
      </c>
      <c r="D156" s="19"/>
      <c r="F156" s="17" t="n">
        <v>43312</v>
      </c>
      <c r="I156" s="25"/>
      <c r="J156" s="18"/>
      <c r="K156" s="3" t="n">
        <v>1081.8116</v>
      </c>
      <c r="L156" s="25" t="n">
        <f aca="false">+(K156/K155-1)/(F156-F155)*30</f>
        <v>0.00217048975094272</v>
      </c>
      <c r="M156" s="19"/>
      <c r="S156" s="3" t="n">
        <v>0</v>
      </c>
    </row>
    <row r="157" customFormat="false" ht="15" hidden="false" customHeight="false" outlineLevel="0" collapsed="false">
      <c r="A157" s="17" t="n">
        <v>43343</v>
      </c>
      <c r="B157" s="18" t="n">
        <v>18198.62</v>
      </c>
      <c r="C157" s="25" t="n">
        <f aca="false">(B157/B156-1)/(A157-A156)*30</f>
        <v>0.00207620769367104</v>
      </c>
      <c r="D157" s="19"/>
      <c r="F157" s="17" t="n">
        <v>43343</v>
      </c>
      <c r="I157" s="25"/>
      <c r="J157" s="18"/>
      <c r="K157" s="3" t="n">
        <v>1084.2472</v>
      </c>
      <c r="L157" s="25" t="n">
        <f aca="false">+(K157/K156-1)/(F157-F156)*30</f>
        <v>0.00217878256996366</v>
      </c>
      <c r="M157" s="19"/>
      <c r="S157" s="3" t="s">
        <v>46</v>
      </c>
      <c r="AR157" s="64"/>
    </row>
    <row r="158" customFormat="false" ht="15" hidden="false" customHeight="false" outlineLevel="0" collapsed="false">
      <c r="A158" s="17" t="n">
        <v>43373</v>
      </c>
      <c r="B158" s="34" t="n">
        <v>18235.9</v>
      </c>
      <c r="C158" s="25" t="n">
        <f aca="false">(B158/B157-1)/(A158-A157)*30</f>
        <v>0.00204850697470471</v>
      </c>
      <c r="D158" s="19"/>
      <c r="F158" s="17" t="n">
        <v>43373</v>
      </c>
      <c r="I158" s="25"/>
      <c r="J158" s="18"/>
      <c r="K158" s="3" t="n">
        <v>1086.6424</v>
      </c>
      <c r="L158" s="25" t="n">
        <f aca="false">+(K158/K157-1)/(F158-F157)*30</f>
        <v>0.00220909032552719</v>
      </c>
      <c r="M158" s="19"/>
      <c r="S158" s="3" t="n">
        <v>0</v>
      </c>
    </row>
    <row r="159" customFormat="false" ht="15" hidden="false" customHeight="false" outlineLevel="0" collapsed="false">
      <c r="A159" s="17" t="n">
        <v>43404</v>
      </c>
      <c r="B159" s="3" t="n">
        <v>18277.4</v>
      </c>
      <c r="C159" s="25" t="n">
        <f aca="false">(B159/B158-1)/(A159-A158)*30</f>
        <v>0.00220232016640697</v>
      </c>
      <c r="D159" s="19"/>
      <c r="F159" s="17" t="n">
        <v>43404</v>
      </c>
      <c r="I159" s="25"/>
      <c r="J159" s="18"/>
      <c r="K159" s="3" t="n">
        <v>4807.6121</v>
      </c>
      <c r="L159" s="25" t="n">
        <f aca="false">+(K159/K158-1)/(F159-F158)*30</f>
        <v>3.31382101356881</v>
      </c>
      <c r="M159" s="19"/>
    </row>
    <row r="160" customFormat="false" ht="15" hidden="false" customHeight="false" outlineLevel="0" collapsed="false">
      <c r="A160" s="17" t="n">
        <v>43434</v>
      </c>
      <c r="B160" s="19" t="n">
        <v>18319.31</v>
      </c>
      <c r="C160" s="25" t="n">
        <f aca="false">(B160/B159-1)/(A160-A159)*30</f>
        <v>0.00229299572149211</v>
      </c>
      <c r="D160" s="19"/>
      <c r="F160" s="17" t="n">
        <v>43434</v>
      </c>
      <c r="I160" s="25"/>
      <c r="J160" s="18"/>
      <c r="K160" s="18" t="n">
        <v>4812.5415</v>
      </c>
      <c r="L160" s="25" t="n">
        <f aca="false">+(K160/K159-1)/(F160-F159)*30</f>
        <v>0.00102533230582402</v>
      </c>
      <c r="M160" s="19"/>
    </row>
    <row r="161" customFormat="false" ht="15" hidden="false" customHeight="false" outlineLevel="0" collapsed="false">
      <c r="A161" s="17" t="n">
        <v>43465</v>
      </c>
      <c r="B161" s="3" t="n">
        <v>18362.684</v>
      </c>
      <c r="C161" s="25" t="n">
        <f aca="false">(B161/B160-1)/(A161-A160)*30</f>
        <v>0.00229128928489532</v>
      </c>
      <c r="D161" s="19"/>
      <c r="F161" s="17" t="n">
        <v>43465</v>
      </c>
      <c r="I161" s="25"/>
      <c r="J161" s="18"/>
      <c r="K161" s="18" t="n">
        <v>4819.2415</v>
      </c>
      <c r="L161" s="25" t="n">
        <f aca="false">+(K161/K160-1)/(F161-F160)*30</f>
        <v>0.00134728624527007</v>
      </c>
      <c r="M161" s="19"/>
    </row>
    <row r="162" customFormat="false" ht="15" hidden="false" customHeight="false" outlineLevel="0" collapsed="false">
      <c r="A162" s="17" t="n">
        <v>43496</v>
      </c>
      <c r="B162" s="3" t="n">
        <v>18407.69</v>
      </c>
      <c r="C162" s="25" t="n">
        <f aca="false">(B162/B161-1)/(A162-A161)*30</f>
        <v>0.00237188602430805</v>
      </c>
      <c r="D162" s="19"/>
      <c r="F162" s="17" t="n">
        <v>43496</v>
      </c>
      <c r="I162" s="25"/>
      <c r="J162" s="18"/>
      <c r="K162" s="3" t="n">
        <v>4825.82</v>
      </c>
      <c r="L162" s="25" t="n">
        <f aca="false">+(K162/K161-1)/(F162-F161)*30</f>
        <v>0.00132101500258492</v>
      </c>
      <c r="M162" s="19"/>
    </row>
    <row r="163" customFormat="false" ht="15" hidden="false" customHeight="false" outlineLevel="0" collapsed="false">
      <c r="A163" s="17" t="n">
        <v>43524</v>
      </c>
      <c r="B163" s="3" t="n">
        <v>18449.16</v>
      </c>
      <c r="C163" s="25" t="n">
        <f aca="false">(B163/B162-1)/(A163-A162)*30</f>
        <v>0.00241378156939547</v>
      </c>
      <c r="D163" s="19"/>
      <c r="F163" s="17" t="n">
        <v>43524</v>
      </c>
      <c r="I163" s="25"/>
      <c r="J163" s="18"/>
      <c r="K163" s="3" t="n">
        <v>4832.1058</v>
      </c>
      <c r="L163" s="25" t="n">
        <f aca="false">+(K163/K162-1)/(F163-F162)*30</f>
        <v>0.00139557333557535</v>
      </c>
      <c r="M163" s="19"/>
    </row>
    <row r="164" customFormat="false" ht="15" hidden="false" customHeight="false" outlineLevel="0" collapsed="false">
      <c r="A164" s="17" t="n">
        <v>43555</v>
      </c>
      <c r="B164" s="3" t="n">
        <v>18496.82</v>
      </c>
      <c r="C164" s="25" t="n">
        <f aca="false">(B164/B163-1)/(A164-A163)*30</f>
        <v>0.00249998269000661</v>
      </c>
      <c r="D164" s="19"/>
      <c r="F164" s="17" t="n">
        <v>43555</v>
      </c>
      <c r="I164" s="25"/>
      <c r="J164" s="18"/>
      <c r="K164" s="18" t="n">
        <v>4839.1073</v>
      </c>
      <c r="L164" s="25" t="n">
        <f aca="false">+(K164/K163-1)/(F164-F163)*30</f>
        <v>0.00140221374318611</v>
      </c>
      <c r="M164" s="19"/>
    </row>
    <row r="165" customFormat="false" ht="15" hidden="false" customHeight="false" outlineLevel="0" collapsed="false">
      <c r="A165" s="17" t="n">
        <v>43585</v>
      </c>
      <c r="B165" s="3" t="n">
        <v>18543.07</v>
      </c>
      <c r="C165" s="25" t="n">
        <f aca="false">(B165/B164-1)/(A165-A164)*30</f>
        <v>0.00250042980360954</v>
      </c>
      <c r="D165" s="19"/>
      <c r="F165" s="17" t="n">
        <v>43585</v>
      </c>
      <c r="I165" s="25"/>
      <c r="J165" s="18"/>
      <c r="K165" s="18" t="n">
        <v>4845.9628</v>
      </c>
      <c r="L165" s="25" t="n">
        <f aca="false">+(K165/K164-1)/(F165-F164)*30</f>
        <v>0.0014166869166139</v>
      </c>
      <c r="M165" s="19"/>
    </row>
    <row r="166" customFormat="false" ht="15" hidden="false" customHeight="false" outlineLevel="0" collapsed="false">
      <c r="A166" s="17" t="n">
        <v>43616</v>
      </c>
      <c r="B166" s="3" t="n">
        <v>18591.02</v>
      </c>
      <c r="C166" s="25" t="n">
        <f aca="false">(B166/B165-1)/(A166-A165)*30</f>
        <v>0.00250245648678736</v>
      </c>
      <c r="D166" s="19"/>
      <c r="F166" s="17" t="n">
        <v>43616</v>
      </c>
      <c r="I166" s="25"/>
      <c r="J166" s="18"/>
      <c r="K166" s="18" t="n">
        <v>4852.5891</v>
      </c>
      <c r="L166" s="25" t="n">
        <f aca="false">+(K166/K165-1)/(F166-F165)*30</f>
        <v>0.001323276436851</v>
      </c>
      <c r="M166" s="19"/>
    </row>
    <row r="167" customFormat="false" ht="15" hidden="false" customHeight="false" outlineLevel="0" collapsed="false">
      <c r="A167" s="17" t="n">
        <v>43646</v>
      </c>
      <c r="B167" s="19" t="n">
        <v>18632.31</v>
      </c>
      <c r="C167" s="25" t="n">
        <f aca="false">(B167/B166-1)/(A167-A166)*30</f>
        <v>0.00222096474534483</v>
      </c>
      <c r="D167" s="19"/>
      <c r="F167" s="17" t="n">
        <v>43646</v>
      </c>
      <c r="I167" s="25"/>
      <c r="J167" s="18"/>
      <c r="K167" s="3" t="n">
        <v>4858.4077</v>
      </c>
      <c r="L167" s="25" t="n">
        <f aca="false">+(K167/K166-1)/(F167-F166)*30</f>
        <v>0.00119907123395202</v>
      </c>
      <c r="M167" s="19"/>
    </row>
    <row r="168" customFormat="false" ht="15" hidden="false" customHeight="false" outlineLevel="0" collapsed="false">
      <c r="A168" s="17" t="n">
        <v>43677</v>
      </c>
      <c r="B168" s="3" t="n">
        <v>18672.31</v>
      </c>
      <c r="C168" s="25" t="n">
        <f aca="false">(B168/B167-1)/(A168-A167)*30</f>
        <v>0.00207755653589669</v>
      </c>
      <c r="D168" s="19"/>
      <c r="F168" s="17" t="n">
        <v>43677</v>
      </c>
      <c r="I168" s="25"/>
      <c r="J168" s="18"/>
      <c r="K168" s="3" t="n">
        <v>4863.4466</v>
      </c>
      <c r="L168" s="25" t="n">
        <f aca="false">+(K168/K167-1)/(F168-F167)*30</f>
        <v>0.00100369403718635</v>
      </c>
      <c r="M168" s="19"/>
    </row>
    <row r="169" customFormat="false" ht="15" hidden="false" customHeight="false" outlineLevel="0" collapsed="false">
      <c r="A169" s="17" t="n">
        <v>43708</v>
      </c>
      <c r="B169" s="19" t="n">
        <v>18712.55</v>
      </c>
      <c r="C169" s="25" t="n">
        <f aca="false">(B169/B168-1)/(A169-A168)*30</f>
        <v>0.00208554461038137</v>
      </c>
      <c r="D169" s="19"/>
      <c r="F169" s="17" t="n">
        <v>43708</v>
      </c>
      <c r="I169" s="25"/>
      <c r="J169" s="18"/>
      <c r="K169" s="3" t="n">
        <v>4868.1253</v>
      </c>
      <c r="L169" s="25" t="n">
        <f aca="false">+(K169/K168-1)/(F169-F168)*30</f>
        <v>0.000930980550613598</v>
      </c>
      <c r="M169" s="19"/>
    </row>
    <row r="170" customFormat="false" ht="15" hidden="false" customHeight="false" outlineLevel="0" collapsed="false">
      <c r="A170" s="17" t="n">
        <v>43738</v>
      </c>
      <c r="B170" s="3" t="n">
        <v>18744.77</v>
      </c>
      <c r="C170" s="25" t="n">
        <f aca="false">(B170/B169-1)/(A170-A169)*30</f>
        <v>0.00172183908660228</v>
      </c>
      <c r="D170" s="19"/>
      <c r="F170" s="17" t="n">
        <v>43738</v>
      </c>
      <c r="I170" s="25"/>
      <c r="J170" s="18"/>
      <c r="K170" s="3" t="n">
        <v>4873.326</v>
      </c>
      <c r="L170" s="25" t="n">
        <f aca="false">+(K170/K169-1)/(F170-F169)*30</f>
        <v>0.00106831679127084</v>
      </c>
      <c r="M170" s="19"/>
    </row>
    <row r="171" customFormat="false" ht="15" hidden="false" customHeight="false" outlineLevel="0" collapsed="false">
      <c r="A171" s="17" t="n">
        <v>43769</v>
      </c>
      <c r="B171" s="19" t="n">
        <v>18776.102</v>
      </c>
      <c r="C171" s="25" t="n">
        <f aca="false">(B171/B170-1)/(A171-A170)*30</f>
        <v>0.00161758668271631</v>
      </c>
      <c r="D171" s="19"/>
      <c r="F171" s="17" t="n">
        <v>43769</v>
      </c>
      <c r="I171" s="25"/>
      <c r="J171" s="18"/>
      <c r="K171" s="3" t="n">
        <v>4876.4951</v>
      </c>
      <c r="L171" s="25" t="n">
        <f aca="false">+(K171/K170-1)/(F171-F170)*30</f>
        <v>0.000629317835035443</v>
      </c>
      <c r="M171" s="19"/>
    </row>
    <row r="172" customFormat="false" ht="15" hidden="false" customHeight="false" outlineLevel="0" collapsed="false">
      <c r="A172" s="17" t="n">
        <v>43799</v>
      </c>
      <c r="B172" s="3" t="n">
        <v>18802.79</v>
      </c>
      <c r="C172" s="25" t="n">
        <f aca="false">(B172/B171-1)/(A172-A171)*30</f>
        <v>0.00142138128563651</v>
      </c>
      <c r="D172" s="19"/>
      <c r="F172" s="17" t="n">
        <v>43799</v>
      </c>
      <c r="I172" s="25"/>
      <c r="J172" s="18"/>
      <c r="K172" s="3" t="n">
        <v>4879.8683</v>
      </c>
      <c r="L172" s="25" t="n">
        <f aca="false">+(K172/K171-1)/(F172-F171)*30</f>
        <v>0.000691726317945118</v>
      </c>
      <c r="M172" s="19"/>
    </row>
    <row r="173" customFormat="false" ht="15" hidden="false" customHeight="false" outlineLevel="0" collapsed="false">
      <c r="A173" s="17" t="n">
        <v>43830</v>
      </c>
      <c r="B173" s="19" t="n">
        <v>18830.68</v>
      </c>
      <c r="C173" s="25" t="n">
        <f aca="false">(B173/B172-1)/(A173-A172)*30</f>
        <v>0.00143544243065221</v>
      </c>
      <c r="D173" s="19"/>
      <c r="F173" s="17" t="n">
        <v>43830</v>
      </c>
      <c r="I173" s="25"/>
      <c r="J173" s="18"/>
      <c r="K173" s="3" t="n">
        <v>4882.8959</v>
      </c>
      <c r="L173" s="25" t="n">
        <f aca="false">+(K173/K172-1)/(F173-F172)*30</f>
        <v>0.000600412819311486</v>
      </c>
      <c r="M173" s="19"/>
    </row>
    <row r="174" customFormat="false" ht="15" hidden="false" customHeight="false" outlineLevel="0" collapsed="false">
      <c r="A174" s="17" t="n">
        <v>43861</v>
      </c>
      <c r="B174" s="3" t="n">
        <v>18861.86</v>
      </c>
      <c r="C174" s="25" t="n">
        <f aca="false">(B174/B173-1)/(A174-A173)*30</f>
        <v>0.00160239532233506</v>
      </c>
      <c r="D174" s="19"/>
      <c r="F174" s="17" t="n">
        <v>43861</v>
      </c>
      <c r="I174" s="25"/>
      <c r="J174" s="18"/>
      <c r="K174" s="3" t="n">
        <v>4885.3887</v>
      </c>
      <c r="L174" s="25" t="n">
        <f aca="false">+(K174/K173-1)/(F174-F173)*30</f>
        <v>0.000494048438913942</v>
      </c>
      <c r="M174" s="19"/>
    </row>
    <row r="175" customFormat="false" ht="15" hidden="false" customHeight="false" outlineLevel="0" collapsed="false">
      <c r="A175" s="17" t="n">
        <v>43890</v>
      </c>
      <c r="B175" s="19" t="n">
        <v>18887.8867</v>
      </c>
      <c r="C175" s="25" t="n">
        <f aca="false">(B175/B174-1)/(A175-A174)*30</f>
        <v>0.00142743994567841</v>
      </c>
      <c r="D175" s="19"/>
      <c r="F175" s="17" t="n">
        <v>43890</v>
      </c>
      <c r="I175" s="25"/>
      <c r="J175" s="18"/>
      <c r="K175" s="3" t="n">
        <v>4887.7164</v>
      </c>
      <c r="L175" s="25" t="n">
        <f aca="false">+(K175/K174-1)/(F175-F174)*30</f>
        <v>0.000492891285649559</v>
      </c>
      <c r="M175" s="19"/>
    </row>
    <row r="176" customFormat="false" ht="15" hidden="false" customHeight="false" outlineLevel="0" collapsed="false">
      <c r="A176" s="17" t="n">
        <v>43921</v>
      </c>
      <c r="B176" s="3" t="n">
        <v>18908.77</v>
      </c>
      <c r="C176" s="25" t="n">
        <f aca="false">(B176/B175-1)/(A176-A175)*30</f>
        <v>0.00106997916083929</v>
      </c>
      <c r="D176" s="19"/>
      <c r="F176" s="17" t="n">
        <v>43921</v>
      </c>
      <c r="I176" s="25"/>
      <c r="J176" s="18"/>
      <c r="K176" s="3" t="n">
        <v>4892.3528</v>
      </c>
      <c r="L176" s="25" t="n">
        <f aca="false">+(K176/K175-1)/(F176-F175)*30</f>
        <v>0.000917982620611394</v>
      </c>
      <c r="M176" s="19"/>
    </row>
    <row r="177" customFormat="false" ht="15" hidden="false" customHeight="false" outlineLevel="0" collapsed="false">
      <c r="A177" s="17" t="n">
        <v>43951</v>
      </c>
      <c r="B177" s="19" t="n">
        <v>18917.93</v>
      </c>
      <c r="C177" s="25" t="n">
        <f aca="false">(B177/B176-1)/(A177-A176)*30</f>
        <v>0.00048443129828124</v>
      </c>
      <c r="D177" s="19"/>
      <c r="F177" s="17" t="n">
        <v>43951</v>
      </c>
      <c r="I177" s="25"/>
      <c r="J177" s="18"/>
      <c r="K177" s="3" t="n">
        <v>4903.1164</v>
      </c>
      <c r="L177" s="25" t="n">
        <f aca="false">+(K177/K176-1)/(F177-F176)*30</f>
        <v>0.00220008663316351</v>
      </c>
      <c r="M177" s="19"/>
    </row>
    <row r="178" customFormat="false" ht="15" hidden="false" customHeight="false" outlineLevel="0" collapsed="false">
      <c r="A178" s="17" t="n">
        <v>43982</v>
      </c>
      <c r="B178" s="19" t="n">
        <v>18925.24</v>
      </c>
      <c r="C178" s="25" t="n">
        <f aca="false">(B178/B177-1)/(A178-A177)*30</f>
        <v>0.000373941205427323</v>
      </c>
      <c r="D178" s="19"/>
      <c r="F178" s="17" t="n">
        <v>43982</v>
      </c>
      <c r="I178" s="25"/>
      <c r="J178" s="18"/>
      <c r="K178" s="3" t="n">
        <v>4903.90225</v>
      </c>
      <c r="L178" s="25" t="n">
        <f aca="false">+(K178/K177-1)/(F178-F177)*30</f>
        <v>0.000155105434576301</v>
      </c>
      <c r="M178" s="19"/>
    </row>
    <row r="179" customFormat="false" ht="15" hidden="false" customHeight="false" outlineLevel="0" collapsed="false">
      <c r="A179" s="17" t="n">
        <v>44012</v>
      </c>
      <c r="B179" s="19" t="n">
        <v>18932.63</v>
      </c>
      <c r="C179" s="25" t="n">
        <f aca="false">(B179/B178-1)/(A179-A178)*30</f>
        <v>0.000390483819491916</v>
      </c>
      <c r="D179" s="19"/>
      <c r="F179" s="17" t="n">
        <v>44012</v>
      </c>
      <c r="I179" s="25"/>
      <c r="J179" s="18"/>
      <c r="K179" s="3" t="n">
        <v>4904.6881</v>
      </c>
      <c r="L179" s="25" t="n">
        <f aca="false">+(K179/K178-1)/(F179-F178)*30</f>
        <v>0.000160249931572487</v>
      </c>
      <c r="M179" s="19"/>
    </row>
    <row r="180" customFormat="false" ht="15" hidden="false" customHeight="false" outlineLevel="0" collapsed="false">
      <c r="A180" s="17" t="n">
        <v>44043</v>
      </c>
      <c r="B180" s="3" t="n">
        <v>18940.74</v>
      </c>
      <c r="C180" s="25" t="n">
        <f aca="false">(B180/B179-1)/(A180-A179)*30</f>
        <v>0.000414542886898211</v>
      </c>
      <c r="D180" s="19"/>
      <c r="F180" s="17" t="n">
        <v>44043</v>
      </c>
      <c r="I180" s="25"/>
      <c r="J180" s="18"/>
      <c r="K180" s="3" t="n">
        <v>4905.1791</v>
      </c>
      <c r="L180" s="25" t="n">
        <f aca="false">+(K180/K179-1)/(F180-F179)*30</f>
        <v>9.68790024226441E-005</v>
      </c>
      <c r="M180" s="19"/>
      <c r="AD180" s="64"/>
      <c r="AE180" s="64"/>
      <c r="AF180" s="64"/>
      <c r="AG180" s="64"/>
      <c r="AH180" s="64"/>
      <c r="AI180" s="64"/>
      <c r="AJ180" s="64"/>
      <c r="AK180" s="64"/>
      <c r="AL180" s="64"/>
      <c r="AM180" s="64"/>
      <c r="AN180" s="64"/>
      <c r="AO180" s="64"/>
      <c r="AP180" s="64"/>
      <c r="AQ180" s="64"/>
    </row>
    <row r="181" customFormat="false" ht="15" hidden="false" customHeight="false" outlineLevel="0" collapsed="false">
      <c r="A181" s="17" t="n">
        <v>44074</v>
      </c>
      <c r="B181" s="3" t="n">
        <v>18948.69</v>
      </c>
      <c r="C181" s="25" t="n">
        <f aca="false">(B181/B180-1)/(A181-A180)*30</f>
        <v>0.000406190486068316</v>
      </c>
      <c r="D181" s="19"/>
      <c r="F181" s="17" t="n">
        <v>44074</v>
      </c>
      <c r="I181" s="25"/>
      <c r="J181" s="18"/>
      <c r="K181" s="3" t="n">
        <v>4906.1183</v>
      </c>
      <c r="L181" s="25" t="n">
        <f aca="false">+(K181/K180-1)/(F181-F180)*30</f>
        <v>0.000185294605411322</v>
      </c>
      <c r="M181" s="19"/>
    </row>
    <row r="182" customFormat="false" ht="15" hidden="false" customHeight="false" outlineLevel="0" collapsed="false">
      <c r="A182" s="17" t="n">
        <v>44104</v>
      </c>
      <c r="B182" s="3" t="n">
        <v>18956.17</v>
      </c>
      <c r="C182" s="25" t="n">
        <f aca="false">(B182/B181-1)/(A182-A181)*30</f>
        <v>0.000394750243948305</v>
      </c>
      <c r="D182" s="19"/>
      <c r="F182" s="17" t="n">
        <v>44104</v>
      </c>
      <c r="I182" s="25"/>
      <c r="J182" s="18"/>
      <c r="K182" s="3" t="n">
        <v>4906.466</v>
      </c>
      <c r="L182" s="25" t="n">
        <f aca="false">+(K182/K181-1)/(F182-F181)*30</f>
        <v>7.08706922130098E-005</v>
      </c>
      <c r="M182" s="19"/>
    </row>
    <row r="183" customFormat="false" ht="15" hidden="false" customHeight="false" outlineLevel="0" collapsed="false">
      <c r="A183" s="17" t="n">
        <v>44135</v>
      </c>
      <c r="B183" s="3" t="n">
        <v>18963.23</v>
      </c>
      <c r="C183" s="25" t="n">
        <f aca="false">(B183/B182-1)/(A183-A182)*30</f>
        <v>0.000360423970903369</v>
      </c>
      <c r="D183" s="19"/>
      <c r="F183" s="17" t="n">
        <v>44135</v>
      </c>
      <c r="I183" s="25"/>
      <c r="J183" s="18"/>
      <c r="K183" s="3" t="n">
        <v>4906.7963</v>
      </c>
      <c r="L183" s="25" t="n">
        <f aca="false">+(K183/K182-1)/(F183-F182)*30</f>
        <v>6.51477379625694E-005</v>
      </c>
      <c r="M183" s="19"/>
    </row>
    <row r="184" customFormat="false" ht="15" hidden="false" customHeight="false" outlineLevel="0" collapsed="false">
      <c r="A184" s="17" t="n">
        <v>44165</v>
      </c>
      <c r="B184" s="3" t="n">
        <v>18969.48</v>
      </c>
      <c r="C184" s="25" t="n">
        <f aca="false">(B184/B183-1)/(A184-A183)*30</f>
        <v>0.00032958520252091</v>
      </c>
      <c r="D184" s="19"/>
      <c r="F184" s="17" t="n">
        <v>44165</v>
      </c>
      <c r="I184" s="25"/>
      <c r="J184" s="18"/>
      <c r="K184" s="3" t="n">
        <v>4907.0953</v>
      </c>
      <c r="L184" s="25" t="n">
        <f aca="false">+(K184/K183-1)/(F184-F183)*30</f>
        <v>6.09358900838242E-005</v>
      </c>
      <c r="M184" s="19"/>
    </row>
    <row r="185" customFormat="false" ht="15" hidden="false" customHeight="false" outlineLevel="0" collapsed="false">
      <c r="A185" s="17" t="n">
        <v>44196</v>
      </c>
      <c r="B185" s="3" t="n">
        <v>18976.88</v>
      </c>
      <c r="C185" s="25" t="n">
        <f aca="false">(B185/B184-1)/(A185-A184)*30</f>
        <v>0.000377516427576409</v>
      </c>
      <c r="D185" s="19"/>
      <c r="F185" s="17" t="n">
        <v>44196</v>
      </c>
      <c r="I185" s="25"/>
      <c r="J185" s="18"/>
      <c r="K185" s="3" t="n">
        <v>4907.3928</v>
      </c>
      <c r="L185" s="25" t="n">
        <f aca="false">+(K185/K184-1)/(F185-F184)*30</f>
        <v>5.86708038472924E-005</v>
      </c>
      <c r="M185" s="19"/>
    </row>
    <row r="186" customFormat="false" ht="15" hidden="false" customHeight="false" outlineLevel="0" collapsed="false">
      <c r="A186" s="17" t="n">
        <v>44246</v>
      </c>
      <c r="B186" s="3" t="n">
        <v>18982.04</v>
      </c>
      <c r="C186" s="25" t="n">
        <f aca="false">(B186/B185-1)/(A186-A185)*30</f>
        <v>0.000163145891210714</v>
      </c>
      <c r="D186" s="19" t="n">
        <v>100</v>
      </c>
      <c r="F186" s="17" t="n">
        <v>44246</v>
      </c>
      <c r="I186" s="25"/>
      <c r="J186" s="18"/>
      <c r="K186" s="3" t="n">
        <v>4907.6377</v>
      </c>
      <c r="L186" s="25" t="n">
        <f aca="false">+(K186/K185-1)/(F186-F185)*30</f>
        <v>2.99425796932873E-005</v>
      </c>
      <c r="M186" s="19"/>
    </row>
    <row r="187" customFormat="false" ht="15" hidden="false" customHeight="false" outlineLevel="0" collapsed="false">
      <c r="A187" s="17" t="n">
        <v>44255</v>
      </c>
      <c r="B187" s="3" t="n">
        <v>18986.58</v>
      </c>
      <c r="C187" s="25" t="n">
        <f aca="false">(B187/B186-1)/(A187-A186)*11</f>
        <v>0.000292323105888029</v>
      </c>
      <c r="D187" s="19" t="n">
        <f aca="false">+D186*(1+C187)</f>
        <v>100.029232310589</v>
      </c>
      <c r="F187" s="17" t="n">
        <v>44255</v>
      </c>
      <c r="I187" s="25"/>
      <c r="J187" s="18"/>
      <c r="K187" s="3" t="n">
        <v>4907.9052</v>
      </c>
      <c r="L187" s="25" t="n">
        <f aca="false">+(K187/K186-1)/(F187-F186)*11</f>
        <v>6.66195152189254E-005</v>
      </c>
      <c r="M187" s="19" t="n">
        <v>100</v>
      </c>
      <c r="Q187" s="17"/>
    </row>
    <row r="188" customFormat="false" ht="15" hidden="false" customHeight="false" outlineLevel="0" collapsed="false">
      <c r="A188" s="17" t="n">
        <v>44286</v>
      </c>
      <c r="B188" s="19" t="n">
        <v>18991.5</v>
      </c>
      <c r="C188" s="25" t="n">
        <f aca="false">(B188/B187-1)/(A188-A187)*30</f>
        <v>0.000250771351269013</v>
      </c>
      <c r="D188" s="19" t="n">
        <f aca="false">+D187*(1+C188)</f>
        <v>100.054316776342</v>
      </c>
      <c r="F188" s="17" t="n">
        <v>44286</v>
      </c>
      <c r="I188" s="25"/>
      <c r="J188" s="18"/>
      <c r="K188" s="3" t="n">
        <v>4908.1704</v>
      </c>
      <c r="L188" s="25" t="n">
        <f aca="false">+(K188/K187-1)/(F188-F187)*30</f>
        <v>5.22922002018035E-005</v>
      </c>
      <c r="M188" s="19" t="n">
        <f aca="false">+M187*(1+L188)</f>
        <v>100.00522922002</v>
      </c>
      <c r="Q188" s="17"/>
      <c r="R188" s="65"/>
    </row>
    <row r="189" customFormat="false" ht="15" hidden="false" customHeight="false" outlineLevel="0" collapsed="false">
      <c r="A189" s="17" t="n">
        <v>44316</v>
      </c>
      <c r="B189" s="3" t="n">
        <v>18997.09</v>
      </c>
      <c r="C189" s="25" t="n">
        <f aca="false">(B189/B188-1)/(A189-A188)*30</f>
        <v>0.000294342205723552</v>
      </c>
      <c r="D189" s="19" t="n">
        <f aca="false">+D188*(1+C189)</f>
        <v>100.083766984634</v>
      </c>
      <c r="F189" s="17" t="n">
        <v>44316</v>
      </c>
      <c r="I189" s="25"/>
      <c r="J189" s="18"/>
      <c r="K189" s="3" t="n">
        <v>4908.4956</v>
      </c>
      <c r="L189" s="25" t="n">
        <f aca="false">+(K189/K188-1)/(F189-F188)*30</f>
        <v>6.6256868343384E-005</v>
      </c>
      <c r="M189" s="19" t="n">
        <f aca="false">+M188*(1+L189)</f>
        <v>100.011855253326</v>
      </c>
      <c r="Q189" s="66"/>
    </row>
    <row r="190" customFormat="false" ht="15" hidden="false" customHeight="false" outlineLevel="0" collapsed="false">
      <c r="A190" s="17" t="n">
        <v>44347</v>
      </c>
      <c r="B190" s="3" t="n">
        <v>19001.7</v>
      </c>
      <c r="C190" s="25" t="n">
        <f aca="false">(B190/B189-1)/(A190-A189)*30</f>
        <v>0.000234840721530632</v>
      </c>
      <c r="D190" s="19" t="n">
        <f aca="false">+D189*(1+C190)</f>
        <v>100.107270728686</v>
      </c>
      <c r="F190" s="17" t="n">
        <v>44347</v>
      </c>
      <c r="I190" s="25"/>
      <c r="J190" s="18"/>
      <c r="K190" s="3" t="n">
        <v>4908.7905</v>
      </c>
      <c r="L190" s="25" t="n">
        <f aca="false">+(K190/K189-1)/(F190-F189)*30</f>
        <v>5.81414592230296E-005</v>
      </c>
      <c r="M190" s="19" t="n">
        <v>100</v>
      </c>
      <c r="Q190" s="66"/>
    </row>
    <row r="191" customFormat="false" ht="15" hidden="false" customHeight="false" outlineLevel="0" collapsed="false">
      <c r="A191" s="17" t="n">
        <v>44377</v>
      </c>
      <c r="B191" s="3" t="n">
        <v>19006.88</v>
      </c>
      <c r="C191" s="25" t="n">
        <f aca="false">(B191/B190-1)/(A191-A190)*30</f>
        <v>0.000272607187777885</v>
      </c>
      <c r="D191" s="19" t="n">
        <f aca="false">+D190*(1+C191)</f>
        <v>100.134560690235</v>
      </c>
      <c r="F191" s="17" t="n">
        <v>44377</v>
      </c>
      <c r="I191" s="25"/>
      <c r="J191" s="18"/>
      <c r="K191" s="3" t="n">
        <v>4909.0847</v>
      </c>
      <c r="L191" s="25" t="n">
        <f aca="false">+(K191/K190-1)/(F191-F190)*30</f>
        <v>5.99332972144318E-005</v>
      </c>
      <c r="M191" s="19" t="n">
        <f aca="false">+M190*(1+L191)</f>
        <v>100.005993329721</v>
      </c>
    </row>
    <row r="192" customFormat="false" ht="15" hidden="false" customHeight="false" outlineLevel="0" collapsed="false">
      <c r="A192" s="17" t="n">
        <v>44408</v>
      </c>
      <c r="B192" s="3" t="n">
        <v>19016.42</v>
      </c>
      <c r="C192" s="25" t="n">
        <f aca="false">(B192/B191-1)/(A192-A191)*30</f>
        <v>0.000485732432914423</v>
      </c>
      <c r="D192" s="19" t="n">
        <f aca="false">+D191*(1+C192)</f>
        <v>100.183199294018</v>
      </c>
      <c r="F192" s="17" t="n">
        <v>44408</v>
      </c>
      <c r="I192" s="25"/>
      <c r="J192" s="18"/>
      <c r="K192" s="3" t="n">
        <v>4909.3885</v>
      </c>
      <c r="L192" s="25" t="n">
        <f aca="false">+(K192/K191-1)/(F192-F191)*30</f>
        <v>5.98889646373815E-005</v>
      </c>
      <c r="M192" s="19" t="n">
        <f aca="false">+M191*(1+L192)</f>
        <v>100.01198258512</v>
      </c>
    </row>
    <row r="193" customFormat="false" ht="15" hidden="false" customHeight="false" outlineLevel="0" collapsed="false">
      <c r="A193" s="17" t="n">
        <v>44439</v>
      </c>
      <c r="B193" s="3" t="n">
        <v>19028.38</v>
      </c>
      <c r="C193" s="25" t="n">
        <f aca="false">(B193/B192-1)/(A193-A192)*30</f>
        <v>0.0006086420865963</v>
      </c>
      <c r="D193" s="19" t="n">
        <f aca="false">+D192*(1+C193)</f>
        <v>100.244175005479</v>
      </c>
      <c r="F193" s="17" t="n">
        <v>44439</v>
      </c>
      <c r="I193" s="25"/>
      <c r="J193" s="18"/>
      <c r="K193" s="3" t="n">
        <v>4909.6931</v>
      </c>
      <c r="L193" s="25" t="n">
        <f aca="false">+(K193/K192-1)/(F193-F192)*30</f>
        <v>6.00429551559976E-005</v>
      </c>
      <c r="M193" s="19" t="n">
        <f aca="false">+M192*(1+L193)</f>
        <v>100.017987600105</v>
      </c>
    </row>
    <row r="194" customFormat="false" ht="15" hidden="false" customHeight="false" outlineLevel="0" collapsed="false">
      <c r="A194" s="17" t="n">
        <v>44469</v>
      </c>
      <c r="B194" s="3" t="n">
        <v>19052.12</v>
      </c>
      <c r="C194" s="25" t="n">
        <f aca="false">(B194/B193-1)/(A194-A193)*30</f>
        <v>0.00124761014863051</v>
      </c>
      <c r="D194" s="19" t="n">
        <f aca="false">+D193*(1+C194)</f>
        <v>100.369240655557</v>
      </c>
      <c r="F194" s="17" t="n">
        <v>44469</v>
      </c>
      <c r="I194" s="25"/>
      <c r="J194" s="18"/>
      <c r="K194" s="18" t="n">
        <v>4909.1149</v>
      </c>
      <c r="L194" s="25" t="n">
        <f aca="false">+(K194/K193-1)/(F194-F193)*30</f>
        <v>-0.000117767035173966</v>
      </c>
      <c r="M194" s="19" t="n">
        <f aca="false">+M193*(1+L194)</f>
        <v>100.006208778241</v>
      </c>
    </row>
    <row r="195" customFormat="false" ht="15" hidden="false" customHeight="false" outlineLevel="0" collapsed="false">
      <c r="A195" s="17" t="n">
        <v>44500</v>
      </c>
      <c r="B195" s="3" t="n">
        <v>19091.59</v>
      </c>
      <c r="C195" s="25" t="n">
        <f aca="false">(B195/B194-1)/(A195-A194)*30</f>
        <v>0.00200485689747645</v>
      </c>
      <c r="D195" s="19" t="n">
        <f aca="false">+D194*(1+C195)</f>
        <v>100.570466619979</v>
      </c>
      <c r="F195" s="17" t="n">
        <v>44500</v>
      </c>
      <c r="I195" s="25"/>
      <c r="J195" s="18"/>
      <c r="K195" s="3" t="n">
        <v>4914.1336</v>
      </c>
      <c r="L195" s="25" t="n">
        <f aca="false">+(K195/K194-1)/(F195-F194)*30</f>
        <v>0.00098934462740187</v>
      </c>
      <c r="M195" s="19" t="n">
        <f aca="false">+M194*(1+L195)</f>
        <v>100.105149383603</v>
      </c>
    </row>
    <row r="196" customFormat="false" ht="15" hidden="false" customHeight="false" outlineLevel="0" collapsed="false">
      <c r="A196" s="17" t="n">
        <v>44530</v>
      </c>
      <c r="B196" s="3" t="n">
        <v>19132.47</v>
      </c>
      <c r="C196" s="25" t="n">
        <f aca="false">(B196/B195-1)/(A196-A195)*30</f>
        <v>0.00214125696183509</v>
      </c>
      <c r="D196" s="19" t="n">
        <f aca="false">+D195*(1+C196)</f>
        <v>100.785813831784</v>
      </c>
      <c r="F196" s="17" t="n">
        <v>44530</v>
      </c>
      <c r="I196" s="25"/>
      <c r="J196" s="18"/>
      <c r="K196" s="18" t="n">
        <v>4920.3216</v>
      </c>
      <c r="L196" s="25" t="n">
        <f aca="false">+(K196/K195-1)/(F196-F195)*30</f>
        <v>0.00125922502391873</v>
      </c>
      <c r="M196" s="19" t="n">
        <f aca="false">+M195*(1+L196)</f>
        <v>100.23120429273</v>
      </c>
    </row>
    <row r="197" customFormat="false" ht="15" hidden="false" customHeight="false" outlineLevel="0" collapsed="false">
      <c r="A197" s="17" t="n">
        <v>44561</v>
      </c>
      <c r="B197" s="3" t="n">
        <v>19193.41</v>
      </c>
      <c r="C197" s="25" t="n">
        <f aca="false">(B197/B196-1)/(A197-A196)*30</f>
        <v>0.00308241400866619</v>
      </c>
      <c r="D197" s="19" t="n">
        <f aca="false">+D196*(1+C197)</f>
        <v>101.096477436214</v>
      </c>
      <c r="F197" s="17" t="n">
        <v>44561</v>
      </c>
      <c r="I197" s="25"/>
      <c r="J197" s="18"/>
      <c r="K197" s="3" t="n">
        <v>4929.2918</v>
      </c>
      <c r="L197" s="25" t="n">
        <f aca="false">+(K197/K196-1)/(F197-F196)*30</f>
        <v>0.00176428278787249</v>
      </c>
      <c r="M197" s="19" t="n">
        <f aca="false">+M196*(1+L197)</f>
        <v>100.408040481271</v>
      </c>
    </row>
    <row r="198" customFormat="false" ht="15" hidden="false" customHeight="false" outlineLevel="0" collapsed="false">
      <c r="A198" s="17" t="n">
        <v>44592</v>
      </c>
      <c r="B198" s="3" t="n">
        <v>19259.35</v>
      </c>
      <c r="C198" s="25" t="n">
        <f aca="false">(B198/B197-1)/(A198-A197)*30</f>
        <v>0.00332472985393446</v>
      </c>
      <c r="D198" s="19" t="n">
        <f aca="false">+D197*(1+C198)</f>
        <v>101.432595912874</v>
      </c>
      <c r="F198" s="17" t="n">
        <v>44592</v>
      </c>
      <c r="I198" s="25"/>
      <c r="J198" s="18"/>
      <c r="K198" s="3" t="n">
        <v>4941.9683</v>
      </c>
      <c r="L198" s="25" t="n">
        <f aca="false">+(K198/K197-1)/(F198-F197)*30</f>
        <v>0.00248871057809198</v>
      </c>
      <c r="M198" s="19" t="n">
        <f aca="false">+M197*(1+L198)</f>
        <v>100.657927033742</v>
      </c>
    </row>
    <row r="199" customFormat="false" ht="15" hidden="false" customHeight="false" outlineLevel="0" collapsed="false">
      <c r="A199" s="17" t="n">
        <v>44620</v>
      </c>
      <c r="B199" s="19" t="n">
        <v>19341.9</v>
      </c>
      <c r="C199" s="25" t="n">
        <f aca="false">(B199/B198-1)/(A199-A198)*30</f>
        <v>0.00459238907706803</v>
      </c>
      <c r="D199" s="19" t="n">
        <f aca="false">+D198*(1+C199)</f>
        <v>101.898413858403</v>
      </c>
      <c r="F199" s="17" t="n">
        <v>44620</v>
      </c>
      <c r="I199" s="25"/>
      <c r="J199" s="18"/>
      <c r="K199" s="3" t="n">
        <v>4958.2785</v>
      </c>
      <c r="L199" s="25" t="n">
        <f aca="false">+(K199/K198-1)/(F199-F198)*30</f>
        <v>0.00353608384855779</v>
      </c>
      <c r="M199" s="19" t="n">
        <f aca="false">+M198*(1+L199)</f>
        <v>101.013861903756</v>
      </c>
    </row>
    <row r="200" customFormat="false" ht="15" hidden="false" customHeight="false" outlineLevel="0" collapsed="false">
      <c r="A200" s="17" t="n">
        <v>44651</v>
      </c>
      <c r="B200" s="3" t="n">
        <v>19435.35</v>
      </c>
      <c r="C200" s="25" t="n">
        <f aca="false">(B200/B199-1)/(A200-A199)*30</f>
        <v>0.00467562565575065</v>
      </c>
      <c r="D200" s="19" t="n">
        <f aca="false">+D199*(1+C200)</f>
        <v>102.37485269652</v>
      </c>
      <c r="F200" s="17" t="n">
        <v>44651</v>
      </c>
      <c r="I200" s="25"/>
      <c r="J200" s="18"/>
      <c r="K200" s="3" t="n">
        <v>4977.0833</v>
      </c>
      <c r="L200" s="25" t="n">
        <f aca="false">+(K200/K199-1)/(F200-F199)*30</f>
        <v>0.00367026449772572</v>
      </c>
      <c r="M200" s="19" t="n">
        <f aca="false">+M199*(1+L200)</f>
        <v>101.384609494879</v>
      </c>
    </row>
    <row r="201" customFormat="false" ht="15" hidden="false" customHeight="false" outlineLevel="0" collapsed="false">
      <c r="A201" s="17" t="n">
        <v>44681</v>
      </c>
      <c r="B201" s="3" t="n">
        <v>19541.32</v>
      </c>
      <c r="C201" s="25" t="n">
        <f aca="false">(B201/B200-1)/(A201-A200)*30</f>
        <v>0.00545243589644651</v>
      </c>
      <c r="D201" s="19" t="n">
        <f aca="false">+D200*(1+C201)</f>
        <v>102.933045018256</v>
      </c>
      <c r="F201" s="17" t="n">
        <v>44681</v>
      </c>
      <c r="I201" s="25"/>
      <c r="J201" s="18"/>
      <c r="K201" s="3" t="n">
        <v>4999.8366</v>
      </c>
      <c r="L201" s="25" t="n">
        <f aca="false">+(K201/K200-1)/(F201-F200)*30</f>
        <v>0.00457161325790945</v>
      </c>
      <c r="M201" s="19" t="n">
        <f aca="false">+M200*(1+L201)</f>
        <v>101.848100719794</v>
      </c>
    </row>
    <row r="202" customFormat="false" ht="15" hidden="false" customHeight="false" outlineLevel="0" collapsed="false">
      <c r="A202" s="17" t="n">
        <v>44712</v>
      </c>
      <c r="B202" s="3" t="n">
        <v>19680.32</v>
      </c>
      <c r="C202" s="25" t="n">
        <f aca="false">(B202/B201-1)/(A202-A201)*30</f>
        <v>0.00688367669288764</v>
      </c>
      <c r="D202" s="19" t="n">
        <f aca="false">+D201*(1+C202)</f>
        <v>103.641602821176</v>
      </c>
      <c r="F202" s="17" t="n">
        <v>44735</v>
      </c>
      <c r="I202" s="25"/>
      <c r="J202" s="18"/>
      <c r="K202" s="3" t="n">
        <v>5027.3885</v>
      </c>
      <c r="L202" s="25" t="n">
        <f aca="false">+(K202/K201-1)/(F202-F201)*30</f>
        <v>0.00306142226950209</v>
      </c>
      <c r="M202" s="19" t="n">
        <f aca="false">+M201*(1+L202)</f>
        <v>102.159900763444</v>
      </c>
    </row>
    <row r="203" customFormat="false" ht="15" hidden="false" customHeight="false" outlineLevel="0" collapsed="false">
      <c r="A203" s="17" t="n">
        <v>44742</v>
      </c>
      <c r="B203" s="3" t="n">
        <v>19825.16</v>
      </c>
      <c r="C203" s="25" t="n">
        <f aca="false">(B203/B202-1)/(A203-A202)*30</f>
        <v>0.00735963642867587</v>
      </c>
      <c r="D203" s="19" t="n">
        <f aca="false">+D202*(1+C203)</f>
        <v>104.404367336825</v>
      </c>
      <c r="F203" s="17" t="n">
        <v>44742</v>
      </c>
      <c r="I203" s="25"/>
      <c r="J203" s="18"/>
      <c r="K203" s="18" t="n">
        <v>5056.9676</v>
      </c>
      <c r="L203" s="67" t="n">
        <f aca="false">+(K203/K202-1)/(F203-A202)*30</f>
        <v>0.00588359145110817</v>
      </c>
      <c r="M203" s="19" t="n">
        <f aca="false">+M202*(1+L203)</f>
        <v>102.760967882222</v>
      </c>
    </row>
    <row r="204" customFormat="false" ht="15" hidden="false" customHeight="false" outlineLevel="0" collapsed="false">
      <c r="A204" s="17" t="n">
        <v>44773</v>
      </c>
      <c r="B204" s="3" t="n">
        <v>19975.62</v>
      </c>
      <c r="C204" s="25" t="n">
        <f aca="false">(B204/B203-1)/(A204-A203)*30</f>
        <v>0.00734452844834052</v>
      </c>
      <c r="D204" s="19" t="n">
        <f aca="false">+D203*(1+C204)</f>
        <v>105.171168182861</v>
      </c>
      <c r="F204" s="17" t="n">
        <v>44773</v>
      </c>
      <c r="I204" s="25"/>
      <c r="J204" s="18"/>
      <c r="K204" s="3" t="n">
        <v>5089.8979</v>
      </c>
      <c r="L204" s="67" t="n">
        <f aca="false">+(K204/K203-1)/(F204-A203)*30</f>
        <v>0.00630180669104238</v>
      </c>
      <c r="M204" s="19" t="n">
        <f aca="false">+M203*(1+L204)</f>
        <v>103.4085476372</v>
      </c>
    </row>
    <row r="205" customFormat="false" ht="15" hidden="false" customHeight="false" outlineLevel="0" collapsed="false">
      <c r="A205" s="17" t="n">
        <v>44804</v>
      </c>
      <c r="B205" s="3" t="n">
        <v>20154.92</v>
      </c>
      <c r="C205" s="25" t="n">
        <f aca="false">(B205/B204-1)/(A205-A204)*30</f>
        <v>0.00868639516732178</v>
      </c>
      <c r="D205" s="19" t="n">
        <f aca="false">+D204*(1+C205)</f>
        <v>106.084726509906</v>
      </c>
      <c r="F205" s="17" t="n">
        <v>44804</v>
      </c>
      <c r="I205" s="25"/>
      <c r="J205" s="18"/>
      <c r="K205" s="18" t="n">
        <v>5125.6822</v>
      </c>
      <c r="L205" s="67" t="n">
        <f aca="false">+(K205/K204-1)/(F205-A204)*30</f>
        <v>0.00680366648257052</v>
      </c>
      <c r="M205" s="19" t="n">
        <f aca="false">+M204*(1+L205)</f>
        <v>104.112104906771</v>
      </c>
    </row>
    <row r="206" customFormat="false" ht="15" hidden="false" customHeight="false" outlineLevel="0" collapsed="false">
      <c r="A206" s="17" t="n">
        <v>44834</v>
      </c>
      <c r="B206" s="3" t="n">
        <v>20332.28</v>
      </c>
      <c r="C206" s="25" t="n">
        <f aca="false">(B206/B205-1)/(A206-A205)*30</f>
        <v>0.00879983646672877</v>
      </c>
      <c r="D206" s="19" t="n">
        <f aca="false">+D205*(1+C206)</f>
        <v>107.018254754811</v>
      </c>
      <c r="F206" s="17" t="n">
        <v>44834</v>
      </c>
      <c r="I206" s="25"/>
      <c r="J206" s="18"/>
      <c r="K206" s="18" t="n">
        <v>5163.2829</v>
      </c>
      <c r="L206" s="67" t="n">
        <f aca="false">+(K206/K205-1)/(F206-A205)*30</f>
        <v>0.00733574547403659</v>
      </c>
      <c r="M206" s="19" t="n">
        <f aca="false">+M205*(1+L206)</f>
        <v>104.875844809133</v>
      </c>
    </row>
    <row r="207" customFormat="false" ht="15" hidden="false" customHeight="false" outlineLevel="0" collapsed="false">
      <c r="A207" s="17" t="n">
        <v>44862</v>
      </c>
      <c r="B207" s="3" t="n">
        <v>20507.2</v>
      </c>
      <c r="C207" s="25" t="n">
        <f aca="false">(B207/B206-1)/(A207-A206)*30</f>
        <v>0.00921757351926535</v>
      </c>
      <c r="D207" s="19" t="n">
        <f aca="false">+D206*(1+C207)</f>
        <v>108.004703385917</v>
      </c>
      <c r="F207" s="17" t="n">
        <v>44862</v>
      </c>
      <c r="I207" s="25"/>
      <c r="J207" s="18"/>
      <c r="K207" s="18" t="n">
        <v>5200.6767</v>
      </c>
      <c r="L207" s="67" t="n">
        <f aca="false">+(K207/K206-1)/(F207-A206)*30</f>
        <v>0.00775955656318685</v>
      </c>
      <c r="M207" s="19" t="n">
        <f aca="false">+M206*(1+L207)</f>
        <v>105.689634859041</v>
      </c>
    </row>
    <row r="208" customFormat="false" ht="15" hidden="false" customHeight="false" outlineLevel="0" collapsed="false">
      <c r="A208" s="17" t="n">
        <v>44895</v>
      </c>
      <c r="B208" s="3" t="n">
        <v>20719.68</v>
      </c>
      <c r="C208" s="25" t="n">
        <f aca="false">(B208/B207-1)/(A208-A207)*30</f>
        <v>0.00941930816316388</v>
      </c>
      <c r="D208" s="19" t="n">
        <f aca="false">+D207*(1+C208)</f>
        <v>109.02203297018</v>
      </c>
      <c r="F208" s="17" t="n">
        <v>44895</v>
      </c>
      <c r="I208" s="25"/>
      <c r="J208" s="18"/>
      <c r="K208" s="3" t="n">
        <v>5246.14</v>
      </c>
      <c r="L208" s="67" t="n">
        <f aca="false">+(K208/K207-1)/(F208-A207)*30</f>
        <v>0.00794709517845488</v>
      </c>
      <c r="M208" s="19" t="n">
        <f aca="false">+M207*(1+L208)</f>
        <v>106.529560446642</v>
      </c>
    </row>
    <row r="209" customFormat="false" ht="15" hidden="false" customHeight="false" outlineLevel="0" collapsed="false">
      <c r="A209" s="17" t="n">
        <v>44925</v>
      </c>
      <c r="B209" s="3" t="n">
        <v>20914.79</v>
      </c>
      <c r="C209" s="25" t="n">
        <f aca="false">(B209/B208-1)/(A209-A208)*30</f>
        <v>0.00941665122241275</v>
      </c>
      <c r="D209" s="19" t="n">
        <f aca="false">+D208*(1+C209)</f>
        <v>110.048655430219</v>
      </c>
      <c r="F209" s="17" t="n">
        <v>44925</v>
      </c>
      <c r="I209" s="25"/>
      <c r="J209" s="18"/>
      <c r="K209" s="3" t="n">
        <v>5287.7323</v>
      </c>
      <c r="L209" s="67" t="n">
        <f aca="false">+(K209/K208-1)/(F209-A208)*30</f>
        <v>0.00792817195118678</v>
      </c>
      <c r="M209" s="19" t="n">
        <f aca="false">+M208*(1+L209)</f>
        <v>107.374145119748</v>
      </c>
    </row>
    <row r="210" customFormat="false" ht="15" hidden="false" customHeight="false" outlineLevel="0" collapsed="false">
      <c r="A210" s="17" t="n">
        <v>44957</v>
      </c>
      <c r="B210" s="3" t="n">
        <v>21124.92</v>
      </c>
      <c r="C210" s="25" t="n">
        <f aca="false">(B210/B209-1)/(A210-A209)*30</f>
        <v>0.0094190223760314</v>
      </c>
      <c r="D210" s="19" t="n">
        <f aca="false">+D209*(1+C210)</f>
        <v>111.085206178168</v>
      </c>
      <c r="F210" s="17" t="n">
        <v>44957</v>
      </c>
      <c r="I210" s="25"/>
      <c r="J210" s="18"/>
      <c r="K210" s="3" t="n">
        <v>5332.3677</v>
      </c>
      <c r="L210" s="67" t="n">
        <f aca="false">+(K210/K209-1)/(F210-A209)*30</f>
        <v>0.00791373033388998</v>
      </c>
      <c r="M210" s="19" t="n">
        <f aca="false">+M209*(1+L210)</f>
        <v>108.223875149057</v>
      </c>
    </row>
    <row r="211" customFormat="false" ht="15" hidden="false" customHeight="false" outlineLevel="0" collapsed="false">
      <c r="A211" s="17" t="n">
        <v>44985</v>
      </c>
      <c r="B211" s="3" t="n">
        <v>21310.51</v>
      </c>
      <c r="C211" s="25" t="n">
        <f aca="false">(B211/B210-1)/(A211-A210)*30</f>
        <v>0.00941288433619768</v>
      </c>
      <c r="D211" s="19" t="n">
        <f aca="false">+D210*(1+C211)</f>
        <v>112.130838375386</v>
      </c>
      <c r="F211" s="17" t="n">
        <v>45014</v>
      </c>
      <c r="I211" s="25"/>
      <c r="J211" s="18"/>
      <c r="K211" s="3" t="n">
        <v>5371.762</v>
      </c>
      <c r="L211" s="67" t="n">
        <f aca="false">+(K211/K210-1)/(F211-A210)*30</f>
        <v>0.00388829939564426</v>
      </c>
      <c r="M211" s="19" t="n">
        <f aca="false">+M210*(1+L211)</f>
        <v>108.644681977394</v>
      </c>
    </row>
    <row r="212" customFormat="false" ht="15" hidden="false" customHeight="false" outlineLevel="0" collapsed="false">
      <c r="A212" s="17" t="n">
        <v>45016</v>
      </c>
      <c r="B212" s="3" t="n">
        <v>21517.9</v>
      </c>
      <c r="C212" s="25" t="n">
        <f aca="false">(B212/B211-1)/(A212-A211)*30</f>
        <v>0.00941788816879581</v>
      </c>
      <c r="D212" s="19" t="n">
        <f aca="false">+D211*(1+C212)</f>
        <v>113.186874071478</v>
      </c>
      <c r="F212" s="17" t="n">
        <v>45016</v>
      </c>
      <c r="I212" s="25"/>
      <c r="J212" s="18"/>
      <c r="K212" s="3" t="n">
        <v>5415.8662</v>
      </c>
      <c r="L212" s="67" t="n">
        <f aca="false">+(K212/K211-1)/(F212-A211)*30</f>
        <v>0.00794552771901819</v>
      </c>
      <c r="M212" s="19" t="n">
        <f aca="false">+M211*(1+L212)</f>
        <v>109.507921309569</v>
      </c>
    </row>
    <row r="213" customFormat="false" ht="15" hidden="false" customHeight="false" outlineLevel="0" collapsed="false">
      <c r="A213" s="17" t="n">
        <v>45044</v>
      </c>
      <c r="B213" s="3" t="n">
        <v>21706.94</v>
      </c>
      <c r="C213" s="25" t="n">
        <f aca="false">(B213/B212-1)/(A213-A212)*30</f>
        <v>0.00941276133557894</v>
      </c>
      <c r="D213" s="19" t="n">
        <f aca="false">+D212*(1+C213)</f>
        <v>114.252275103434</v>
      </c>
      <c r="F213" s="17" t="n">
        <v>45044</v>
      </c>
      <c r="I213" s="25"/>
      <c r="J213" s="18"/>
      <c r="K213" s="3" t="n">
        <v>5456.2587</v>
      </c>
      <c r="L213" s="67" t="n">
        <f aca="false">+(K213/K212-1)/(F213-A212)*30</f>
        <v>0.00799090615854378</v>
      </c>
      <c r="M213" s="19" t="n">
        <f aca="false">+M212*(1+L213)</f>
        <v>110.382988832371</v>
      </c>
    </row>
    <row r="214" customFormat="false" ht="15" hidden="false" customHeight="false" outlineLevel="0" collapsed="false">
      <c r="A214" s="17" t="n">
        <v>45077</v>
      </c>
      <c r="B214" s="3" t="n">
        <v>21931.86</v>
      </c>
      <c r="C214" s="25" t="n">
        <f aca="false">(B214/B213-1)/(A214-A213)*30</f>
        <v>0.00941969376027792</v>
      </c>
      <c r="D214" s="19" t="n">
        <f aca="false">+D213*(1+C214)</f>
        <v>115.328496546323</v>
      </c>
      <c r="F214" s="17" t="n">
        <v>45077</v>
      </c>
      <c r="I214" s="25"/>
      <c r="J214" s="18"/>
      <c r="K214" s="18" t="n">
        <v>5504.4106</v>
      </c>
      <c r="L214" s="67" t="n">
        <f aca="false">+(K214/K213-1)/(F214-A213)*30</f>
        <v>0.00802279674632251</v>
      </c>
      <c r="M214" s="19" t="n">
        <f aca="false">+M213*(1+L214)</f>
        <v>111.268569116025</v>
      </c>
    </row>
    <row r="215" customFormat="false" ht="15" hidden="false" customHeight="false" outlineLevel="0" collapsed="false">
      <c r="A215" s="17" t="n">
        <v>45107</v>
      </c>
      <c r="B215" s="3" t="n">
        <v>22138.35</v>
      </c>
      <c r="C215" s="25" t="n">
        <f aca="false">(B215/B214-1)/(A215-A214)*30</f>
        <v>0.00941507013085063</v>
      </c>
      <c r="D215" s="19" t="n">
        <f aca="false">+D214*(1+C215)</f>
        <v>116.414322429392</v>
      </c>
      <c r="F215" s="17" t="n">
        <v>45107</v>
      </c>
      <c r="I215" s="25"/>
      <c r="J215" s="18"/>
      <c r="K215" s="3" t="n">
        <v>5548.4618</v>
      </c>
      <c r="L215" s="67" t="n">
        <f aca="false">+(K215/K214-1)/(F215-A214)*30</f>
        <v>0.00800289135407151</v>
      </c>
      <c r="M215" s="19" t="n">
        <f aca="false">+M214*(1+L215)</f>
        <v>112.159039385783</v>
      </c>
    </row>
    <row r="216" customFormat="false" ht="15" hidden="false" customHeight="false" outlineLevel="0" collapsed="false">
      <c r="A216" s="17" t="n">
        <v>45138</v>
      </c>
      <c r="B216" s="3" t="n">
        <v>22353.79</v>
      </c>
      <c r="C216" s="25" t="n">
        <f aca="false">(B216/B215-1)/(A216-A215)*30</f>
        <v>0.00941760892662041</v>
      </c>
      <c r="D216" s="19" t="n">
        <f aca="false">+D215*(1+C216)</f>
        <v>117.51066699149</v>
      </c>
      <c r="F216" s="17" t="n">
        <v>45138</v>
      </c>
      <c r="I216" s="25"/>
      <c r="J216" s="18"/>
      <c r="K216" s="3" t="n">
        <v>5593.984</v>
      </c>
      <c r="L216" s="67" t="n">
        <f aca="false">+(K216/K215-1)/(F216-A215)*30</f>
        <v>0.00793981170339564</v>
      </c>
      <c r="M216" s="19" t="n">
        <f aca="false">+M215*(1+L216)</f>
        <v>113.04956103934</v>
      </c>
    </row>
    <row r="217" customFormat="false" ht="15" hidden="false" customHeight="false" outlineLevel="0" collapsed="false">
      <c r="A217" s="17" t="n">
        <v>45169</v>
      </c>
      <c r="B217" s="3" t="n">
        <v>22551.92</v>
      </c>
      <c r="C217" s="25" t="n">
        <f aca="false">(B217/B216-1)/(A217-A216)*30</f>
        <v>0.00857745866259888</v>
      </c>
      <c r="D217" s="19" t="n">
        <f aca="false">+D216*(1+C217)</f>
        <v>118.518609880024</v>
      </c>
      <c r="F217" s="17" t="n">
        <v>45175</v>
      </c>
      <c r="I217" s="25"/>
      <c r="J217" s="18"/>
      <c r="K217" s="18" t="n">
        <v>5636.4775</v>
      </c>
      <c r="L217" s="67" t="n">
        <f aca="false">+(K217/K216-1)/(F217-A216)*30</f>
        <v>0.00615915047114707</v>
      </c>
      <c r="M217" s="19" t="n">
        <v>100</v>
      </c>
    </row>
    <row r="218" customFormat="false" ht="15" hidden="false" customHeight="false" outlineLevel="0" collapsed="false">
      <c r="A218" s="17" t="n">
        <v>45199</v>
      </c>
      <c r="B218" s="3" t="n">
        <v>22727.72</v>
      </c>
      <c r="C218" s="25" t="n">
        <f aca="false">(B218/B217-1)/(A218-A217)*30</f>
        <v>0.00779534514134506</v>
      </c>
      <c r="D218" s="19" t="n">
        <v>100</v>
      </c>
      <c r="F218" s="17" t="n">
        <v>45199</v>
      </c>
      <c r="I218" s="25"/>
      <c r="J218" s="18"/>
      <c r="K218" s="18" t="n">
        <v>5674.7198</v>
      </c>
      <c r="L218" s="67" t="n">
        <f aca="false">+(K218/K217-1)/(F218-A217)*30</f>
        <v>0.00678478712990516</v>
      </c>
      <c r="M218" s="19" t="n">
        <v>100</v>
      </c>
    </row>
    <row r="219" customFormat="false" ht="15" hidden="false" customHeight="false" outlineLevel="0" collapsed="false">
      <c r="A219" s="17" t="n">
        <v>45230</v>
      </c>
      <c r="B219" s="19" t="n">
        <v>22920</v>
      </c>
      <c r="C219" s="25" t="n">
        <f aca="false">(B219/B218-1)/(A219-A218)*30</f>
        <v>0.0081872453266249</v>
      </c>
      <c r="D219" s="19" t="n">
        <f aca="false">+D218*(1+C219)</f>
        <v>100.818724532663</v>
      </c>
      <c r="F219" s="17" t="n">
        <v>45237</v>
      </c>
      <c r="I219" s="25"/>
      <c r="J219" s="18"/>
      <c r="K219" s="3" t="n">
        <v>5712.6049</v>
      </c>
      <c r="L219" s="67" t="n">
        <f aca="false">+(K219/K218-1)/(F219-A218)*30</f>
        <v>0.00527061961256391</v>
      </c>
      <c r="M219" s="19" t="n">
        <f aca="false">+M218*(1+L219)</f>
        <v>100.527061961256</v>
      </c>
    </row>
    <row r="220" customFormat="false" ht="15" hidden="false" customHeight="false" outlineLevel="0" collapsed="false">
      <c r="A220" s="17" t="n">
        <v>45260</v>
      </c>
      <c r="B220" s="3" t="n">
        <v>23092.51</v>
      </c>
      <c r="C220" s="25" t="n">
        <f aca="false">(B220/B219-1)/(A220-A219)*30</f>
        <v>0.00752661431064561</v>
      </c>
      <c r="D220" s="19" t="n">
        <f aca="false">+D219*(1+C220)</f>
        <v>101.577548187511</v>
      </c>
      <c r="F220" s="17" t="n">
        <v>45260</v>
      </c>
      <c r="I220" s="25"/>
      <c r="J220" s="18"/>
      <c r="K220" s="18" t="n">
        <v>5747.8492</v>
      </c>
      <c r="L220" s="67" t="n">
        <f aca="false">+(K220/K219-1)/(F220-A219)*30</f>
        <v>0.00616956723192952</v>
      </c>
      <c r="M220" s="19" t="n">
        <f aca="false">+M219*(1+L220)</f>
        <v>101.147270428655</v>
      </c>
    </row>
    <row r="221" customFormat="false" ht="15" hidden="false" customHeight="false" outlineLevel="0" collapsed="false">
      <c r="A221" s="17" t="n">
        <v>45291</v>
      </c>
      <c r="B221" s="3" t="n">
        <v>23256.05</v>
      </c>
      <c r="C221" s="25" t="n">
        <f aca="false">(B221/B220-1)/(A221-A220)*30</f>
        <v>0.00685349994994187</v>
      </c>
      <c r="D221" s="19" t="n">
        <f aca="false">+D220*(1+C221)</f>
        <v>102.273709908929</v>
      </c>
      <c r="F221" s="17" t="n">
        <v>45291</v>
      </c>
      <c r="I221" s="25"/>
      <c r="J221" s="18"/>
      <c r="K221" s="3" t="n">
        <v>5782.92</v>
      </c>
      <c r="L221" s="25" t="n">
        <f aca="false">+(K221/K220-1)/(F221-F220)*30</f>
        <v>0.00590472761028043</v>
      </c>
      <c r="M221" s="19" t="n">
        <f aca="false">+M220*(1+L221)</f>
        <v>101.744517509059</v>
      </c>
    </row>
    <row r="222" customFormat="false" ht="15" hidden="false" customHeight="false" outlineLevel="0" collapsed="false">
      <c r="A222" s="17" t="n">
        <v>45322</v>
      </c>
      <c r="B222" s="3" t="n">
        <v>23427.15</v>
      </c>
      <c r="C222" s="25" t="n">
        <f aca="false">(B222/B221-1)/(A222-A221)*30</f>
        <v>0.00711989547499661</v>
      </c>
      <c r="D222" s="19" t="n">
        <f aca="false">+D221*(1+C222)</f>
        <v>103.001888033321</v>
      </c>
      <c r="F222" s="17" t="n">
        <v>45322</v>
      </c>
      <c r="I222" s="25"/>
      <c r="J222" s="18"/>
      <c r="K222" s="18" t="n">
        <v>5816.8769</v>
      </c>
      <c r="L222" s="25" t="n">
        <f aca="false">+(K222/K221-1)/(F222-F221)*30</f>
        <v>0.00568251266298558</v>
      </c>
      <c r="M222" s="19" t="n">
        <f aca="false">+M221*(1+L222)</f>
        <v>102.322682018194</v>
      </c>
    </row>
    <row r="223" customFormat="false" ht="15" hidden="false" customHeight="false" outlineLevel="0" collapsed="false">
      <c r="A223" s="17" t="n">
        <v>45351</v>
      </c>
      <c r="B223" s="3" t="n">
        <v>23570.34</v>
      </c>
      <c r="C223" s="25" t="n">
        <f aca="false">(B223/B222-1)/(A223-A222)*30</f>
        <v>0.00632290253858852</v>
      </c>
      <c r="D223" s="19" t="n">
        <f aca="false">+D222*(1+C223)</f>
        <v>103.653158932646</v>
      </c>
      <c r="F223" s="17" t="n">
        <v>45351</v>
      </c>
      <c r="I223" s="25"/>
      <c r="J223" s="18"/>
      <c r="K223" s="3" t="n">
        <v>5846.4552</v>
      </c>
      <c r="L223" s="25" t="n">
        <f aca="false">+(K223/K222-1)/(F223-F222)*30</f>
        <v>0.005260252521299</v>
      </c>
      <c r="M223" s="19" t="n">
        <f aca="false">+M222*(1+L223)</f>
        <v>102.860925164266</v>
      </c>
    </row>
    <row r="224" customFormat="false" ht="15" hidden="false" customHeight="false" outlineLevel="0" collapsed="false">
      <c r="A224" s="17" t="n">
        <v>45379</v>
      </c>
      <c r="B224" s="3" t="n">
        <v>23703.45</v>
      </c>
      <c r="C224" s="25" t="n">
        <f aca="false">(B224/B223-1)/(A224-A223)*30</f>
        <v>0.00605073397935101</v>
      </c>
      <c r="D224" s="19" t="n">
        <f aca="false">+D223*(1+C224)</f>
        <v>104.280336623467</v>
      </c>
      <c r="F224" s="17" t="n">
        <v>45379</v>
      </c>
      <c r="I224" s="25"/>
      <c r="J224" s="18"/>
      <c r="K224" s="3" t="n">
        <v>5872.4728</v>
      </c>
      <c r="L224" s="25" t="n">
        <f aca="false">+(K224/K223-1)/(F224-F223)*30</f>
        <v>0.00476801737914621</v>
      </c>
      <c r="M224" s="19" t="n">
        <f aca="false">+M223*(1+L224)</f>
        <v>103.351367843084</v>
      </c>
    </row>
    <row r="225" customFormat="false" ht="15" hidden="false" customHeight="false" outlineLevel="0" collapsed="false">
      <c r="A225" s="17" t="n">
        <v>45412</v>
      </c>
      <c r="B225" s="3" t="n">
        <v>23847.87</v>
      </c>
      <c r="C225" s="25" t="n">
        <f aca="false">(B225/B224-1)/(A225-A224)*30</f>
        <v>0.00553889451075303</v>
      </c>
      <c r="D225" s="19" t="n">
        <f aca="false">+D224*(1+C225)</f>
        <v>104.85793440757</v>
      </c>
      <c r="F225" s="17" t="n">
        <v>45412</v>
      </c>
      <c r="I225" s="25"/>
      <c r="J225" s="18"/>
      <c r="K225" s="3" t="n">
        <v>5900.1916</v>
      </c>
      <c r="L225" s="25" t="n">
        <f aca="false">+(K225/K224-1)/(F225-F224)*30</f>
        <v>0.00429102184873626</v>
      </c>
      <c r="M225" s="19" t="n">
        <f aca="false">+M224*(1+L225)</f>
        <v>103.794850820596</v>
      </c>
    </row>
    <row r="226" customFormat="false" ht="15" hidden="false" customHeight="false" outlineLevel="0" collapsed="false">
      <c r="A226" s="17" t="n">
        <v>45443</v>
      </c>
      <c r="B226" s="3" t="n">
        <v>23979.37</v>
      </c>
      <c r="C226" s="25" t="n">
        <f aca="false">(B226/B225-1)/(A226-A225)*30</f>
        <v>0.00533624447450137</v>
      </c>
      <c r="D226" s="19" t="n">
        <f aca="false">+D225*(1+C226)</f>
        <v>105.41748198066</v>
      </c>
      <c r="F226" s="17" t="n">
        <v>45443</v>
      </c>
      <c r="I226" s="25"/>
      <c r="J226" s="18"/>
      <c r="K226" s="3" t="n">
        <v>5924.7824</v>
      </c>
      <c r="L226" s="25" t="n">
        <f aca="false">+(K226/K225-1)/(F226-F225)*30</f>
        <v>0.00403335179608358</v>
      </c>
      <c r="M226" s="19" t="n">
        <f aca="false">+M225*(1+L226)</f>
        <v>104.213491968577</v>
      </c>
    </row>
    <row r="227" customFormat="false" ht="15" hidden="false" customHeight="false" outlineLevel="0" collapsed="false">
      <c r="A227" s="17" t="n">
        <v>45473</v>
      </c>
      <c r="B227" s="19" t="n">
        <v>24090</v>
      </c>
      <c r="C227" s="25" t="n">
        <f aca="false">(B227/B226-1)/(A227-A226)*30</f>
        <v>0.00461354906321554</v>
      </c>
      <c r="D227" s="19" t="n">
        <f aca="false">+D226*(1+C227)</f>
        <v>105.903830705899</v>
      </c>
      <c r="F227" s="17" t="n">
        <v>45473</v>
      </c>
      <c r="I227" s="25"/>
      <c r="J227" s="18"/>
      <c r="K227" s="3" t="n">
        <v>5946.409</v>
      </c>
      <c r="L227" s="25" t="n">
        <f aca="false">+(K227/K226-1)/(F227-F226)*30</f>
        <v>0.00365019312776771</v>
      </c>
      <c r="M227" s="19" t="n">
        <f aca="false">+M226*(1+L227)</f>
        <v>104.593891340782</v>
      </c>
    </row>
    <row r="228" customFormat="false" ht="15" hidden="false" customHeight="false" outlineLevel="0" collapsed="false">
      <c r="A228" s="17" t="n">
        <v>45504</v>
      </c>
      <c r="B228" s="3" t="n">
        <v>24217.3</v>
      </c>
      <c r="C228" s="25" t="n">
        <f aca="false">(B228/B227-1)/(A228-A227)*30</f>
        <v>0.00511388743823562</v>
      </c>
      <c r="D228" s="19" t="n">
        <f aca="false">+D227*(1+C228)</f>
        <v>106.445410975407</v>
      </c>
      <c r="F228" s="17" t="n">
        <v>45504</v>
      </c>
      <c r="I228" s="25"/>
      <c r="J228" s="18"/>
      <c r="K228" s="3" t="n">
        <v>5968.019</v>
      </c>
      <c r="L228" s="25" t="n">
        <f aca="false">+(K228/K227-1)/(F228-F227)*30</f>
        <v>0.00351689620169189</v>
      </c>
      <c r="M228" s="19" t="n">
        <f aca="false">+M227*(1+L228)</f>
        <v>104.961737199958</v>
      </c>
    </row>
    <row r="229" customFormat="false" ht="15" hidden="false" customHeight="false" outlineLevel="0" collapsed="false">
      <c r="A229" s="17" t="n">
        <v>45535</v>
      </c>
      <c r="B229" s="3" t="n">
        <v>24333.6</v>
      </c>
      <c r="C229" s="25" t="n">
        <f aca="false">(B229/B228-1)/(A229-A228)*30</f>
        <v>0.004647437455735</v>
      </c>
      <c r="D229" s="19" t="n">
        <f aca="false">+D228*(1+C229)</f>
        <v>106.940109365365</v>
      </c>
      <c r="F229" s="17" t="n">
        <v>45535</v>
      </c>
      <c r="I229" s="25"/>
      <c r="J229" s="18"/>
      <c r="K229" s="3" t="n">
        <v>5989.669</v>
      </c>
      <c r="L229" s="25" t="n">
        <f aca="false">+(K229/K228-1)/(F229-F228)*30</f>
        <v>0.00351064782186953</v>
      </c>
      <c r="M229" s="19" t="n">
        <f aca="false">+M228*(1+L229)</f>
        <v>105.330220894039</v>
      </c>
    </row>
    <row r="230" customFormat="false" ht="15" hidden="false" customHeight="false" outlineLevel="0" collapsed="false">
      <c r="A230" s="17" t="n">
        <v>45565</v>
      </c>
      <c r="B230" s="3" t="n">
        <v>24449.94</v>
      </c>
      <c r="C230" s="25" t="n">
        <f aca="false">(B230/B229-1)/(A230-A229)*30</f>
        <v>0.00478104349541386</v>
      </c>
      <c r="D230" s="19" t="n">
        <f aca="false">+D229*(1+C230)</f>
        <v>107.451394679645</v>
      </c>
      <c r="F230" s="17" t="n">
        <v>45565</v>
      </c>
      <c r="I230" s="25"/>
      <c r="J230" s="18"/>
      <c r="K230" s="3" t="n">
        <v>6009.8868</v>
      </c>
      <c r="L230" s="25" t="n">
        <f aca="false">+(K230/K229-1)/(F230-F229)*30</f>
        <v>0.0033754452875443</v>
      </c>
      <c r="M230" s="19" t="n">
        <f aca="false">+M229*(1+L230)</f>
        <v>105.685757291792</v>
      </c>
    </row>
    <row r="231" customFormat="false" ht="15" hidden="false" customHeight="false" outlineLevel="0" collapsed="false">
      <c r="A231" s="17" t="n">
        <v>45596</v>
      </c>
      <c r="B231" s="3" t="n">
        <v>24560.22</v>
      </c>
      <c r="C231" s="25" t="n">
        <f aca="false">(B231/B230-1)/(A231-A230)*30</f>
        <v>0.00436494243524368</v>
      </c>
      <c r="D231" s="19" t="n">
        <f aca="false">+D230*(1+C231)</f>
        <v>107.920413832008</v>
      </c>
      <c r="F231" s="17" t="n">
        <v>45596</v>
      </c>
      <c r="I231" s="25"/>
      <c r="J231" s="18"/>
      <c r="K231" s="3" t="n">
        <v>6030.3854</v>
      </c>
      <c r="L231" s="25" t="n">
        <f aca="false">+(K231/K230-1)/(F231-F230)*30</f>
        <v>0.00330078677001207</v>
      </c>
      <c r="M231" s="19" t="n">
        <f aca="false">+M230*(1+L231)</f>
        <v>106.034603441239</v>
      </c>
    </row>
    <row r="232" customFormat="false" ht="15" hidden="false" customHeight="false" outlineLevel="0" collapsed="false">
      <c r="A232" s="17" t="n">
        <v>45626</v>
      </c>
      <c r="B232" s="3" t="n">
        <v>24667.9</v>
      </c>
      <c r="C232" s="25" t="n">
        <f aca="false">(B232/B231-1)/(A232-A231)*30</f>
        <v>0.0043843255475724</v>
      </c>
      <c r="D232" s="19" t="n">
        <f aca="false">+D231*(1+C232)</f>
        <v>108.393572059477</v>
      </c>
      <c r="F232" s="17" t="n">
        <v>45626</v>
      </c>
      <c r="I232" s="25"/>
      <c r="J232" s="18"/>
      <c r="K232" s="3" t="n">
        <v>6049.8055</v>
      </c>
      <c r="L232" s="25" t="n">
        <f aca="false">+(K232/K231-1)/(F232-F231)*30</f>
        <v>0.00322037460491331</v>
      </c>
      <c r="M232" s="19" t="n">
        <f aca="false">+M231*(1+L232)</f>
        <v>106.376074585403</v>
      </c>
    </row>
    <row r="233" customFormat="false" ht="15" hidden="false" customHeight="false" outlineLevel="0" collapsed="false">
      <c r="A233" s="17" t="n">
        <v>45657</v>
      </c>
      <c r="B233" s="3" t="n">
        <v>24777.58</v>
      </c>
      <c r="C233" s="25" t="n">
        <f aca="false">(B233/B232-1)/(A233-A232)*30</f>
        <v>0.00430283629672052</v>
      </c>
      <c r="D233" s="19" t="n">
        <f aca="false">+D232*(1+C233)</f>
        <v>108.859971855665</v>
      </c>
      <c r="F233" s="17" t="n">
        <v>45657</v>
      </c>
      <c r="I233" s="25"/>
      <c r="J233" s="18"/>
      <c r="K233" s="3" t="n">
        <v>6069.3455</v>
      </c>
      <c r="L233" s="25" t="n">
        <f aca="false">+(K233/K232-1)/(F233-F232)*30</f>
        <v>0.00312566700191516</v>
      </c>
      <c r="M233" s="19" t="n">
        <f aca="false">+M232*(1+L233)</f>
        <v>106.708570771528</v>
      </c>
    </row>
    <row r="234" customFormat="false" ht="15" hidden="false" customHeight="false" outlineLevel="0" collapsed="false">
      <c r="A234" s="17" t="n">
        <v>45688</v>
      </c>
      <c r="B234" s="3" t="n">
        <v>24887.95</v>
      </c>
      <c r="C234" s="25" t="n">
        <f aca="false">(B234/B233-1)/(A234-A233)*30</f>
        <v>0.00431073887842782</v>
      </c>
      <c r="D234" s="19" t="n">
        <f aca="false">+D233*(1+C234)</f>
        <v>109.329238768648</v>
      </c>
      <c r="F234" s="17" t="n">
        <v>45688</v>
      </c>
      <c r="I234" s="25"/>
      <c r="J234" s="18"/>
      <c r="K234" s="3" t="n">
        <v>6087.6762</v>
      </c>
      <c r="L234" s="25" t="n">
        <f aca="false">+(K234/K233-1)/(F234-F233)*30</f>
        <v>0.00292278419423869</v>
      </c>
      <c r="M234" s="19" t="n">
        <f aca="false">+M233*(1+L234)</f>
        <v>107.020456895569</v>
      </c>
    </row>
    <row r="235" customFormat="false" ht="15" hidden="false" customHeight="false" outlineLevel="0" collapsed="false">
      <c r="A235" s="17" t="n">
        <v>45716</v>
      </c>
      <c r="B235" s="3" t="n">
        <v>24984.92</v>
      </c>
      <c r="C235" s="25" t="n">
        <f aca="false">(B235/B234-1)/(A235-A234)*30</f>
        <v>0.0041745675546369</v>
      </c>
      <c r="D235" s="19" t="n">
        <f aca="false">+D234*(1+C235)</f>
        <v>109.785641061585</v>
      </c>
      <c r="F235" s="17" t="n">
        <v>45716</v>
      </c>
      <c r="I235" s="25"/>
      <c r="J235" s="18"/>
      <c r="K235" s="3" t="n">
        <v>6104.4912</v>
      </c>
      <c r="L235" s="25" t="n">
        <f aca="false">+(K235/K234-1)/(F235-F234)*30</f>
        <v>0.00295943326101547</v>
      </c>
      <c r="M235" s="19" t="n">
        <f aca="false">+M234*(1+L235)</f>
        <v>107.337176795315</v>
      </c>
    </row>
    <row r="236" customFormat="false" ht="15" hidden="false" customHeight="false" outlineLevel="0" collapsed="false">
      <c r="A236" s="17" t="n">
        <v>45747</v>
      </c>
      <c r="B236" s="3" t="n">
        <v>25092.7</v>
      </c>
      <c r="C236" s="25" t="n">
        <f aca="false">(B236/B235-1)/(A236-A235)*30</f>
        <v>0.00417464717943687</v>
      </c>
      <c r="D236" s="19" t="n">
        <f aca="false">+D235*(1+C236)</f>
        <v>110.243957378385</v>
      </c>
      <c r="F236" s="17" t="n">
        <v>45747</v>
      </c>
      <c r="G236" s="4" t="n">
        <v>1000</v>
      </c>
      <c r="H236" s="4" t="n">
        <f aca="false">+G236+$S$148+$S$150+$S$152+$S$154+$S$156+$S$158</f>
        <v>1000</v>
      </c>
      <c r="I236" s="25" t="n">
        <f aca="false">+IFERROR((H236/H235-1)/(F236-F235)*30,0)</f>
        <v>0</v>
      </c>
      <c r="J236" s="18" t="n">
        <v>100</v>
      </c>
      <c r="K236" s="3" t="n">
        <v>6123.1882</v>
      </c>
      <c r="L236" s="25" t="n">
        <f aca="false">+(K236/K235-1)/(F236-F235)*30</f>
        <v>0.00296402605474173</v>
      </c>
      <c r="M236" s="19" t="n">
        <f aca="false">+M235*(1+L236)</f>
        <v>107.655326983979</v>
      </c>
    </row>
    <row r="237" customFormat="false" ht="15" hidden="false" customHeight="false" outlineLevel="0" collapsed="false">
      <c r="A237" s="17" t="n">
        <v>45777</v>
      </c>
      <c r="B237" s="3" t="n">
        <v>25197.48</v>
      </c>
      <c r="C237" s="25" t="n">
        <f aca="false">(B237/B236-1)/(A237-A236)*30</f>
        <v>0.00417571644342774</v>
      </c>
      <c r="D237" s="19" t="n">
        <f aca="false">+D236*(1+C237)</f>
        <v>110.704304883999</v>
      </c>
      <c r="F237" s="17" t="n">
        <v>45777</v>
      </c>
      <c r="G237" s="4" t="n">
        <v>1004.0216</v>
      </c>
      <c r="H237" s="4" t="n">
        <f aca="false">+G237+$S$148+$S$150+$S$152+$S$154+$S$156+$S$158</f>
        <v>1004.0216</v>
      </c>
      <c r="I237" s="25" t="n">
        <f aca="false">+IFERROR((H237/H236-1)/(F237-F236)*30,0)</f>
        <v>0.00402159999999996</v>
      </c>
      <c r="J237" s="18" t="n">
        <f aca="false">+J236*(1+I237)</f>
        <v>100.40216</v>
      </c>
      <c r="K237" s="3" t="n">
        <v>6141.4105</v>
      </c>
      <c r="L237" s="25" t="n">
        <f aca="false">+(K237/K236-1)/(F237-F236)*30</f>
        <v>0.00297594968581905</v>
      </c>
      <c r="M237" s="19" t="n">
        <f aca="false">+M236*(1+L237)</f>
        <v>107.975703820493</v>
      </c>
    </row>
    <row r="238" customFormat="false" ht="15" hidden="false" customHeight="false" outlineLevel="0" collapsed="false">
      <c r="A238" s="17" t="n">
        <v>45808</v>
      </c>
      <c r="B238" s="3" t="n">
        <v>25302.66</v>
      </c>
      <c r="C238" s="25" t="n">
        <f aca="false">(B238/B237-1)/(A238-A237)*30</f>
        <v>0.00403957446435886</v>
      </c>
      <c r="D238" s="19" t="n">
        <f aca="false">+D237*(1+C238)</f>
        <v>111.151503167103</v>
      </c>
      <c r="F238" s="17" t="n">
        <v>45808</v>
      </c>
      <c r="G238" s="4" t="n">
        <v>1010.5277</v>
      </c>
      <c r="H238" s="4" t="n">
        <f aca="false">+G238+$S$148+$S$150+$S$152+$S$154+$S$156+$S$158</f>
        <v>1010.5277</v>
      </c>
      <c r="I238" s="25" t="n">
        <f aca="false">+(H238/H237-1)/(F238-F237)*30</f>
        <v>0.00627100632740518</v>
      </c>
      <c r="J238" s="18" t="n">
        <f aca="false">+J237*(1+I238)</f>
        <v>101.031782580645</v>
      </c>
      <c r="K238" s="3" t="n">
        <v>6160.386</v>
      </c>
      <c r="L238" s="25" t="n">
        <f aca="false">+(K238/K237-1)/(F238-F237)*30</f>
        <v>0.00299009276399519</v>
      </c>
      <c r="M238" s="19" t="n">
        <f aca="false">+M237*(1+L238)</f>
        <v>108.298561191174</v>
      </c>
    </row>
    <row r="239" customFormat="false" ht="15" hidden="false" customHeight="false" outlineLevel="0" collapsed="false">
      <c r="A239" s="17" t="n">
        <v>45838</v>
      </c>
      <c r="B239" s="3" t="n">
        <v>25411.83</v>
      </c>
      <c r="C239" s="25" t="n">
        <f aca="false">(B239/B238-1)/(A239-A238)*30</f>
        <v>0.00431456613652492</v>
      </c>
      <c r="D239" s="19" t="n">
        <f aca="false">+D238*(1+C239)</f>
        <v>111.631073678691</v>
      </c>
      <c r="F239" s="17" t="n">
        <v>45838</v>
      </c>
      <c r="G239" s="4" t="n">
        <v>1017.0544</v>
      </c>
      <c r="H239" s="4" t="n">
        <f aca="false">+G239+$S$148+$S$150+$S$152+$S$154+$S$156+$S$158</f>
        <v>1017.0544</v>
      </c>
      <c r="I239" s="25" t="n">
        <f aca="false">+(H239/H238-1)/(F239-F238)*30</f>
        <v>0.00645870469458676</v>
      </c>
      <c r="J239" s="18" t="n">
        <f aca="false">+J238*(1+I239)</f>
        <v>101.684317029101</v>
      </c>
      <c r="K239" s="3" t="n">
        <v>6178.849</v>
      </c>
      <c r="L239" s="25" t="n">
        <f aca="false">+(K239/K238-1)/(F239-F238)*30</f>
        <v>0.00299705245742721</v>
      </c>
      <c r="M239" s="19" t="n">
        <f aca="false">+M238*(1+L239)</f>
        <v>108.623137660128</v>
      </c>
    </row>
    <row r="240" customFormat="false" ht="15" hidden="false" customHeight="false" outlineLevel="0" collapsed="false">
      <c r="A240" s="17" t="n">
        <v>45869</v>
      </c>
      <c r="B240" s="3" t="n">
        <v>25521.26</v>
      </c>
      <c r="C240" s="25" t="n">
        <f aca="false">(B240/B239-1)/(A240-A239)*30</f>
        <v>0.00416735040333568</v>
      </c>
      <c r="D240" s="19" t="n">
        <f aca="false">+D239*(1+C240)</f>
        <v>112.096279478611</v>
      </c>
      <c r="F240" s="17" t="n">
        <v>45869</v>
      </c>
      <c r="G240" s="4" t="n">
        <v>1023.2785</v>
      </c>
      <c r="H240" s="4" t="n">
        <f aca="false">+G240+$S$148+$S$150+$S$152+$S$154+$S$156+$S$158</f>
        <v>1023.2785</v>
      </c>
      <c r="I240" s="25" t="n">
        <f aca="false">+(H240/H239-1)/(F240-F239)*30</f>
        <v>0.00592232095023155</v>
      </c>
      <c r="J240" s="18" t="n">
        <f aca="false">+J239*(1+I240)</f>
        <v>102.286524190153</v>
      </c>
      <c r="K240" s="3" t="n">
        <v>6197.6884</v>
      </c>
      <c r="L240" s="25" t="n">
        <f aca="false">+(K240/K239-1)/(F240-F239)*30</f>
        <v>0.00295065916311505</v>
      </c>
      <c r="M240" s="19" t="n">
        <f aca="false">+M239*(1+L240)</f>
        <v>108.943647516591</v>
      </c>
    </row>
    <row r="241" customFormat="false" ht="15" hidden="false" customHeight="false" outlineLevel="0" collapsed="false">
      <c r="A241" s="17" t="n">
        <v>45900</v>
      </c>
      <c r="B241" s="3" t="n">
        <v>25619.09</v>
      </c>
      <c r="C241" s="25" t="n">
        <f aca="false">(B241/B240-1)/(A241-A240)*30</f>
        <v>0.00370962066717663</v>
      </c>
      <c r="D241" s="19" t="n">
        <f aca="false">+D240*(1+C241)</f>
        <v>112.512114153679</v>
      </c>
      <c r="F241" s="17" t="n">
        <v>45900</v>
      </c>
      <c r="G241" s="4" t="n">
        <v>1029.4299</v>
      </c>
      <c r="H241" s="4" t="n">
        <f aca="false">+G241+$S$148+$S$150+$S$152+$S$154+$S$156+$S$158</f>
        <v>1029.4299</v>
      </c>
      <c r="I241" s="25" t="n">
        <f aca="false">+(H241/H240-1)/(F241-F240)*30</f>
        <v>0.00581754404293214</v>
      </c>
      <c r="J241" s="18" t="n">
        <f aca="false">+J240*(1+I241)</f>
        <v>102.881580549627</v>
      </c>
      <c r="K241" s="3" t="n">
        <v>6215.6746</v>
      </c>
      <c r="L241" s="25" t="n">
        <f aca="false">+(K241/K240-1)/(F241-F240)*30</f>
        <v>0.00280846645984984</v>
      </c>
      <c r="M241" s="19" t="n">
        <f aca="false">+M240*(1+L241)</f>
        <v>109.249612096655</v>
      </c>
    </row>
    <row r="242" customFormat="false" ht="15" hidden="false" customHeight="false" outlineLevel="0" collapsed="false">
      <c r="A242" s="17" t="n">
        <v>45930</v>
      </c>
      <c r="B242" s="3" t="n">
        <v>25727.46</v>
      </c>
      <c r="C242" s="25" t="n">
        <f aca="false">(B242/B241-1)/(A242-A241)*30</f>
        <v>0.00423004876441735</v>
      </c>
      <c r="D242" s="19" t="n">
        <f aca="false">+D241*(1+C242)</f>
        <v>112.988045883136</v>
      </c>
      <c r="F242" s="17" t="n">
        <v>45930</v>
      </c>
      <c r="G242" s="4" t="n">
        <v>1035.5883</v>
      </c>
      <c r="H242" s="4" t="n">
        <f aca="false">+G242+$S$148+$S$150+$S$152+$S$154+$S$156+$S$158</f>
        <v>1035.5883</v>
      </c>
      <c r="I242" s="25" t="n">
        <f aca="false">+(H242/H241-1)/(F242-F241)*30</f>
        <v>0.00598234032254141</v>
      </c>
      <c r="J242" s="18" t="n">
        <f aca="false">+J241*(1+I242)</f>
        <v>103.497053177396</v>
      </c>
      <c r="K242" s="3" t="n">
        <v>6232.8399</v>
      </c>
      <c r="L242" s="25" t="n">
        <f aca="false">+(K242/K241-1)/(F242-F241)*30</f>
        <v>0.00276161496613736</v>
      </c>
      <c r="M242" s="19" t="n">
        <f aca="false">+M241*(1+L242)</f>
        <v>109.551317460466</v>
      </c>
    </row>
    <row r="243" customFormat="false" ht="15" hidden="false" customHeight="false" outlineLevel="0" collapsed="false">
      <c r="A243" s="17" t="n">
        <v>45961</v>
      </c>
      <c r="B243" s="3" t="n">
        <v>25829.5</v>
      </c>
      <c r="C243" s="25" t="n">
        <f aca="false">(B243/B242-1)/(A243-A242)*30</f>
        <v>0.00383824859106876</v>
      </c>
      <c r="D243" s="19" t="n">
        <f aca="false">+D242*(1+C243)</f>
        <v>113.421722091055</v>
      </c>
      <c r="F243" s="17" t="n">
        <v>45961</v>
      </c>
      <c r="G243" s="4" t="n">
        <v>1042.423</v>
      </c>
      <c r="H243" s="4" t="n">
        <f aca="false">+G243+$S$148+$S$150+$S$152+$S$154+$S$156+$S$158</f>
        <v>1042.423</v>
      </c>
      <c r="I243" s="25" t="n">
        <f aca="false">+(H243/H242-1)/(F243-F242)*30</f>
        <v>0.00638692596898953</v>
      </c>
      <c r="J243" s="18" t="n">
        <f aca="false">+J242*(1+I243)</f>
        <v>104.158081194049</v>
      </c>
      <c r="K243" s="3" t="n">
        <v>6250.6982</v>
      </c>
      <c r="L243" s="25" t="n">
        <f aca="false">+(K243/K242-1)/(F243-F242)*30</f>
        <v>0.00277276908820515</v>
      </c>
      <c r="M243" s="19" t="n">
        <f aca="false">+M242*(1+L243)</f>
        <v>109.855077967093</v>
      </c>
    </row>
    <row r="244" customFormat="false" ht="15" hidden="false" customHeight="false" outlineLevel="0" collapsed="false">
      <c r="A244" s="17" t="n">
        <v>45991</v>
      </c>
      <c r="B244" s="3" t="n">
        <v>25928.49</v>
      </c>
      <c r="C244" s="25" t="n">
        <f aca="false">(B244/B243-1)/(A244-A243)*30</f>
        <v>0.00383243965233548</v>
      </c>
      <c r="D244" s="19" t="n">
        <f aca="false">+D243*(1+C244)</f>
        <v>113.856403996233</v>
      </c>
      <c r="F244" s="17" t="n">
        <v>45991</v>
      </c>
      <c r="G244" s="4" t="n">
        <v>1048.4497</v>
      </c>
      <c r="H244" s="4" t="n">
        <f aca="false">+G244+$S$148+$S$150+$S$152+$S$154+$S$156+$S$158</f>
        <v>1048.4497</v>
      </c>
      <c r="I244" s="25" t="n">
        <f aca="false">+(H244/H243-1)/(F244-F243)*30</f>
        <v>0.00578143421624411</v>
      </c>
      <c r="J244" s="18" t="n">
        <f aca="false">+J243*(1+I244)</f>
        <v>104.760264288562</v>
      </c>
      <c r="K244" s="3" t="n">
        <v>6268.169</v>
      </c>
      <c r="L244" s="25" t="n">
        <f aca="false">+(K244/K243-1)/(F244-F243)*30</f>
        <v>0.00279501576319907</v>
      </c>
      <c r="M244" s="19" t="n">
        <f aca="false">+M243*(1+L244)</f>
        <v>110.162124641678</v>
      </c>
    </row>
    <row r="245" customFormat="false" ht="15" hidden="false" customHeight="false" outlineLevel="0" collapsed="false">
      <c r="A245" s="17" t="n">
        <v>46022</v>
      </c>
      <c r="B245" s="3" t="n">
        <v>26035.82</v>
      </c>
      <c r="C245" s="25" t="n">
        <f aca="false">(B245/B244-1)/(A245-A244)*30</f>
        <v>0.00400593100236385</v>
      </c>
      <c r="D245" s="19" t="n">
        <f aca="false">+D244*(1+C245)</f>
        <v>114.312504894819</v>
      </c>
      <c r="F245" s="17" t="n">
        <v>46022</v>
      </c>
      <c r="G245" s="68" t="n">
        <v>1055.3872</v>
      </c>
      <c r="H245" s="4" t="n">
        <f aca="false">+G245+$S$148+$S$150+$S$152+$S$154+$S$156+$S$158</f>
        <v>1055.3872</v>
      </c>
      <c r="I245" s="25" t="n">
        <f aca="false">+(H245/H244-1)/(F245-F244)*30</f>
        <v>0.00640346377839532</v>
      </c>
      <c r="J245" s="18" t="n">
        <f aca="false">+J244*(1+I245)</f>
        <v>105.431092846349</v>
      </c>
      <c r="K245" s="3" t="n">
        <v>6285.9566</v>
      </c>
      <c r="L245" s="25" t="n">
        <f aca="false">+(K245/K244-1)/(F245-F244)*30</f>
        <v>0.00274622564446067</v>
      </c>
      <c r="M245" s="19" t="n">
        <f aca="false">+M244*(1+L245)</f>
        <v>110.464654693417</v>
      </c>
    </row>
    <row r="246" customFormat="false" ht="15" hidden="false" customHeight="false" outlineLevel="0" collapsed="false">
      <c r="A246" s="17" t="n">
        <v>46053</v>
      </c>
      <c r="B246" s="3" t="n">
        <v>26136.9</v>
      </c>
      <c r="C246" s="25" t="n">
        <f aca="false">(B246/B245-1)/(A246-A245)*30</f>
        <v>0.00375710674135526</v>
      </c>
      <c r="D246" s="19" t="n">
        <f aca="false">+D245*(1+C246)</f>
        <v>114.741989177581</v>
      </c>
      <c r="F246" s="17" t="n">
        <v>46053</v>
      </c>
      <c r="G246" s="68" t="n">
        <v>1061.8231</v>
      </c>
      <c r="H246" s="4" t="n">
        <f aca="false">+G246+$S$148+$S$150+$S$152+$S$154+$S$156+$S$158</f>
        <v>1061.8231</v>
      </c>
      <c r="I246" s="25" t="n">
        <f aca="false">+(H246/H245-1)/(F246-F245)*30</f>
        <v>0.00590142681527773</v>
      </c>
      <c r="J246" s="18" t="n">
        <f aca="false">+J245*(1+I246)</f>
        <v>106.053286724837</v>
      </c>
      <c r="K246" s="3" t="n">
        <v>6303.0823</v>
      </c>
      <c r="L246" s="25" t="n">
        <f aca="false">+(K246/K245-1)/(F246-F245)*30</f>
        <v>0.00263655305296194</v>
      </c>
      <c r="M246" s="19" t="n">
        <f aca="false">+M245*(1+L246)</f>
        <v>110.755900615994</v>
      </c>
    </row>
    <row r="247" customFormat="false" ht="15" hidden="false" customHeight="false" outlineLevel="0" collapsed="false">
      <c r="A247" s="69" t="n">
        <v>46081</v>
      </c>
      <c r="B247" s="70" t="n">
        <v>26231.81</v>
      </c>
      <c r="C247" s="25" t="n">
        <f aca="false">(B247/B246-1)/(A247-A246)*30</f>
        <v>0.00389064065418173</v>
      </c>
      <c r="D247" s="19" t="n">
        <f aca="false">+D246*(1+C247)</f>
        <v>115.188409025417</v>
      </c>
      <c r="F247" s="69" t="n">
        <v>46081</v>
      </c>
      <c r="G247" s="68" t="n">
        <v>1067.7792</v>
      </c>
      <c r="H247" s="4" t="n">
        <f aca="false">+G247+$S$148+$S$150+$S$152+$S$154+$S$156+$S$158</f>
        <v>1067.7792</v>
      </c>
      <c r="I247" s="25" t="n">
        <f aca="false">+(H247/H246-1)/(F247-F246)*30</f>
        <v>0.00600998011277554</v>
      </c>
      <c r="J247" s="18" t="n">
        <f aca="false">+J246*(1+I247)</f>
        <v>106.690664868948</v>
      </c>
      <c r="K247" s="71" t="n">
        <v>6318.4947</v>
      </c>
      <c r="L247" s="25" t="n">
        <f aca="false">+(K247/K246-1)/(F247-F246)*30</f>
        <v>0.00261987467850238</v>
      </c>
      <c r="M247" s="19" t="n">
        <f aca="false">+M246*(1+L247)</f>
        <v>111.046067195512</v>
      </c>
    </row>
    <row r="248" customFormat="false" ht="15" hidden="false" customHeight="false" outlineLevel="0" collapsed="false">
      <c r="A248" s="69" t="n">
        <v>46112</v>
      </c>
      <c r="B248" s="70" t="n">
        <v>26333.64</v>
      </c>
      <c r="C248" s="25" t="n">
        <f aca="false">(B248/B247-1)/(A248-A247)*30</f>
        <v>0.00375670459988545</v>
      </c>
      <c r="D248" s="19" t="n">
        <f aca="false">+D247*(1+C248)</f>
        <v>115.621137851456</v>
      </c>
      <c r="F248" s="69" t="n">
        <v>46112</v>
      </c>
      <c r="G248" s="72" t="n">
        <v>1074.2224</v>
      </c>
      <c r="H248" s="4" t="n">
        <f aca="false">+G248+$S$148+$S$150+$S$152+$S$154+$S$156+$S$158</f>
        <v>1074.2224</v>
      </c>
      <c r="I248" s="25" t="n">
        <f aca="false">+(H248/H247-1)/(F248-F247)*30</f>
        <v>0.00583955450594069</v>
      </c>
      <c r="J248" s="18" t="n">
        <f aca="false">+J247*(1+I248)</f>
        <v>107.313690821725</v>
      </c>
      <c r="K248" s="73" t="n">
        <v>6335.4774</v>
      </c>
      <c r="L248" s="25" t="n">
        <f aca="false">+(K248/K247-1)/(F248-F247)*30</f>
        <v>0.00260107379179124</v>
      </c>
      <c r="M248" s="19" t="n">
        <f aca="false">+M247*(1+L248)</f>
        <v>111.334906210576</v>
      </c>
    </row>
    <row r="249" customFormat="false" ht="15" hidden="false" customHeight="false" outlineLevel="0" collapsed="false">
      <c r="A249" s="17" t="n">
        <v>46142</v>
      </c>
      <c r="B249" s="3" t="n">
        <v>19916.8502383877</v>
      </c>
      <c r="C249" s="25" t="n">
        <f aca="false">(B249/B248-1)/(A249-A248)*30</f>
        <v>-0.243672722859896</v>
      </c>
      <c r="D249" s="19" t="n">
        <f aca="false">+D248*(1+C249)</f>
        <v>87.4474203710322</v>
      </c>
      <c r="F249" s="17" t="n">
        <v>46142</v>
      </c>
      <c r="G249" s="74" t="n">
        <v>1080.4574</v>
      </c>
      <c r="H249" s="4" t="n">
        <f aca="false">+G249+$S$148+$S$150+$S$152+$S$154+$S$156+$S$158</f>
        <v>1080.4574</v>
      </c>
      <c r="I249" s="25" t="n">
        <f aca="false">+(H249/H248-1)/(F249-F248)*30</f>
        <v>0.00580419846020708</v>
      </c>
      <c r="J249" s="18" t="n">
        <f aca="false">+J248*(1+I249)</f>
        <v>107.936560780751</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D1" colorId="64" zoomScale="80" zoomScaleNormal="80" zoomScalePageLayoutView="100" workbookViewId="0">
      <selection pane="topLeft" activeCell="E39" activeCellId="0" sqref="E39"/>
    </sheetView>
  </sheetViews>
  <sheetFormatPr defaultColWidth="11.42578125" defaultRowHeight="15" zeroHeight="false" outlineLevelRow="0" outlineLevelCol="0"/>
  <cols>
    <col collapsed="false" customWidth="true" hidden="false" outlineLevel="0" max="3" min="3" style="75" width="6.29"/>
    <col collapsed="false" customWidth="true" hidden="false" outlineLevel="0" max="4" min="4" style="0" width="27.15"/>
    <col collapsed="false" customWidth="true" hidden="false" outlineLevel="0" max="16" min="5" style="0" width="7.42"/>
    <col collapsed="false" customWidth="true" hidden="false" outlineLevel="0" max="17" min="17" style="0" width="8.71"/>
    <col collapsed="false" customWidth="true" hidden="false" outlineLevel="0" max="19" min="19" style="0" width="27.71"/>
    <col collapsed="false" customWidth="true" hidden="false" outlineLevel="0" max="20" min="20" style="0" width="7.86"/>
    <col collapsed="false" customWidth="true" hidden="false" outlineLevel="0" max="21" min="21" style="0" width="9.71"/>
    <col collapsed="false" customWidth="true" hidden="false" outlineLevel="0" max="22" min="22" style="0" width="9.57"/>
    <col collapsed="false" customWidth="true" hidden="false" outlineLevel="0" max="23" min="23" style="0" width="7.42"/>
    <col collapsed="false" customWidth="true" hidden="false" outlineLevel="0" max="24" min="24" style="0" width="11"/>
  </cols>
  <sheetData>
    <row r="1" customFormat="false" ht="15" hidden="false" customHeight="false" outlineLevel="0" collapsed="false">
      <c r="S1" s="76" t="s">
        <v>31</v>
      </c>
      <c r="T1" s="77" t="s">
        <v>32</v>
      </c>
      <c r="U1" s="77" t="s">
        <v>33</v>
      </c>
      <c r="V1" s="77" t="s">
        <v>34</v>
      </c>
      <c r="W1" s="77" t="s">
        <v>35</v>
      </c>
      <c r="X1" s="78" t="str">
        <f aca="false">+'Datos ICP (2)'!BB28</f>
        <v>Acum. 2025</v>
      </c>
    </row>
    <row r="2" customFormat="false" ht="15" hidden="false" customHeight="false" outlineLevel="0" collapsed="false">
      <c r="S2" s="79" t="s">
        <v>47</v>
      </c>
      <c r="T2" s="80" t="n">
        <f aca="false">+'Datos ICP (2)'!AX29</f>
        <v>-0.243672722859896</v>
      </c>
      <c r="U2" s="80" t="n">
        <f aca="false">+'Datos ICP (2)'!AY29</f>
        <v>-0.237979628862347</v>
      </c>
      <c r="V2" s="80" t="n">
        <f aca="false">+'Datos ICP (2)'!AZ29</f>
        <v>-0.228910732364632</v>
      </c>
      <c r="W2" s="80" t="n">
        <f aca="false">+'Datos ICP (2)'!BA29</f>
        <v>-0.209569757039683</v>
      </c>
      <c r="X2" s="80" t="n">
        <f aca="false">+'Datos ICP (2)'!BB29</f>
        <v>-0.71393888658704</v>
      </c>
    </row>
    <row r="3" customFormat="false" ht="15" hidden="false" customHeight="false" outlineLevel="0" collapsed="false">
      <c r="S3" s="79" t="s">
        <v>26</v>
      </c>
      <c r="T3" s="80" t="n">
        <f aca="false">+'Datos ICP (2)'!AX30</f>
        <v>-1</v>
      </c>
      <c r="U3" s="80" t="n">
        <f aca="false">+'Datos ICP (2)'!AY30</f>
        <v>-1</v>
      </c>
      <c r="V3" s="80" t="n">
        <f aca="false">+'Datos ICP (2)'!AZ30</f>
        <v>-1</v>
      </c>
      <c r="W3" s="80" t="n">
        <f aca="false">+'Datos ICP (2)'!BA30</f>
        <v>-1</v>
      </c>
      <c r="X3" s="80" t="n">
        <f aca="false">+'Datos ICP (2)'!BB30</f>
        <v>-3</v>
      </c>
    </row>
    <row r="4" customFormat="false" ht="15" hidden="false" customHeight="false" outlineLevel="0" collapsed="false">
      <c r="S4" s="81" t="s">
        <v>38</v>
      </c>
      <c r="T4" s="80" t="n">
        <f aca="false">+'Datos ICP (2)'!AX31</f>
        <v>0.00580419846020708</v>
      </c>
      <c r="U4" s="80" t="n">
        <f aca="false">'Datos ICP (2)'!AY31</f>
        <v>0.017549345083941</v>
      </c>
      <c r="V4" s="80" t="n">
        <f aca="false">+'Datos ICP (2)'!AZ31</f>
        <v>0.0364865318589478</v>
      </c>
      <c r="W4" s="80" t="n">
        <f aca="false">+'Datos ICP (2)'!BA31</f>
        <v>0.0761296370516331</v>
      </c>
      <c r="X4" s="80" t="n">
        <f aca="false">+'Datos ICP (2)'!BB31</f>
        <v>0.0535401604264298</v>
      </c>
    </row>
    <row r="5" customFormat="false" ht="15" hidden="false" customHeight="false" outlineLevel="0" collapsed="false">
      <c r="B5" s="82"/>
      <c r="C5" s="83"/>
      <c r="D5" s="82"/>
      <c r="E5" s="82"/>
      <c r="F5" s="82"/>
      <c r="G5" s="82"/>
      <c r="H5" s="82"/>
      <c r="I5" s="82"/>
      <c r="J5" s="82"/>
      <c r="K5" s="82"/>
      <c r="L5" s="82"/>
      <c r="M5" s="82"/>
      <c r="N5" s="82"/>
      <c r="O5" s="82"/>
      <c r="P5" s="82"/>
      <c r="Q5" s="82"/>
      <c r="R5" s="82"/>
    </row>
    <row r="6" customFormat="false" ht="31.5" hidden="false" customHeight="true" outlineLevel="0" collapsed="false">
      <c r="B6" s="82"/>
      <c r="C6" s="84" t="s">
        <v>39</v>
      </c>
      <c r="D6" s="85" t="s">
        <v>40</v>
      </c>
      <c r="E6" s="86" t="s">
        <v>4</v>
      </c>
      <c r="F6" s="86" t="s">
        <v>5</v>
      </c>
      <c r="G6" s="86" t="s">
        <v>6</v>
      </c>
      <c r="H6" s="86" t="s">
        <v>7</v>
      </c>
      <c r="I6" s="86" t="s">
        <v>8</v>
      </c>
      <c r="J6" s="86" t="s">
        <v>9</v>
      </c>
      <c r="K6" s="86" t="s">
        <v>10</v>
      </c>
      <c r="L6" s="86" t="s">
        <v>11</v>
      </c>
      <c r="M6" s="86" t="s">
        <v>12</v>
      </c>
      <c r="N6" s="86" t="s">
        <v>13</v>
      </c>
      <c r="O6" s="86" t="s">
        <v>14</v>
      </c>
      <c r="P6" s="86" t="s">
        <v>15</v>
      </c>
      <c r="Q6" s="87" t="s">
        <v>48</v>
      </c>
      <c r="R6" s="88"/>
    </row>
    <row r="7" customFormat="false" ht="9" hidden="false" customHeight="true" outlineLevel="0" collapsed="false">
      <c r="B7" s="82"/>
      <c r="C7" s="83"/>
      <c r="D7" s="82"/>
      <c r="E7" s="89"/>
      <c r="F7" s="89"/>
      <c r="G7" s="89"/>
      <c r="H7" s="89"/>
      <c r="I7" s="89"/>
      <c r="J7" s="89"/>
      <c r="K7" s="89"/>
      <c r="L7" s="89"/>
      <c r="M7" s="89"/>
      <c r="N7" s="89"/>
      <c r="O7" s="89"/>
      <c r="P7" s="89"/>
      <c r="Q7" s="89"/>
      <c r="R7" s="90"/>
    </row>
    <row r="8" customFormat="false" ht="16.5" hidden="true" customHeight="true" outlineLevel="0" collapsed="false">
      <c r="B8" s="82"/>
      <c r="C8" s="91" t="n">
        <v>2013</v>
      </c>
      <c r="D8" s="81" t="s">
        <v>3</v>
      </c>
      <c r="E8" s="89"/>
      <c r="F8" s="89"/>
      <c r="G8" s="89"/>
      <c r="H8" s="89"/>
      <c r="I8" s="89"/>
      <c r="J8" s="89"/>
      <c r="K8" s="89"/>
      <c r="L8" s="89"/>
      <c r="M8" s="89"/>
      <c r="N8" s="89"/>
      <c r="O8" s="89"/>
      <c r="P8" s="89"/>
      <c r="Q8" s="89"/>
      <c r="R8" s="82"/>
    </row>
    <row r="9" customFormat="false" ht="16.5" hidden="true" customHeight="true" outlineLevel="0" collapsed="false">
      <c r="B9" s="82"/>
      <c r="C9" s="91" t="n">
        <v>2014</v>
      </c>
      <c r="D9" s="81" t="s">
        <v>3</v>
      </c>
      <c r="E9" s="89"/>
      <c r="F9" s="89"/>
      <c r="G9" s="89"/>
      <c r="H9" s="89"/>
      <c r="I9" s="89"/>
      <c r="J9" s="89"/>
      <c r="K9" s="89"/>
      <c r="L9" s="89"/>
      <c r="M9" s="89"/>
      <c r="N9" s="89"/>
      <c r="O9" s="89"/>
      <c r="P9" s="89"/>
      <c r="Q9" s="89"/>
      <c r="R9" s="82"/>
    </row>
    <row r="10" customFormat="false" ht="16.5" hidden="true" customHeight="true" outlineLevel="0" collapsed="false">
      <c r="B10" s="82"/>
      <c r="C10" s="91" t="n">
        <v>2015</v>
      </c>
      <c r="D10" s="81" t="s">
        <v>3</v>
      </c>
      <c r="E10" s="89"/>
      <c r="F10" s="89"/>
      <c r="G10" s="89"/>
      <c r="H10" s="89"/>
      <c r="I10" s="89"/>
      <c r="J10" s="89"/>
      <c r="K10" s="89"/>
      <c r="L10" s="89"/>
      <c r="M10" s="89"/>
      <c r="N10" s="89"/>
      <c r="O10" s="89"/>
      <c r="P10" s="89"/>
      <c r="Q10" s="89"/>
      <c r="R10" s="82"/>
    </row>
    <row r="11" customFormat="false" ht="16.5" hidden="true" customHeight="true" outlineLevel="0" collapsed="false">
      <c r="B11" s="82"/>
      <c r="C11" s="91" t="n">
        <v>2016</v>
      </c>
      <c r="D11" s="81" t="s">
        <v>3</v>
      </c>
      <c r="E11" s="89"/>
      <c r="F11" s="89"/>
      <c r="G11" s="89"/>
      <c r="H11" s="89"/>
      <c r="I11" s="89"/>
      <c r="J11" s="89"/>
      <c r="K11" s="89"/>
      <c r="L11" s="89"/>
      <c r="M11" s="89"/>
      <c r="N11" s="89"/>
      <c r="O11" s="89"/>
      <c r="P11" s="89"/>
      <c r="Q11" s="89"/>
      <c r="R11" s="82"/>
    </row>
    <row r="12" customFormat="false" ht="16.5" hidden="true" customHeight="true" outlineLevel="0" collapsed="false">
      <c r="B12" s="82"/>
      <c r="C12" s="91" t="n">
        <v>2017</v>
      </c>
      <c r="D12" s="81" t="s">
        <v>3</v>
      </c>
      <c r="E12" s="89"/>
      <c r="F12" s="89"/>
      <c r="G12" s="89"/>
      <c r="H12" s="89"/>
      <c r="I12" s="89"/>
      <c r="J12" s="89"/>
      <c r="K12" s="89"/>
      <c r="L12" s="89"/>
      <c r="M12" s="89"/>
      <c r="N12" s="89"/>
      <c r="O12" s="89"/>
      <c r="P12" s="89"/>
      <c r="Q12" s="89"/>
      <c r="R12" s="82"/>
    </row>
    <row r="13" customFormat="false" ht="16.5" hidden="true" customHeight="true" outlineLevel="0" collapsed="false">
      <c r="B13" s="82"/>
      <c r="C13" s="91"/>
      <c r="D13" s="81" t="s">
        <v>26</v>
      </c>
      <c r="E13" s="89"/>
      <c r="F13" s="89"/>
      <c r="G13" s="89"/>
      <c r="H13" s="89"/>
      <c r="I13" s="89"/>
      <c r="J13" s="89"/>
      <c r="K13" s="89"/>
      <c r="L13" s="89"/>
      <c r="M13" s="89"/>
      <c r="N13" s="89"/>
      <c r="O13" s="89"/>
      <c r="P13" s="89"/>
      <c r="Q13" s="89"/>
      <c r="R13" s="82"/>
    </row>
    <row r="14" customFormat="false" ht="16.5" hidden="true" customHeight="true" outlineLevel="0" collapsed="false">
      <c r="B14" s="82"/>
      <c r="C14" s="91"/>
      <c r="D14" s="81" t="s">
        <v>49</v>
      </c>
      <c r="E14" s="89"/>
      <c r="F14" s="89"/>
      <c r="G14" s="89"/>
      <c r="H14" s="89"/>
      <c r="I14" s="89"/>
      <c r="J14" s="89"/>
      <c r="K14" s="89"/>
      <c r="L14" s="89"/>
      <c r="M14" s="89"/>
      <c r="N14" s="89"/>
      <c r="O14" s="89"/>
      <c r="P14" s="89"/>
      <c r="Q14" s="89"/>
      <c r="R14" s="82"/>
    </row>
    <row r="15" customFormat="false" ht="16.5" hidden="true" customHeight="true" outlineLevel="0" collapsed="false">
      <c r="B15" s="82"/>
      <c r="C15" s="91" t="n">
        <v>2018</v>
      </c>
      <c r="D15" s="81" t="s">
        <v>3</v>
      </c>
      <c r="E15" s="89"/>
      <c r="F15" s="89"/>
      <c r="G15" s="89"/>
      <c r="H15" s="89"/>
      <c r="I15" s="89"/>
      <c r="J15" s="89"/>
      <c r="K15" s="89"/>
      <c r="L15" s="89"/>
      <c r="M15" s="89"/>
      <c r="N15" s="89"/>
      <c r="O15" s="89"/>
      <c r="P15" s="89"/>
      <c r="Q15" s="89"/>
      <c r="R15" s="82"/>
    </row>
    <row r="16" customFormat="false" ht="16.5" hidden="true" customHeight="true" outlineLevel="0" collapsed="false">
      <c r="B16" s="82"/>
      <c r="C16" s="91"/>
      <c r="D16" s="81" t="s">
        <v>26</v>
      </c>
      <c r="E16" s="89"/>
      <c r="F16" s="89"/>
      <c r="G16" s="89"/>
      <c r="H16" s="89"/>
      <c r="I16" s="89"/>
      <c r="J16" s="89"/>
      <c r="K16" s="89"/>
      <c r="L16" s="89"/>
      <c r="M16" s="89"/>
      <c r="N16" s="89"/>
      <c r="O16" s="89"/>
      <c r="P16" s="89"/>
      <c r="Q16" s="89"/>
      <c r="R16" s="82"/>
    </row>
    <row r="17" customFormat="false" ht="16.5" hidden="true" customHeight="true" outlineLevel="0" collapsed="false">
      <c r="B17" s="82"/>
      <c r="C17" s="91"/>
      <c r="D17" s="81" t="s">
        <v>49</v>
      </c>
      <c r="E17" s="89"/>
      <c r="F17" s="89"/>
      <c r="G17" s="89"/>
      <c r="H17" s="89"/>
      <c r="I17" s="89"/>
      <c r="J17" s="89"/>
      <c r="K17" s="89"/>
      <c r="L17" s="89"/>
      <c r="M17" s="89"/>
      <c r="N17" s="89"/>
      <c r="O17" s="89"/>
      <c r="P17" s="89"/>
      <c r="Q17" s="89"/>
      <c r="R17" s="82"/>
    </row>
    <row r="18" customFormat="false" ht="16.5" hidden="true" customHeight="true" outlineLevel="0" collapsed="false">
      <c r="B18" s="82"/>
      <c r="C18" s="91" t="n">
        <v>2019</v>
      </c>
      <c r="D18" s="81" t="s">
        <v>3</v>
      </c>
      <c r="E18" s="89"/>
      <c r="F18" s="89"/>
      <c r="G18" s="89"/>
      <c r="H18" s="89"/>
      <c r="I18" s="89"/>
      <c r="J18" s="89"/>
      <c r="K18" s="89"/>
      <c r="L18" s="89"/>
      <c r="M18" s="89"/>
      <c r="N18" s="89"/>
      <c r="O18" s="89"/>
      <c r="P18" s="89"/>
      <c r="Q18" s="89"/>
      <c r="R18" s="82"/>
    </row>
    <row r="19" customFormat="false" ht="16.5" hidden="true" customHeight="true" outlineLevel="0" collapsed="false">
      <c r="B19" s="82"/>
      <c r="C19" s="91"/>
      <c r="D19" s="81" t="s">
        <v>26</v>
      </c>
      <c r="E19" s="89"/>
      <c r="F19" s="89"/>
      <c r="G19" s="89"/>
      <c r="H19" s="89"/>
      <c r="I19" s="89"/>
      <c r="J19" s="89"/>
      <c r="K19" s="89"/>
      <c r="L19" s="89"/>
      <c r="M19" s="89"/>
      <c r="N19" s="89"/>
      <c r="O19" s="89"/>
      <c r="P19" s="89"/>
      <c r="Q19" s="89"/>
      <c r="R19" s="82"/>
    </row>
    <row r="20" customFormat="false" ht="16.5" hidden="true" customHeight="true" outlineLevel="0" collapsed="false">
      <c r="B20" s="82"/>
      <c r="C20" s="91"/>
      <c r="D20" s="81" t="s">
        <v>49</v>
      </c>
      <c r="E20" s="89"/>
      <c r="F20" s="89"/>
      <c r="G20" s="89"/>
      <c r="H20" s="89"/>
      <c r="I20" s="89"/>
      <c r="J20" s="89"/>
      <c r="K20" s="89"/>
      <c r="L20" s="89"/>
      <c r="M20" s="89"/>
      <c r="N20" s="89"/>
      <c r="O20" s="89"/>
      <c r="P20" s="89"/>
      <c r="Q20" s="89"/>
      <c r="R20" s="82"/>
    </row>
    <row r="21" customFormat="false" ht="16.5" hidden="true" customHeight="true" outlineLevel="0" collapsed="false">
      <c r="B21" s="82"/>
      <c r="C21" s="91" t="n">
        <v>2020</v>
      </c>
      <c r="D21" s="81" t="s">
        <v>3</v>
      </c>
      <c r="E21" s="89"/>
      <c r="F21" s="89"/>
      <c r="G21" s="89"/>
      <c r="H21" s="89"/>
      <c r="I21" s="89"/>
      <c r="J21" s="89"/>
      <c r="K21" s="89"/>
      <c r="L21" s="89"/>
      <c r="M21" s="89"/>
      <c r="N21" s="89"/>
      <c r="O21" s="89"/>
      <c r="P21" s="89"/>
      <c r="Q21" s="89"/>
      <c r="R21" s="82"/>
    </row>
    <row r="22" customFormat="false" ht="16.5" hidden="true" customHeight="true" outlineLevel="0" collapsed="false">
      <c r="B22" s="82"/>
      <c r="C22" s="91"/>
      <c r="D22" s="81" t="s">
        <v>26</v>
      </c>
      <c r="E22" s="89"/>
      <c r="F22" s="89"/>
      <c r="G22" s="89"/>
      <c r="H22" s="89"/>
      <c r="I22" s="89"/>
      <c r="J22" s="89"/>
      <c r="K22" s="89"/>
      <c r="L22" s="89"/>
      <c r="M22" s="89"/>
      <c r="N22" s="89"/>
      <c r="O22" s="89"/>
      <c r="P22" s="89"/>
      <c r="Q22" s="89"/>
      <c r="R22" s="82"/>
    </row>
    <row r="23" customFormat="false" ht="16.5" hidden="true" customHeight="true" outlineLevel="0" collapsed="false">
      <c r="B23" s="82"/>
      <c r="C23" s="91"/>
      <c r="D23" s="81" t="s">
        <v>49</v>
      </c>
      <c r="E23" s="89"/>
      <c r="F23" s="89"/>
      <c r="G23" s="89"/>
      <c r="H23" s="89"/>
      <c r="I23" s="89"/>
      <c r="J23" s="89"/>
      <c r="K23" s="89"/>
      <c r="L23" s="89"/>
      <c r="M23" s="89"/>
      <c r="N23" s="89"/>
      <c r="O23" s="89"/>
      <c r="P23" s="89"/>
      <c r="Q23" s="89"/>
      <c r="R23" s="82"/>
    </row>
    <row r="24" customFormat="false" ht="16.5" hidden="true" customHeight="true" outlineLevel="0" collapsed="false">
      <c r="B24" s="82"/>
      <c r="C24" s="91" t="n">
        <v>2021</v>
      </c>
      <c r="D24" s="81" t="s">
        <v>3</v>
      </c>
      <c r="E24" s="89"/>
      <c r="F24" s="89"/>
      <c r="G24" s="89"/>
      <c r="H24" s="89"/>
      <c r="I24" s="89"/>
      <c r="J24" s="89"/>
      <c r="K24" s="89"/>
      <c r="L24" s="89"/>
      <c r="M24" s="89"/>
      <c r="N24" s="89"/>
      <c r="O24" s="89"/>
      <c r="P24" s="89"/>
      <c r="Q24" s="89"/>
      <c r="R24" s="82"/>
    </row>
    <row r="25" customFormat="false" ht="16.5" hidden="true" customHeight="true" outlineLevel="0" collapsed="false">
      <c r="B25" s="82"/>
      <c r="C25" s="91"/>
      <c r="D25" s="81" t="s">
        <v>26</v>
      </c>
      <c r="E25" s="89"/>
      <c r="F25" s="89"/>
      <c r="G25" s="89"/>
      <c r="H25" s="89"/>
      <c r="I25" s="89"/>
      <c r="J25" s="89"/>
      <c r="K25" s="89"/>
      <c r="L25" s="89"/>
      <c r="M25" s="89"/>
      <c r="N25" s="89"/>
      <c r="O25" s="89"/>
      <c r="P25" s="89"/>
      <c r="Q25" s="89"/>
      <c r="R25" s="82"/>
    </row>
    <row r="26" customFormat="false" ht="16.5" hidden="true" customHeight="true" outlineLevel="0" collapsed="false">
      <c r="B26" s="82"/>
      <c r="C26" s="91"/>
      <c r="D26" s="81" t="s">
        <v>49</v>
      </c>
      <c r="E26" s="89"/>
      <c r="F26" s="89"/>
      <c r="G26" s="89"/>
      <c r="H26" s="89"/>
      <c r="I26" s="89"/>
      <c r="J26" s="89"/>
      <c r="K26" s="89"/>
      <c r="L26" s="89"/>
      <c r="M26" s="89"/>
      <c r="N26" s="89"/>
      <c r="O26" s="89"/>
      <c r="P26" s="89"/>
      <c r="Q26" s="89"/>
      <c r="R26" s="82"/>
    </row>
    <row r="27" customFormat="false" ht="16.5" hidden="true" customHeight="true" outlineLevel="0" collapsed="false">
      <c r="B27" s="82"/>
      <c r="C27" s="91" t="n">
        <v>2022</v>
      </c>
      <c r="D27" s="81" t="s">
        <v>3</v>
      </c>
      <c r="E27" s="89"/>
      <c r="F27" s="89"/>
      <c r="G27" s="89"/>
      <c r="H27" s="89"/>
      <c r="I27" s="89"/>
      <c r="J27" s="89"/>
      <c r="K27" s="89"/>
      <c r="L27" s="89"/>
      <c r="M27" s="89"/>
      <c r="N27" s="89"/>
      <c r="O27" s="89"/>
      <c r="P27" s="89"/>
      <c r="Q27" s="89"/>
      <c r="R27" s="82"/>
    </row>
    <row r="28" customFormat="false" ht="16.5" hidden="true" customHeight="true" outlineLevel="0" collapsed="false">
      <c r="B28" s="82"/>
      <c r="C28" s="91"/>
      <c r="D28" s="81" t="s">
        <v>26</v>
      </c>
      <c r="E28" s="89"/>
      <c r="F28" s="89"/>
      <c r="G28" s="89"/>
      <c r="H28" s="89"/>
      <c r="I28" s="89"/>
      <c r="J28" s="89"/>
      <c r="K28" s="89"/>
      <c r="L28" s="89"/>
      <c r="M28" s="89"/>
      <c r="N28" s="89"/>
      <c r="O28" s="89"/>
      <c r="P28" s="89"/>
      <c r="Q28" s="89"/>
      <c r="R28" s="82"/>
    </row>
    <row r="29" customFormat="false" ht="16.5" hidden="true" customHeight="true" outlineLevel="0" collapsed="false">
      <c r="B29" s="82"/>
      <c r="C29" s="91"/>
      <c r="D29" s="81" t="s">
        <v>49</v>
      </c>
      <c r="E29" s="89"/>
      <c r="F29" s="89"/>
      <c r="G29" s="89"/>
      <c r="H29" s="89"/>
      <c r="I29" s="89"/>
      <c r="J29" s="89"/>
      <c r="K29" s="89"/>
      <c r="L29" s="89"/>
      <c r="M29" s="89"/>
      <c r="N29" s="89"/>
      <c r="O29" s="89"/>
      <c r="P29" s="89"/>
      <c r="Q29" s="89"/>
      <c r="R29" s="82"/>
    </row>
    <row r="30" customFormat="false" ht="16.5" hidden="true" customHeight="true" outlineLevel="0" collapsed="false">
      <c r="B30" s="82"/>
      <c r="C30" s="91" t="n">
        <v>2023</v>
      </c>
      <c r="D30" s="81" t="s">
        <v>3</v>
      </c>
      <c r="E30" s="89"/>
      <c r="F30" s="89"/>
      <c r="G30" s="89"/>
      <c r="H30" s="89"/>
      <c r="I30" s="89"/>
      <c r="J30" s="89"/>
      <c r="K30" s="89"/>
      <c r="L30" s="89"/>
      <c r="M30" s="89" t="n">
        <f aca="false">+'Datos ICP (2)'!AM77</f>
        <v>0</v>
      </c>
      <c r="N30" s="89" t="n">
        <f aca="false">+'Datos ICP (2)'!AN77</f>
        <v>0</v>
      </c>
      <c r="O30" s="89" t="n">
        <f aca="false">+'Datos ICP (2)'!AO77</f>
        <v>0</v>
      </c>
      <c r="P30" s="89" t="n">
        <f aca="false">+'Datos ICP (2)'!AP77</f>
        <v>0</v>
      </c>
      <c r="Q30" s="89" t="n">
        <f aca="false">+'Datos ICP (2)'!AQ77</f>
        <v>0</v>
      </c>
      <c r="R30" s="82"/>
    </row>
    <row r="31" customFormat="false" ht="16.5" hidden="true" customHeight="true" outlineLevel="0" collapsed="false">
      <c r="B31" s="82"/>
      <c r="C31" s="91"/>
      <c r="D31" s="81" t="s">
        <v>26</v>
      </c>
      <c r="E31" s="89"/>
      <c r="F31" s="89"/>
      <c r="G31" s="89"/>
      <c r="H31" s="89"/>
      <c r="I31" s="89"/>
      <c r="J31" s="89"/>
      <c r="K31" s="89"/>
      <c r="L31" s="89"/>
      <c r="M31" s="89" t="n">
        <f aca="false">+'Datos ICP (2)'!AM78</f>
        <v>0</v>
      </c>
      <c r="N31" s="89" t="n">
        <f aca="false">+'Datos ICP (2)'!AN78</f>
        <v>0</v>
      </c>
      <c r="O31" s="89" t="n">
        <f aca="false">+'Datos ICP (2)'!AO78</f>
        <v>0</v>
      </c>
      <c r="P31" s="89" t="n">
        <f aca="false">+'Datos ICP (2)'!AP78</f>
        <v>0</v>
      </c>
      <c r="Q31" s="89" t="n">
        <f aca="false">+'Datos ICP (2)'!AQ78</f>
        <v>0</v>
      </c>
      <c r="R31" s="82"/>
    </row>
    <row r="32" customFormat="false" ht="16.5" hidden="true" customHeight="true" outlineLevel="0" collapsed="false">
      <c r="B32" s="82"/>
      <c r="C32" s="91"/>
      <c r="D32" s="81" t="s">
        <v>38</v>
      </c>
      <c r="E32" s="89"/>
      <c r="F32" s="89"/>
      <c r="G32" s="89"/>
      <c r="H32" s="89"/>
      <c r="I32" s="89"/>
      <c r="J32" s="89"/>
      <c r="K32" s="89"/>
      <c r="L32" s="89"/>
      <c r="M32" s="89" t="n">
        <f aca="false">+'Datos ICP (2)'!AM79</f>
        <v>0</v>
      </c>
      <c r="N32" s="89" t="n">
        <f aca="false">+'Datos ICP (2)'!AN79</f>
        <v>0</v>
      </c>
      <c r="O32" s="89" t="n">
        <f aca="false">+'Datos ICP (2)'!AO79</f>
        <v>0</v>
      </c>
      <c r="P32" s="89" t="n">
        <f aca="false">+'Datos ICP (2)'!AP79</f>
        <v>0</v>
      </c>
      <c r="Q32" s="89" t="n">
        <f aca="false">+'Datos ICP (2)'!AQ79</f>
        <v>0</v>
      </c>
      <c r="R32" s="82"/>
    </row>
    <row r="33" customFormat="false" ht="16.5" hidden="true" customHeight="true" outlineLevel="0" collapsed="false">
      <c r="B33" s="82"/>
      <c r="C33" s="91" t="n">
        <v>2024</v>
      </c>
      <c r="D33" s="81" t="s">
        <v>3</v>
      </c>
      <c r="E33" s="89" t="n">
        <f aca="false">+'Datos ICP (2)'!AE80</f>
        <v>0</v>
      </c>
      <c r="F33" s="89" t="n">
        <f aca="false">+'Datos ICP (2)'!AF80</f>
        <v>0</v>
      </c>
      <c r="G33" s="89" t="n">
        <f aca="false">+'Datos ICP (2)'!AG80</f>
        <v>0</v>
      </c>
      <c r="H33" s="89" t="n">
        <f aca="false">+'Datos ICP (2)'!AH80</f>
        <v>0</v>
      </c>
      <c r="I33" s="89" t="n">
        <f aca="false">+'Datos ICP (2)'!AI80</f>
        <v>0</v>
      </c>
      <c r="J33" s="89" t="n">
        <f aca="false">+'Datos ICP (2)'!AJ80</f>
        <v>0</v>
      </c>
      <c r="K33" s="89" t="n">
        <f aca="false">+'Datos ICP (2)'!AK80</f>
        <v>0</v>
      </c>
      <c r="L33" s="89" t="n">
        <f aca="false">+'Datos ICP (2)'!AL80</f>
        <v>0</v>
      </c>
      <c r="M33" s="89" t="n">
        <f aca="false">+'Datos ICP (2)'!AM80</f>
        <v>0</v>
      </c>
      <c r="N33" s="89" t="n">
        <f aca="false">+'Datos ICP (2)'!AN80</f>
        <v>0</v>
      </c>
      <c r="O33" s="89" t="n">
        <f aca="false">+'Datos ICP (2)'!AO80</f>
        <v>0</v>
      </c>
      <c r="P33" s="89" t="n">
        <f aca="false">+'Datos ICP (2)'!AP80</f>
        <v>0</v>
      </c>
      <c r="Q33" s="89" t="n">
        <f aca="false">+'Datos ICP (2)'!AQ80</f>
        <v>0</v>
      </c>
      <c r="R33" s="82"/>
    </row>
    <row r="34" customFormat="false" ht="16.5" hidden="true" customHeight="true" outlineLevel="0" collapsed="false">
      <c r="B34" s="82"/>
      <c r="C34" s="91"/>
      <c r="D34" s="81" t="s">
        <v>26</v>
      </c>
      <c r="E34" s="89" t="n">
        <f aca="false">+'Datos ICP (2)'!AE81</f>
        <v>0</v>
      </c>
      <c r="F34" s="89" t="n">
        <f aca="false">+'Datos ICP (2)'!AF81</f>
        <v>0</v>
      </c>
      <c r="G34" s="89" t="n">
        <f aca="false">+'Datos ICP (2)'!AG81</f>
        <v>0</v>
      </c>
      <c r="H34" s="89" t="n">
        <f aca="false">+'Datos ICP (2)'!AH81</f>
        <v>0</v>
      </c>
      <c r="I34" s="89" t="n">
        <f aca="false">+'Datos ICP (2)'!AI81</f>
        <v>0</v>
      </c>
      <c r="J34" s="89" t="n">
        <f aca="false">+'Datos ICP (2)'!AJ81</f>
        <v>0</v>
      </c>
      <c r="K34" s="89" t="n">
        <f aca="false">+'Datos ICP (2)'!AK81</f>
        <v>0</v>
      </c>
      <c r="L34" s="89" t="n">
        <f aca="false">+'Datos ICP (2)'!AL81</f>
        <v>0</v>
      </c>
      <c r="M34" s="89" t="n">
        <f aca="false">+'Datos ICP (2)'!AM81</f>
        <v>0</v>
      </c>
      <c r="N34" s="89" t="n">
        <f aca="false">+'Datos ICP (2)'!AN81</f>
        <v>0</v>
      </c>
      <c r="O34" s="89" t="n">
        <f aca="false">+'Datos ICP (2)'!AO81</f>
        <v>0</v>
      </c>
      <c r="P34" s="89" t="n">
        <f aca="false">+'Datos ICP (2)'!AP81</f>
        <v>0</v>
      </c>
      <c r="Q34" s="89" t="n">
        <f aca="false">+'Datos ICP (2)'!AQ81</f>
        <v>0</v>
      </c>
      <c r="R34" s="82"/>
    </row>
    <row r="35" customFormat="false" ht="16.5" hidden="true" customHeight="true" outlineLevel="0" collapsed="false">
      <c r="B35" s="82"/>
      <c r="C35" s="91"/>
      <c r="D35" s="81" t="s">
        <v>38</v>
      </c>
      <c r="E35" s="89" t="n">
        <f aca="false">+'Datos ICP (2)'!AE82</f>
        <v>0</v>
      </c>
      <c r="F35" s="89" t="n">
        <f aca="false">+'Datos ICP (2)'!AF82</f>
        <v>0</v>
      </c>
      <c r="G35" s="89" t="n">
        <f aca="false">+'Datos ICP (2)'!AG82</f>
        <v>0</v>
      </c>
      <c r="H35" s="89" t="n">
        <f aca="false">+'Datos ICP (2)'!AH82</f>
        <v>0</v>
      </c>
      <c r="I35" s="89" t="n">
        <f aca="false">+'Datos ICP (2)'!AI82</f>
        <v>0</v>
      </c>
      <c r="J35" s="89" t="n">
        <f aca="false">+'Datos ICP (2)'!AJ82</f>
        <v>0</v>
      </c>
      <c r="K35" s="89" t="n">
        <f aca="false">+'Datos ICP (2)'!AK82</f>
        <v>0</v>
      </c>
      <c r="L35" s="89" t="n">
        <f aca="false">+'Datos ICP (2)'!AL82</f>
        <v>0</v>
      </c>
      <c r="M35" s="89" t="n">
        <f aca="false">+'Datos ICP (2)'!AM82</f>
        <v>0</v>
      </c>
      <c r="N35" s="89" t="n">
        <f aca="false">+'Datos ICP (2)'!AN82</f>
        <v>0</v>
      </c>
      <c r="O35" s="89" t="n">
        <f aca="false">+'Datos ICP (2)'!AO82</f>
        <v>0</v>
      </c>
      <c r="P35" s="89" t="n">
        <f aca="false">+'Datos ICP (2)'!AP82</f>
        <v>0</v>
      </c>
      <c r="Q35" s="89" t="n">
        <f aca="false">+'Datos ICP (2)'!AQ82</f>
        <v>0</v>
      </c>
      <c r="R35" s="82"/>
    </row>
    <row r="36" customFormat="false" ht="15" hidden="false" customHeight="false" outlineLevel="0" collapsed="false">
      <c r="C36" s="91" t="n">
        <v>2025</v>
      </c>
      <c r="D36" s="81" t="s">
        <v>3</v>
      </c>
      <c r="E36" s="89" t="n">
        <f aca="false">+'Datos ICP (2)'!AE83</f>
        <v>0</v>
      </c>
      <c r="F36" s="89" t="n">
        <f aca="false">+'Datos ICP (2)'!AF83</f>
        <v>0.00389626305099444</v>
      </c>
      <c r="G36" s="89" t="n">
        <f aca="false">+'Datos ICP (2)'!AG83</f>
        <v>0.0043138020854181</v>
      </c>
      <c r="H36" s="89" t="n">
        <f aca="false">+'Datos ICP (2)'!AH83</f>
        <v>0.00417571644342774</v>
      </c>
      <c r="I36" s="89" t="n">
        <f aca="false">+'Datos ICP (2)'!AI83</f>
        <v>0.00417422694650416</v>
      </c>
      <c r="J36" s="89" t="n">
        <f aca="false">+'Datos ICP (2)'!AJ83</f>
        <v>0.00431456613652492</v>
      </c>
      <c r="K36" s="89" t="n">
        <f aca="false">+'Datos ICP (2)'!AK83</f>
        <v>0.00430626208344687</v>
      </c>
      <c r="L36" s="89" t="n">
        <f aca="false">+'Datos ICP (2)'!AL83</f>
        <v>0.00383327468941586</v>
      </c>
      <c r="M36" s="89" t="n">
        <f aca="false">+'Datos ICP (2)'!AM83</f>
        <v>0.00423004876441735</v>
      </c>
      <c r="N36" s="89" t="n">
        <f aca="false">+'Datos ICP (2)'!AN83</f>
        <v>0.00396619021077105</v>
      </c>
      <c r="O36" s="89" t="n">
        <f aca="false">+'Datos ICP (2)'!AO83</f>
        <v>0.00383243965233548</v>
      </c>
      <c r="P36" s="89" t="n">
        <f aca="false">+'Datos ICP (2)'!AP83</f>
        <v>0.00413946203577598</v>
      </c>
      <c r="Q36" s="89" t="n">
        <f aca="false">+'Datos ICP (2)'!AQ83</f>
        <v>0.0461215166375695</v>
      </c>
    </row>
    <row r="37" customFormat="false" ht="15" hidden="false" customHeight="false" outlineLevel="0" collapsed="false">
      <c r="C37" s="91"/>
      <c r="D37" s="81" t="s">
        <v>26</v>
      </c>
      <c r="E37" s="89" t="n">
        <f aca="false">+'Datos ICP (2)'!AE84</f>
        <v>0.003</v>
      </c>
      <c r="F37" s="89" t="n">
        <f aca="false">+'Datos ICP (2)'!AF84</f>
        <v>0.00302021033404665</v>
      </c>
      <c r="G37" s="89" t="n">
        <f aca="false">+'Datos ICP (2)'!AG84</f>
        <v>0.00276213771028111</v>
      </c>
      <c r="H37" s="89" t="n">
        <f aca="false">+'Datos ICP (2)'!AH84</f>
        <v>0.00306282692323312</v>
      </c>
      <c r="I37" s="89" t="n">
        <f aca="false">+'Datos ICP (2)'!AI84</f>
        <v>0.00607490718642301</v>
      </c>
      <c r="J37" s="89" t="n">
        <f aca="false">+'Datos ICP (2)'!AJ84</f>
        <v>0.00299705245742721</v>
      </c>
      <c r="K37" s="89" t="n">
        <f aca="false">+'Datos ICP (2)'!AK84</f>
        <v>0.00304901446855221</v>
      </c>
      <c r="L37" s="89" t="n">
        <f aca="false">+'Datos ICP (2)'!AL84</f>
        <v>0.0029020820085115</v>
      </c>
      <c r="M37" s="89" t="n">
        <f aca="false">+'Datos ICP (2)'!AM84</f>
        <v>0.00276161496613736</v>
      </c>
      <c r="N37" s="89" t="n">
        <f aca="false">+'Datos ICP (2)'!AN84</f>
        <v>0.00286519472447866</v>
      </c>
      <c r="O37" s="89" t="n">
        <f aca="false">+'Datos ICP (2)'!AO84</f>
        <v>0.00279501576319907</v>
      </c>
      <c r="P37" s="89" t="n">
        <f aca="false">+'Datos ICP (2)'!AP84</f>
        <v>0.00283776649927603</v>
      </c>
      <c r="Q37" s="89" t="n">
        <f aca="false">+'Datos ICP (2)'!AQ84</f>
        <v>0.0356893671648779</v>
      </c>
    </row>
    <row r="38" customFormat="false" ht="15" hidden="false" customHeight="false" outlineLevel="0" collapsed="false">
      <c r="C38" s="91"/>
      <c r="D38" s="81" t="s">
        <v>38</v>
      </c>
      <c r="E38" s="89" t="n">
        <f aca="false">+'Datos ICP (2)'!AE85</f>
        <v>0</v>
      </c>
      <c r="F38" s="89" t="n">
        <f aca="false">+'Datos ICP (2)'!AF85</f>
        <v>0</v>
      </c>
      <c r="G38" s="89" t="n">
        <f aca="false">+'Datos ICP (2)'!AG85</f>
        <v>0</v>
      </c>
      <c r="H38" s="89" t="n">
        <f aca="false">+'Datos ICP (2)'!AH85</f>
        <v>0.00402159999999996</v>
      </c>
      <c r="I38" s="89" t="n">
        <f aca="false">+'Datos ICP (2)'!AI85</f>
        <v>0.00648003987165202</v>
      </c>
      <c r="J38" s="89" t="n">
        <f aca="false">+'Datos ICP (2)'!AJ85</f>
        <v>0.00645870469458676</v>
      </c>
      <c r="K38" s="89" t="n">
        <f aca="false">+'Datos ICP (2)'!AK85</f>
        <v>0.0061197316485726</v>
      </c>
      <c r="L38" s="89" t="n">
        <f aca="false">+'Datos ICP (2)'!AL85</f>
        <v>0.00601146217769655</v>
      </c>
      <c r="M38" s="89" t="n">
        <f aca="false">+'Datos ICP (2)'!AM85</f>
        <v>0.00598234032254141</v>
      </c>
      <c r="N38" s="89" t="n">
        <f aca="false">+'Datos ICP (2)'!AN85</f>
        <v>0.00659982350128918</v>
      </c>
      <c r="O38" s="89" t="n">
        <f aca="false">+'Datos ICP (2)'!AO85</f>
        <v>0.00578143421624411</v>
      </c>
      <c r="P38" s="89" t="n">
        <f aca="false">+'Datos ICP (2)'!AP85</f>
        <v>0.00661691257100849</v>
      </c>
      <c r="Q38" s="89" t="n">
        <f aca="false">+'Datos ICP (2)'!AQ85</f>
        <v>0.0553872</v>
      </c>
    </row>
    <row r="39" customFormat="false" ht="15" hidden="false" customHeight="false" outlineLevel="0" collapsed="false">
      <c r="C39" s="60" t="n">
        <v>2026</v>
      </c>
      <c r="D39" s="81" t="s">
        <v>3</v>
      </c>
      <c r="E39" s="89" t="n">
        <f aca="false">+'Datos ICP (2)'!AE86</f>
        <v>0.00388234363273376</v>
      </c>
      <c r="F39" s="89" t="n">
        <f aca="false">+'Datos ICP (2)'!AF86</f>
        <v>0.00363126461056962</v>
      </c>
      <c r="G39" s="89" t="n">
        <f aca="false">+'Datos ICP (2)'!AG86</f>
        <v>0.0038819280865483</v>
      </c>
      <c r="H39" s="89" t="n">
        <f aca="false">+'Datos ICP (2)'!AH86</f>
        <v>-0.243672722859896</v>
      </c>
      <c r="I39" s="89"/>
      <c r="J39" s="89"/>
      <c r="K39" s="89"/>
      <c r="L39" s="89"/>
      <c r="M39" s="89"/>
      <c r="N39" s="89"/>
      <c r="O39" s="89"/>
      <c r="P39" s="89"/>
      <c r="Q39" s="89" t="n">
        <f aca="false">+'Datos ICP (2)'!AQ86</f>
        <v>-0.71393888658704</v>
      </c>
    </row>
    <row r="40" customFormat="false" ht="15" hidden="false" customHeight="false" outlineLevel="0" collapsed="false">
      <c r="C40" s="60"/>
      <c r="D40" s="81" t="s">
        <v>26</v>
      </c>
      <c r="E40" s="89" t="n">
        <f aca="false">+'Datos ICP (2)'!AE87</f>
        <v>0.00272443815472734</v>
      </c>
      <c r="F40" s="89" t="n">
        <f aca="false">+'Datos ICP (2)'!AF87</f>
        <v>0.00244521636660222</v>
      </c>
      <c r="G40" s="89" t="n">
        <f aca="false">+'Datos ICP (2)'!AG87</f>
        <v>0.00268777625151762</v>
      </c>
      <c r="H40" s="89" t="n">
        <f aca="false">+'Datos ICP (2)'!AH87</f>
        <v>-1</v>
      </c>
      <c r="I40" s="89"/>
      <c r="J40" s="89"/>
      <c r="K40" s="89"/>
      <c r="L40" s="89"/>
      <c r="M40" s="89"/>
      <c r="N40" s="89"/>
      <c r="O40" s="89"/>
      <c r="P40" s="89"/>
      <c r="Q40" s="89" t="n">
        <f aca="false">+'Datos ICP (2)'!AQ87</f>
        <v>-3</v>
      </c>
    </row>
    <row r="41" customFormat="false" ht="15" hidden="false" customHeight="false" outlineLevel="0" collapsed="false">
      <c r="C41" s="60"/>
      <c r="D41" s="81" t="s">
        <v>38</v>
      </c>
      <c r="E41" s="89" t="n">
        <f aca="false">+'Datos ICP (2)'!AE88</f>
        <v>0.00609814104245365</v>
      </c>
      <c r="F41" s="89" t="n">
        <f aca="false">+'Datos ICP (2)'!AF88</f>
        <v>0.00560931477192383</v>
      </c>
      <c r="G41" s="89" t="n">
        <f aca="false">+'Datos ICP (2)'!AG88</f>
        <v>0.00603420632280538</v>
      </c>
      <c r="H41" s="89" t="n">
        <f aca="false">+'Datos ICP (2)'!AH88</f>
        <v>0.00580419846020708</v>
      </c>
      <c r="I41" s="89"/>
      <c r="J41" s="89"/>
      <c r="K41" s="89"/>
      <c r="L41" s="89"/>
      <c r="M41" s="89"/>
      <c r="N41" s="89"/>
      <c r="O41" s="89"/>
      <c r="P41" s="89"/>
      <c r="Q41" s="89" t="n">
        <f aca="false">+'Datos ICP (2)'!AQ88</f>
        <v>0.0535401604264298</v>
      </c>
    </row>
  </sheetData>
  <mergeCells count="1">
    <mergeCell ref="C39:C4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2"/>
      <c r="C1" s="93"/>
      <c r="J1" s="94" t="s">
        <v>50</v>
      </c>
      <c r="K1" s="92"/>
      <c r="L1" s="95"/>
      <c r="N1" s="94" t="s">
        <v>51</v>
      </c>
      <c r="O1" s="92"/>
      <c r="P1" s="95"/>
      <c r="R1" s="94" t="s">
        <v>52</v>
      </c>
      <c r="S1" s="92"/>
      <c r="T1" s="95"/>
    </row>
    <row r="2" customFormat="false" ht="15" hidden="false" customHeight="false" outlineLevel="0" collapsed="false">
      <c r="C2" s="93"/>
      <c r="O2" s="96" t="s">
        <v>53</v>
      </c>
      <c r="P2" s="97" t="n">
        <v>0</v>
      </c>
    </row>
    <row r="3" customFormat="false" ht="15" hidden="false" customHeight="false" outlineLevel="0" collapsed="false">
      <c r="C3" s="93"/>
      <c r="K3" s="96" t="s">
        <v>54</v>
      </c>
      <c r="L3" s="97" t="n">
        <v>0.529</v>
      </c>
      <c r="O3" s="96" t="s">
        <v>55</v>
      </c>
      <c r="P3" s="97" t="n">
        <v>0</v>
      </c>
      <c r="S3" s="96" t="s">
        <v>56</v>
      </c>
      <c r="T3" s="97" t="n">
        <v>1</v>
      </c>
    </row>
    <row r="4" customFormat="false" ht="15" hidden="false" customHeight="false" outlineLevel="0" collapsed="false">
      <c r="C4" s="93"/>
      <c r="K4" s="96" t="s">
        <v>57</v>
      </c>
      <c r="L4" s="97" t="n">
        <v>0.4679</v>
      </c>
      <c r="O4" s="96" t="s">
        <v>58</v>
      </c>
      <c r="P4" s="98" t="n">
        <v>0</v>
      </c>
      <c r="S4" s="96" t="s">
        <v>59</v>
      </c>
      <c r="T4" s="97" t="n">
        <v>0</v>
      </c>
    </row>
    <row r="5" customFormat="false" ht="15" hidden="false" customHeight="false" outlineLevel="0" collapsed="false">
      <c r="A5" s="92"/>
      <c r="B5" s="92"/>
      <c r="C5" s="93"/>
      <c r="K5" s="96" t="s">
        <v>60</v>
      </c>
      <c r="L5" s="97" t="n">
        <v>0</v>
      </c>
      <c r="O5" s="96" t="s">
        <v>61</v>
      </c>
      <c r="P5" s="97" t="n">
        <v>0.1185</v>
      </c>
    </row>
    <row r="6" customFormat="false" ht="15" hidden="false" customHeight="false" outlineLevel="0" collapsed="false">
      <c r="A6" s="92"/>
      <c r="B6" s="92"/>
      <c r="C6" s="93"/>
      <c r="K6" s="96" t="s">
        <v>62</v>
      </c>
      <c r="L6" s="97" t="n">
        <v>0</v>
      </c>
      <c r="O6" s="96" t="s">
        <v>63</v>
      </c>
      <c r="P6" s="97" t="n">
        <v>0.799</v>
      </c>
    </row>
    <row r="7" customFormat="false" ht="15" hidden="false" customHeight="false" outlineLevel="0" collapsed="false">
      <c r="B7" s="92"/>
      <c r="C7" s="93"/>
      <c r="L7" s="99" t="n">
        <f aca="false">SUM(L3:L6)</f>
        <v>0.9969</v>
      </c>
      <c r="O7" s="96" t="s">
        <v>64</v>
      </c>
      <c r="P7" s="97" t="n">
        <v>0</v>
      </c>
      <c r="Q7" s="99"/>
    </row>
    <row r="8" customFormat="false" ht="15" hidden="false" customHeight="false" outlineLevel="0" collapsed="false">
      <c r="C8" s="93"/>
      <c r="O8" s="96" t="s">
        <v>65</v>
      </c>
      <c r="P8" s="98" t="n">
        <v>0.0825</v>
      </c>
    </row>
    <row r="9" customFormat="false" ht="15" hidden="false" customHeight="false" outlineLevel="0" collapsed="false">
      <c r="C9" s="93"/>
      <c r="O9" s="96" t="s">
        <v>66</v>
      </c>
      <c r="P9" s="97" t="n">
        <v>0</v>
      </c>
    </row>
    <row r="10" customFormat="false" ht="15" hidden="false" customHeight="false" outlineLevel="0" collapsed="false">
      <c r="C10" s="93"/>
      <c r="O10" s="96" t="s">
        <v>67</v>
      </c>
      <c r="P10" s="98" t="n">
        <v>0</v>
      </c>
    </row>
    <row r="11" customFormat="false" ht="15" hidden="false" customHeight="false" outlineLevel="0" collapsed="false">
      <c r="C11" s="93"/>
      <c r="O11" s="96" t="s">
        <v>68</v>
      </c>
      <c r="P11" s="98" t="n">
        <v>0</v>
      </c>
    </row>
    <row r="12" customFormat="false" ht="15" hidden="true" customHeight="false" outlineLevel="0" collapsed="false">
      <c r="C12" s="93"/>
      <c r="O12" s="96"/>
      <c r="P12" s="98"/>
    </row>
    <row r="13" customFormat="false" ht="15" hidden="false" customHeight="false" outlineLevel="0" collapsed="false">
      <c r="C13" s="93"/>
      <c r="O13" s="96" t="s">
        <v>69</v>
      </c>
      <c r="P13" s="98" t="n">
        <v>0</v>
      </c>
    </row>
    <row r="14" customFormat="false" ht="15" hidden="true" customHeight="false" outlineLevel="0" collapsed="false">
      <c r="A14" s="92" t="s">
        <v>70</v>
      </c>
      <c r="B14" s="100" t="n">
        <v>0</v>
      </c>
      <c r="C14" s="93"/>
    </row>
    <row r="15" customFormat="false" ht="15" hidden="false" customHeight="false" outlineLevel="0" collapsed="false">
      <c r="A15" s="92"/>
      <c r="B15" s="100"/>
      <c r="C15" s="93"/>
      <c r="P15" s="99" t="n">
        <f aca="false">SUM(P2:P14)</f>
        <v>1</v>
      </c>
    </row>
    <row r="16" customFormat="false" ht="15" hidden="false" customHeight="false" outlineLevel="0" collapsed="false">
      <c r="B16" s="92"/>
      <c r="C16" s="93"/>
    </row>
    <row r="17" customFormat="false" ht="15" hidden="false" customHeight="false" outlineLevel="0" collapsed="false">
      <c r="C17" s="93"/>
    </row>
    <row r="18" customFormat="false" ht="15" hidden="false" customHeight="false" outlineLevel="0" collapsed="false">
      <c r="C18" s="93"/>
    </row>
    <row r="19" customFormat="false" ht="15" hidden="false" customHeight="false" outlineLevel="0" collapsed="false">
      <c r="C19" s="93"/>
    </row>
    <row r="20" customFormat="false" ht="15" hidden="false" customHeight="false" outlineLevel="0" collapsed="false">
      <c r="C20" s="93"/>
    </row>
    <row r="21" customFormat="false" ht="15" hidden="false" customHeight="false" outlineLevel="0" collapsed="false">
      <c r="C21" s="93"/>
      <c r="N21" s="101"/>
      <c r="O21" s="102"/>
    </row>
    <row r="22" customFormat="false" ht="15" hidden="false" customHeight="false" outlineLevel="0" collapsed="false">
      <c r="A22" s="93"/>
      <c r="B22" s="93"/>
      <c r="C22" s="93"/>
    </row>
    <row r="23" customFormat="false" ht="15" hidden="false" customHeight="false" outlineLevel="0" collapsed="false">
      <c r="A23" s="93"/>
      <c r="B23" s="93"/>
      <c r="C23" s="93"/>
    </row>
    <row r="24" customFormat="false" ht="15" hidden="false" customHeight="false" outlineLevel="0" collapsed="false">
      <c r="A24" s="93"/>
      <c r="B24" s="93"/>
      <c r="C24" s="9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2026-05-19T15:43:30Z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