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<sst xmlns="http://schemas.openxmlformats.org/spreadsheetml/2006/main" count="245" uniqueCount="70">
  <si>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</si>
  <si>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</si>
  <si>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</si>
  <si>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</si>
  <si>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</si>
  <si>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</si>
  <si>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</si>
  <si>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</si>
  <si>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</si>
  <si>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</si>
  <si>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</si>
  <si>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</si>
  <si>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</si>
  <si>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</si>
  <si>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</si>
  <si>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</si>
  <si>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</si>
  <si>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</si>
  <si>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</si>
  <si>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Presente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</si>
  <si>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</si>
  <si>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</si>
  <si>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</si>
  <si>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</si>
  <si>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</si>
  <si>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</si>
  <si>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</si>
  <si>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Presente</t>
  </si>
  <si>
    <t xml:space="preserve">(*) Acum a Mar</t>
  </si>
  <si>
    <t xml:space="preserve">FONDO LIQUIDEZ Presente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</si>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</sst>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6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B4C8E8"/>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9DC3E6"/>
      </patternFill>
    </fill>
    <fill>
      <patternFill patternType="solid">
        <fgColor theme="9" tint="0.5999"/>
        <bgColor rgb="FFC6EFCE"/>
      </patternFill>
    </fill>
    <fill>
      <patternFill patternType="solid">
        <fgColor theme="4" tint="0.3999"/>
        <bgColor rgb="FFB4C8E8"/>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7A7A7"/>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false" applyProtection="false">
      <alignment horizontal="general" vertical="bottom" textRotation="0" wrapText="false" indent="0" shrinkToFit="false"/>
      <protection locked="true" hidden="false"/>
    </xf>
    <xf numFmtId="177" fontId="44"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4"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77" fontId="46" fillId="31" borderId="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center" vertical="bottom" textRotation="0" wrapText="false" indent="0" shrinkToFit="false"/>
      <protection locked="true" hidden="false"/>
    </xf>
    <xf numFmtId="164" fontId="59" fillId="33" borderId="0" xfId="0" applyFont="true" applyBorder="false" applyAlignment="false" applyProtection="false">
      <alignment horizontal="general" vertical="bottom" textRotation="0" wrapText="false" indent="0" shrinkToFit="false"/>
      <protection locked="true" hidden="false"/>
    </xf>
    <xf numFmtId="179" fontId="59"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6"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D4D4D4"/>
      <rgbColor rgb="FF0000FF"/>
      <rgbColor rgb="FFFFFF00"/>
      <rgbColor rgb="FFFFC7CE"/>
      <rgbColor rgb="FFA9D18E"/>
      <rgbColor rgb="FF9C0006"/>
      <rgbColor rgb="FF006100"/>
      <rgbColor rgb="FFFFF2CC"/>
      <rgbColor rgb="FFA66204"/>
      <rgbColor rgb="FFDBDBDB"/>
      <rgbColor rgb="FFA5A5A5"/>
      <rgbColor rgb="FFBFBFBF"/>
      <rgbColor rgb="FF808080"/>
      <rgbColor rgb="FF8FAADC"/>
      <rgbColor rgb="FF595959"/>
      <rgbColor rgb="FFFFFFCC"/>
      <rgbColor rgb="FFDEEBF7"/>
      <rgbColor rgb="FFFFE699"/>
      <rgbColor rgb="FFED7D31"/>
      <rgbColor rgb="FFC9C9C9"/>
      <rgbColor rgb="FFBDD7EE"/>
      <rgbColor rgb="FFF8F8F8"/>
      <rgbColor rgb="FFD9D9D9"/>
      <rgbColor rgb="FFFFD966"/>
      <rgbColor rgb="FFC5E0B4"/>
      <rgbColor rgb="FFDAE3F3"/>
      <rgbColor rgb="FFFBE5D6"/>
      <rgbColor rgb="FFA7A7A7"/>
      <rgbColor rgb="FFF2F2F2"/>
      <rgbColor rgb="FFB4C8E8"/>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8E8E8E"/>
      <rgbColor rgb="FFE2F0D9"/>
      <rgbColor rgb="FF70AD47"/>
      <rgbColor rgb="FFEDEDED"/>
      <rgbColor rgb="FF44546A"/>
      <rgbColor rgb="FFF8CBAD"/>
      <rgbColor rgb="FF7F7F7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Presente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4513292"/>
        <c:axId val="13161226"/>
      </c:lineChart>
      <c:dateAx>
        <c:axId val="14513292"/>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3161226"/>
        <c:crosses val="autoZero"/>
        <c:auto val="1"/>
        <c:lblOffset val="100"/>
        <c:baseTimeUnit val="months"/>
        <c:majorUnit val="6"/>
        <c:majorTimeUnit val="months"/>
        <c:minorUnit val="6"/>
        <c:minorTimeUnit val="months"/>
        <c:noMultiLvlLbl val="0"/>
      </c:dateAx>
      <c:valAx>
        <c:axId val="1316122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451329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Presente</a:t>
            </a:r>
          </a:p>
        </c:rich>
      </c:tx>
      <c:layout>
        <c:manualLayout>
          <c:xMode val="edge"/>
          <c:yMode val="edge"/>
          <c:x val="0.319582176385032"/>
          <c:y val="0.0364431486880467"/>
        </c:manualLayout>
      </c:layout>
      <c:overlay val="0"/>
      <c:spPr>
        <a:noFill/>
        <a:ln w="0">
          <a:noFill/>
        </a:ln>
      </c:spPr>
    </c:title>
    <c:autoTitleDeleted val="0"/>
    <c:plotArea>
      <c:layout>
        <c:manualLayout>
          <c:layoutTarget val="inner"/>
          <c:xMode val="edge"/>
          <c:yMode val="edge"/>
          <c:x val="0.130944510555776"/>
          <c:y val="0.163265306122449"/>
          <c:w val="0.864207325135528"/>
          <c:h val="0.692201166180758"/>
        </c:manualLayout>
      </c:layout>
      <c:lineChart>
        <c:grouping val="standard"/>
        <c:varyColors val="0"/>
        <c:ser>
          <c:idx val="0"/>
          <c:order val="0"/>
          <c:tx>
            <c:strRef>
              <c:f>"FIP Liquidez Presente"</c:f>
              <c:strCache>
                <c:ptCount val="1"/>
                <c:pt idx="0">
                  <c:v>FIP Liquidez Presente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(2)'!$J$231:$J$244</c:f>
              <c:numCache>
                <c:formatCode>#,##0.00</c:formatCode>
                <c:ptCount val="14"/>
                <c:pt idx="0">
                  <c:v>100</c:v>
                </c:pt>
                <c:pt idx="1">
                  <c:v>100.504450742456</c:v>
                </c:pt>
                <c:pt idx="2">
                  <c:v>101.079612463458</c:v>
                </c:pt>
                <c:pt idx="3">
                  <c:v>101.647515515734</c:v>
                </c:pt>
                <c:pt idx="4">
                  <c:v>102.270779085214</c:v>
                </c:pt>
                <c:pt idx="5">
                  <c:v>102.951634606192</c:v>
                </c:pt>
                <c:pt idx="6">
                  <c:v>103.635883823425</c:v>
                </c:pt>
                <c:pt idx="7">
                  <c:v>104.339813343533</c:v>
                </c:pt>
                <c:pt idx="8">
                  <c:v>105.028679216551</c:v>
                </c:pt>
                <c:pt idx="9">
                  <c:v>105.692171512204</c:v>
                </c:pt>
                <c:pt idx="10">
                  <c:v>106.370748869519</c:v>
                </c:pt>
                <c:pt idx="11">
                  <c:v>107.028509367446</c:v>
                </c:pt>
                <c:pt idx="12">
                  <c:v>107.83304104762</c:v>
                </c:pt>
                <c:pt idx="13">
                  <c:v>108.456135170339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(2)'!$M$231:$M$244</c:f>
              <c:numCache>
                <c:formatCode>0.00</c:formatCode>
                <c:ptCount val="14"/>
                <c:pt idx="0">
                  <c:v>100</c:v>
                </c:pt>
                <c:pt idx="1">
                  <c:v>100.345040136241</c:v>
                </c:pt>
                <c:pt idx="2">
                  <c:v>100.658685317</c:v>
                </c:pt>
                <c:pt idx="3">
                  <c:v>100.952888931458</c:v>
                </c:pt>
                <c:pt idx="4">
                  <c:v>101.251652268757</c:v>
                </c:pt>
                <c:pt idx="5">
                  <c:v>101.551764804167</c:v>
                </c:pt>
                <c:pt idx="6">
                  <c:v>101.853977746731</c:v>
                </c:pt>
                <c:pt idx="7">
                  <c:v>102.158530588575</c:v>
                </c:pt>
                <c:pt idx="8">
                  <c:v>102.464705063723</c:v>
                </c:pt>
                <c:pt idx="9">
                  <c:v>102.757279760968</c:v>
                </c:pt>
                <c:pt idx="10">
                  <c:v>103.055661264199</c:v>
                </c:pt>
                <c:pt idx="11">
                  <c:v>103.340261320692</c:v>
                </c:pt>
                <c:pt idx="12">
                  <c:v>103.626800002849</c:v>
                </c:pt>
                <c:pt idx="13">
                  <c:v>103.916438542347</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(2)'!$D$231:$D$2231</c:f>
              <c:numCache>
                <c:formatCode>0.00</c:formatCode>
                <c:ptCount val="2001"/>
                <c:pt idx="0">
                  <c:v>100</c:v>
                </c:pt>
                <c:pt idx="1">
                  <c:v>100.438432554757</c:v>
                </c:pt>
                <c:pt idx="2">
                  <c:v>100.87060268794</c:v>
                </c:pt>
                <c:pt idx="3">
                  <c:v>101.305429516637</c:v>
                </c:pt>
                <c:pt idx="4">
                  <c:v>101.728335875806</c:v>
                </c:pt>
                <c:pt idx="5">
                  <c:v>102.153015786238</c:v>
                </c:pt>
                <c:pt idx="6">
                  <c:v>102.579577814003</c:v>
                </c:pt>
                <c:pt idx="7">
                  <c:v>102.993955657105</c:v>
                </c:pt>
                <c:pt idx="8">
                  <c:v>103.43832989045</c:v>
                </c:pt>
                <c:pt idx="9">
                  <c:v>103.869393656239</c:v>
                </c:pt>
                <c:pt idx="10">
                  <c:v>104.254709705633</c:v>
                </c:pt>
                <c:pt idx="11">
                  <c:v>104.695712211608</c:v>
                </c:pt>
                <c:pt idx="12">
                  <c:v>105.097560381496</c:v>
                </c:pt>
                <c:pt idx="13">
                  <c:v>105.500340439265</c:v>
                </c:pt>
                <c:pt idx="14">
                  <c:v>105.922967523791</c:v>
                </c:pt>
                <c:pt idx="15">
                  <c:v>106.320931419139</c:v>
                </c:pt>
                <c:pt idx="16">
                  <c:v>106.734587957309</c:v>
                </c:pt>
                <c:pt idx="17">
                  <c:v>107.135558274855</c:v>
                </c:pt>
                <c:pt idx="18">
                  <c:v>81.0295450749059</c:v>
                </c:pt>
              </c:numCache>
            </c:numRef>
          </c:val>
          <c:smooth val="0"/>
        </c:ser>
        <c:hiLowLines>
          <c:spPr>
            <a:ln w="0">
              <a:noFill/>
            </a:ln>
          </c:spPr>
        </c:hiLowLines>
        <c:marker val="1"/>
        <c:axId val="78124711"/>
        <c:axId val="66984515"/>
      </c:lineChart>
      <c:dateAx>
        <c:axId val="7812471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6984515"/>
        <c:auto val="1"/>
        <c:lblOffset val="100"/>
        <c:baseTimeUnit val="days"/>
        <c:noMultiLvlLbl val="0"/>
      </c:dateAx>
      <c:valAx>
        <c:axId val="6698451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78124711"/>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0.5169</c:v>
                </c:pt>
                <c:pt idx="1">
                  <c:v>0.4386</c:v>
                </c:pt>
                <c:pt idx="2">
                  <c:v>0.0444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0.3425</c:v>
                </c:pt>
                <c:pt idx="3">
                  <c:v>0.6575</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1496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84" zoomScaleNormal="84"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t="n">
        <f aca="false">+Z21/Y21-1</f>
        <v>0.0043843255475724</v>
      </c>
      <c r="AP20" s="22" t="n">
        <f aca="false">+AA21/Z21-1</f>
        <v>0.00444626417327787</v>
      </c>
      <c r="AQ20" s="23" t="n">
        <f aca="false">+(AA21/Y21-1)/COUNTA(AE20:AP20)*12</f>
        <v>0.0531005015427382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1117.4876</v>
      </c>
      <c r="AX22" s="33" t="n">
        <f aca="false">LOOKUP(AX19,$F$2:$F$2972,$H$2:$H$2972)</f>
        <v>1110.7273</v>
      </c>
      <c r="AY22" s="33" t="n">
        <f aca="false">LOOKUP(AY19,$F$2:$F$2972,$H$2:$H$2972)</f>
        <v>1097.3642</v>
      </c>
      <c r="AZ22" s="33" t="n">
        <f aca="false">LOOKUP(AZ19,$F$2:$F$2972,$H$2:$H$2972)</f>
        <v>1076.6792</v>
      </c>
      <c r="BA22" s="33" t="n">
        <f aca="false">LOOKUP(BA19,$F$2:$F$2972,$H$2:$H$2972)</f>
        <v>1033.8458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0.00608637241562349</v>
      </c>
      <c r="AY31" s="43" t="n">
        <f aca="false">$AW22/AY22-1</f>
        <v>0.018337941040905</v>
      </c>
      <c r="AZ31" s="43" t="n">
        <f aca="false">$AW22/AZ22-1</f>
        <v>0.0379020974864193</v>
      </c>
      <c r="BA31" s="43" t="n">
        <f aca="false">$AW22/BA22-1</f>
        <v>0.0809035544759191</v>
      </c>
      <c r="BB31" s="43" t="n">
        <f aca="false">+AQ88</f>
        <v>0.0550138231227151</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1002.08</v>
      </c>
      <c r="Z35" s="20" t="n">
        <f aca="false">+H232</f>
        <v>1002.417</v>
      </c>
      <c r="AA35" s="20" t="n">
        <f aca="false">+H233</f>
        <v>1008.3448</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1014.1989</v>
      </c>
      <c r="Q36" s="20" t="n">
        <f aca="false">+H235</f>
        <v>1020.003</v>
      </c>
      <c r="R36" s="20" t="n">
        <f aca="false">+H236</f>
        <v>1027.0199</v>
      </c>
      <c r="S36" s="20" t="n">
        <f aca="false">+H237</f>
        <v>1033.8458</v>
      </c>
      <c r="T36" s="20" t="n">
        <f aca="false">+H238</f>
        <v>1041.1021</v>
      </c>
      <c r="U36" s="20" t="n">
        <f aca="false">+H239</f>
        <v>1047.9756</v>
      </c>
      <c r="V36" s="20" t="n">
        <f aca="false">+H240</f>
        <v>1054.8166</v>
      </c>
      <c r="W36" s="20" t="n">
        <f aca="false">+H241</f>
        <v>1061.8146</v>
      </c>
      <c r="X36" s="20" t="n">
        <f aca="false">+H242</f>
        <v>1068.3805</v>
      </c>
      <c r="Y36" s="20" t="n">
        <f aca="false">+H243</f>
        <v>1076.6792</v>
      </c>
      <c r="Z36" s="20" t="n">
        <f aca="false">+H244</f>
        <v>1082.9006</v>
      </c>
      <c r="AA36" s="20" t="n">
        <f aca="false">+H245</f>
        <v>1090.1875</v>
      </c>
      <c r="AD36" s="21" t="n">
        <v>2024</v>
      </c>
      <c r="AE36" s="22"/>
      <c r="AF36" s="22"/>
      <c r="AG36" s="22"/>
      <c r="AH36" s="22"/>
      <c r="AI36" s="22"/>
      <c r="AJ36" s="22"/>
      <c r="AK36" s="22"/>
      <c r="AL36" s="22"/>
      <c r="AM36" s="22"/>
      <c r="AN36" s="22"/>
      <c r="AO36" s="22" t="n">
        <f aca="false">+(Z35/Y35-1)</f>
        <v>0.000336300494970354</v>
      </c>
      <c r="AP36" s="22" t="n">
        <f aca="false">+(AA35/Z35-1)</f>
        <v>0.00591350705345195</v>
      </c>
      <c r="AQ36" s="23" t="n">
        <f aca="false">+(AA35/Y35-1)/COUNTA(AE36:AP36)*12</f>
        <v>0.0375107775826282</v>
      </c>
      <c r="AR36" s="9"/>
      <c r="AS36" s="9"/>
    </row>
    <row r="37" customFormat="false" ht="15" hidden="false" customHeight="false" outlineLevel="0" collapsed="false">
      <c r="A37" s="17"/>
      <c r="B37" s="20"/>
      <c r="C37" s="25"/>
      <c r="D37" s="19"/>
      <c r="E37" s="19"/>
      <c r="F37" s="19"/>
      <c r="O37" s="3" t="n">
        <v>2026</v>
      </c>
      <c r="P37" s="20" t="n">
        <f aca="false">+H246</f>
        <v>1097.3642</v>
      </c>
      <c r="Q37" s="20" t="n">
        <f aca="false">+H247</f>
        <v>1103.8997</v>
      </c>
      <c r="R37" s="20" t="n">
        <f aca="false">+H248</f>
        <v>1110.7273</v>
      </c>
      <c r="S37" s="20" t="n">
        <f aca="false">+H249</f>
        <v>1117.4876</v>
      </c>
      <c r="T37" s="20"/>
      <c r="U37" s="20"/>
      <c r="V37" s="20"/>
      <c r="W37" s="20"/>
      <c r="X37" s="20"/>
      <c r="Y37" s="20"/>
      <c r="Z37" s="20"/>
      <c r="AA37" s="20"/>
      <c r="AD37" s="21" t="n">
        <v>2025</v>
      </c>
      <c r="AE37" s="22" t="n">
        <f aca="false">+(P36/AA35-1)</f>
        <v>0.00580565298695457</v>
      </c>
      <c r="AF37" s="22" t="n">
        <f aca="false">+(Q36/P36-1)</f>
        <v>0.00572284193958406</v>
      </c>
      <c r="AG37" s="22" t="n">
        <f aca="false">+(R36/Q36-1)</f>
        <v>0.0068792934922739</v>
      </c>
      <c r="AH37" s="22" t="n">
        <f aca="false">+(S36/R36-1)</f>
        <v>0.00664631717457453</v>
      </c>
      <c r="AI37" s="22" t="n">
        <f aca="false">+(T36/S36-1)</f>
        <v>0.00701874496177291</v>
      </c>
      <c r="AJ37" s="22" t="n">
        <f aca="false">+(U36/T36-1)</f>
        <v>0.00660213825329925</v>
      </c>
      <c r="AK37" s="22" t="n">
        <f aca="false">+(V36/U36-1)</f>
        <v>0.00652782373940752</v>
      </c>
      <c r="AL37" s="22" t="n">
        <f aca="false">+(W36/V36-1)</f>
        <v>0.00663432865959823</v>
      </c>
      <c r="AM37" s="22" t="n">
        <f aca="false">+(X36/W36-1)</f>
        <v>0.0061836595578928</v>
      </c>
      <c r="AN37" s="22" t="n">
        <f aca="false">+(Y36/X36-1)</f>
        <v>0.00776755098019866</v>
      </c>
      <c r="AO37" s="22" t="n">
        <f aca="false">+(Z36/Y36-1)</f>
        <v>0.00577832282819246</v>
      </c>
      <c r="AP37" s="22" t="n">
        <f aca="false">+(AA36/Z36-1)</f>
        <v>0.00672905712675753</v>
      </c>
      <c r="AQ37" s="23" t="n">
        <f aca="false">+(Z36/P36-1)/COUNTA(AE37:AP37)*12</f>
        <v>0.067739868382819</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0.00658299604425849</v>
      </c>
      <c r="AF38" s="22" t="n">
        <f aca="false">+(Q37/P37-1)</f>
        <v>0.00595563441927482</v>
      </c>
      <c r="AG38" s="22" t="n">
        <f aca="false">+(R37/Q37-1)</f>
        <v>0.00618498220445218</v>
      </c>
      <c r="AH38" s="22" t="n">
        <f aca="false">+(S37/R37-1)</f>
        <v>0.00608637241562349</v>
      </c>
      <c r="AQ38" s="23" t="n">
        <f aca="false">+(S37/P37-1)/COUNTA(AE38:AP38)*12</f>
        <v>0.0550138231227151</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n">
        <f aca="false">+AA35/Y35-1</f>
        <v>0.00625179626377137</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6030.3854</v>
      </c>
      <c r="Z49" s="3" t="n">
        <f aca="false">+K232</f>
        <v>6049.8055</v>
      </c>
      <c r="AA49" s="3" t="n">
        <f aca="false">+K233</f>
        <v>6069.3455</v>
      </c>
      <c r="AD49" s="21" t="n">
        <v>2024</v>
      </c>
      <c r="AE49" s="22"/>
      <c r="AF49" s="22"/>
      <c r="AG49" s="22"/>
      <c r="AH49" s="22"/>
      <c r="AI49" s="22"/>
      <c r="AJ49" s="22"/>
      <c r="AK49" s="22"/>
      <c r="AL49" s="22"/>
      <c r="AM49" s="22"/>
      <c r="AN49" s="22"/>
      <c r="AO49" s="22" t="n">
        <f aca="false">+(Z49/Y49-1)</f>
        <v>0.00322037460491331</v>
      </c>
      <c r="AP49" s="22" t="n">
        <f aca="false">+(AA49/Z49-1)</f>
        <v>0.003229855901979</v>
      </c>
      <c r="AQ49" s="23" t="n">
        <f aca="false">+(AA49/Y49-1)/COUNTA(AE49:AP49)*12</f>
        <v>0.0387637911168999</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t="n">
        <f aca="false">+AO20</f>
        <v>0.0043843255475724</v>
      </c>
      <c r="AP80" s="60" t="n">
        <f aca="false">+AP20</f>
        <v>0.00444626417327787</v>
      </c>
      <c r="AQ80" s="60" t="n">
        <f aca="false">+AQ20</f>
        <v>0.0531005015427382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t="n">
        <f aca="false">+AO49</f>
        <v>0.00322037460491331</v>
      </c>
      <c r="AP81" s="60" t="n">
        <f aca="false">+AP49</f>
        <v>0.003229855901979</v>
      </c>
      <c r="AQ81" s="60" t="n">
        <f aca="false">+AQ49</f>
        <v>0.0387637911168999</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t="n">
        <f aca="false">+AO36</f>
        <v>0.000336300494970354</v>
      </c>
      <c r="AP82" s="60" t="n">
        <f aca="false">+AP36</f>
        <v>0.00591350705345195</v>
      </c>
      <c r="AQ82" s="60" t="n">
        <f aca="false">+AQ36</f>
        <v>0.0375107775826282</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0.00580565298695457</v>
      </c>
      <c r="AF85" s="60" t="n">
        <f aca="false">+AF37</f>
        <v>0.00572284193958406</v>
      </c>
      <c r="AG85" s="60" t="n">
        <f aca="false">+AG37</f>
        <v>0.0068792934922739</v>
      </c>
      <c r="AH85" s="60" t="n">
        <f aca="false">+AH37</f>
        <v>0.00664631717457453</v>
      </c>
      <c r="AI85" s="60" t="n">
        <f aca="false">+AI37</f>
        <v>0.00701874496177291</v>
      </c>
      <c r="AJ85" s="60" t="n">
        <f aca="false">+AJ37</f>
        <v>0.00660213825329925</v>
      </c>
      <c r="AK85" s="60" t="n">
        <f aca="false">+AK37</f>
        <v>0.00652782373940752</v>
      </c>
      <c r="AL85" s="60" t="n">
        <f aca="false">+AL37</f>
        <v>0.00663432865959823</v>
      </c>
      <c r="AM85" s="60" t="n">
        <f aca="false">+AM37</f>
        <v>0.0061836595578928</v>
      </c>
      <c r="AN85" s="60" t="n">
        <f aca="false">+AN37</f>
        <v>0.00776755098019866</v>
      </c>
      <c r="AO85" s="60" t="n">
        <f aca="false">+AO37</f>
        <v>0.00577832282819246</v>
      </c>
      <c r="AP85" s="60" t="n">
        <f aca="false">+AP37</f>
        <v>0.00672905712675753</v>
      </c>
      <c r="AQ85" s="60" t="n">
        <f aca="false">+AQ37</f>
        <v>0.067739868382819</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0.00658299604425849</v>
      </c>
      <c r="AF88" s="60" t="n">
        <f aca="false">+AF38</f>
        <v>0.00595563441927482</v>
      </c>
      <c r="AG88" s="60" t="n">
        <f aca="false">+AG38</f>
        <v>0.00618498220445218</v>
      </c>
      <c r="AH88" s="60" t="n">
        <f aca="false">+AH38</f>
        <v>0.00608637241562349</v>
      </c>
      <c r="AI88" s="60"/>
      <c r="AJ88" s="60"/>
      <c r="AK88" s="60"/>
      <c r="AL88" s="60"/>
      <c r="AM88" s="60"/>
      <c r="AN88" s="60"/>
      <c r="AO88" s="60"/>
      <c r="AP88" s="60"/>
      <c r="AQ88" s="60" t="n">
        <f aca="false">+AQ38</f>
        <v>0.0550138231227151</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4"/>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5"/>
    </row>
    <row r="189" customFormat="false" ht="15" hidden="false" customHeight="false" outlineLevel="0" collapsed="false">
      <c r="A189" s="17" t="n">
        <v>44316</v>
      </c>
      <c r="C189" s="25"/>
      <c r="D189" s="19"/>
      <c r="F189" s="17" t="n">
        <v>44316</v>
      </c>
      <c r="I189" s="25"/>
      <c r="J189" s="18"/>
      <c r="L189" s="25"/>
      <c r="M189" s="19"/>
      <c r="Q189" s="66"/>
    </row>
    <row r="190" customFormat="false" ht="15" hidden="false" customHeight="false" outlineLevel="0" collapsed="false">
      <c r="A190" s="17" t="n">
        <v>44347</v>
      </c>
      <c r="C190" s="25"/>
      <c r="D190" s="19"/>
      <c r="F190" s="17" t="n">
        <v>44347</v>
      </c>
      <c r="I190" s="25"/>
      <c r="J190" s="18"/>
      <c r="L190" s="25"/>
      <c r="M190" s="19"/>
      <c r="Q190" s="66"/>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7"/>
      <c r="M203" s="19"/>
    </row>
    <row r="204" customFormat="false" ht="15" hidden="false" customHeight="false" outlineLevel="0" collapsed="false">
      <c r="A204" s="17" t="n">
        <v>44773</v>
      </c>
      <c r="C204" s="25"/>
      <c r="D204" s="19"/>
      <c r="F204" s="17" t="n">
        <v>44773</v>
      </c>
      <c r="I204" s="25"/>
      <c r="J204" s="18"/>
      <c r="L204" s="67"/>
      <c r="M204" s="19"/>
    </row>
    <row r="205" customFormat="false" ht="15" hidden="false" customHeight="false" outlineLevel="0" collapsed="false">
      <c r="A205" s="17" t="n">
        <v>44804</v>
      </c>
      <c r="C205" s="25"/>
      <c r="D205" s="19"/>
      <c r="F205" s="17" t="n">
        <v>44804</v>
      </c>
      <c r="I205" s="25"/>
      <c r="J205" s="18"/>
      <c r="K205" s="18"/>
      <c r="L205" s="67"/>
      <c r="M205" s="19"/>
    </row>
    <row r="206" customFormat="false" ht="15" hidden="false" customHeight="false" outlineLevel="0" collapsed="false">
      <c r="A206" s="17" t="n">
        <v>44834</v>
      </c>
      <c r="C206" s="25"/>
      <c r="D206" s="19"/>
      <c r="F206" s="17" t="n">
        <v>44834</v>
      </c>
      <c r="I206" s="25"/>
      <c r="J206" s="18"/>
      <c r="K206" s="18"/>
      <c r="L206" s="67"/>
      <c r="M206" s="19"/>
    </row>
    <row r="207" customFormat="false" ht="15" hidden="false" customHeight="false" outlineLevel="0" collapsed="false">
      <c r="A207" s="17" t="n">
        <v>44862</v>
      </c>
      <c r="C207" s="25"/>
      <c r="D207" s="19"/>
      <c r="F207" s="17" t="n">
        <v>44862</v>
      </c>
      <c r="I207" s="25"/>
      <c r="J207" s="18"/>
      <c r="K207" s="18"/>
      <c r="L207" s="67"/>
      <c r="M207" s="19"/>
    </row>
    <row r="208" customFormat="false" ht="15" hidden="false" customHeight="false" outlineLevel="0" collapsed="false">
      <c r="A208" s="17" t="n">
        <v>44895</v>
      </c>
      <c r="C208" s="25"/>
      <c r="D208" s="19"/>
      <c r="F208" s="17" t="n">
        <v>44895</v>
      </c>
      <c r="I208" s="25"/>
      <c r="J208" s="18"/>
      <c r="L208" s="67"/>
      <c r="M208" s="19"/>
    </row>
    <row r="209" customFormat="false" ht="15" hidden="false" customHeight="false" outlineLevel="0" collapsed="false">
      <c r="A209" s="17" t="n">
        <v>44925</v>
      </c>
      <c r="C209" s="25"/>
      <c r="D209" s="19"/>
      <c r="F209" s="17" t="n">
        <v>44925</v>
      </c>
      <c r="I209" s="25"/>
      <c r="J209" s="18"/>
      <c r="L209" s="67"/>
      <c r="M209" s="19"/>
    </row>
    <row r="210" customFormat="false" ht="15" hidden="false" customHeight="false" outlineLevel="0" collapsed="false">
      <c r="A210" s="17" t="n">
        <v>44957</v>
      </c>
      <c r="C210" s="25"/>
      <c r="D210" s="19"/>
      <c r="F210" s="17" t="n">
        <v>44957</v>
      </c>
      <c r="I210" s="25"/>
      <c r="J210" s="18"/>
      <c r="L210" s="67"/>
      <c r="M210" s="19"/>
    </row>
    <row r="211" customFormat="false" ht="15" hidden="false" customHeight="false" outlineLevel="0" collapsed="false">
      <c r="A211" s="17" t="n">
        <v>44985</v>
      </c>
      <c r="C211" s="25"/>
      <c r="D211" s="19"/>
      <c r="F211" s="17" t="n">
        <v>45014</v>
      </c>
      <c r="I211" s="25"/>
      <c r="J211" s="18"/>
      <c r="L211" s="67"/>
      <c r="M211" s="19"/>
    </row>
    <row r="212" customFormat="false" ht="15" hidden="false" customHeight="false" outlineLevel="0" collapsed="false">
      <c r="A212" s="17" t="n">
        <v>45016</v>
      </c>
      <c r="C212" s="25"/>
      <c r="D212" s="19"/>
      <c r="F212" s="17" t="n">
        <v>45016</v>
      </c>
      <c r="I212" s="25"/>
      <c r="J212" s="18"/>
      <c r="L212" s="67"/>
      <c r="M212" s="19"/>
    </row>
    <row r="213" customFormat="false" ht="15" hidden="false" customHeight="false" outlineLevel="0" collapsed="false">
      <c r="A213" s="17" t="n">
        <v>45044</v>
      </c>
      <c r="C213" s="25"/>
      <c r="D213" s="19"/>
      <c r="F213" s="17" t="n">
        <v>45044</v>
      </c>
      <c r="I213" s="25"/>
      <c r="J213" s="18"/>
      <c r="L213" s="67"/>
      <c r="M213" s="19"/>
    </row>
    <row r="214" customFormat="false" ht="15" hidden="false" customHeight="false" outlineLevel="0" collapsed="false">
      <c r="A214" s="17" t="n">
        <v>45077</v>
      </c>
      <c r="C214" s="25"/>
      <c r="D214" s="19"/>
      <c r="F214" s="17" t="n">
        <v>45077</v>
      </c>
      <c r="I214" s="25"/>
      <c r="J214" s="18"/>
      <c r="K214" s="18"/>
      <c r="L214" s="67"/>
      <c r="M214" s="19"/>
    </row>
    <row r="215" customFormat="false" ht="15" hidden="false" customHeight="false" outlineLevel="0" collapsed="false">
      <c r="A215" s="17" t="n">
        <v>45107</v>
      </c>
      <c r="C215" s="25"/>
      <c r="D215" s="19"/>
      <c r="F215" s="17" t="n">
        <v>45107</v>
      </c>
      <c r="I215" s="25"/>
      <c r="J215" s="18"/>
      <c r="L215" s="67"/>
      <c r="M215" s="19"/>
    </row>
    <row r="216" customFormat="false" ht="15" hidden="false" customHeight="false" outlineLevel="0" collapsed="false">
      <c r="A216" s="17" t="n">
        <v>45138</v>
      </c>
      <c r="C216" s="25"/>
      <c r="D216" s="19"/>
      <c r="F216" s="17" t="n">
        <v>45138</v>
      </c>
      <c r="I216" s="25"/>
      <c r="J216" s="18"/>
      <c r="L216" s="67"/>
      <c r="M216" s="19"/>
    </row>
    <row r="217" customFormat="false" ht="15" hidden="false" customHeight="false" outlineLevel="0" collapsed="false">
      <c r="A217" s="17" t="n">
        <v>45169</v>
      </c>
      <c r="C217" s="25"/>
      <c r="D217" s="19"/>
      <c r="F217" s="17" t="n">
        <v>45175</v>
      </c>
      <c r="I217" s="25"/>
      <c r="J217" s="18"/>
      <c r="K217" s="18"/>
      <c r="L217" s="67"/>
      <c r="M217" s="19"/>
    </row>
    <row r="218" customFormat="false" ht="15" hidden="false" customHeight="false" outlineLevel="0" collapsed="false">
      <c r="A218" s="17" t="n">
        <v>45199</v>
      </c>
      <c r="C218" s="25"/>
      <c r="D218" s="19"/>
      <c r="F218" s="17" t="n">
        <v>45199</v>
      </c>
      <c r="I218" s="25"/>
      <c r="J218" s="18"/>
      <c r="K218" s="18"/>
      <c r="L218" s="67"/>
      <c r="M218" s="19"/>
    </row>
    <row r="219" customFormat="false" ht="15" hidden="false" customHeight="false" outlineLevel="0" collapsed="false">
      <c r="A219" s="17" t="n">
        <v>45230</v>
      </c>
      <c r="B219" s="19"/>
      <c r="C219" s="25"/>
      <c r="D219" s="19"/>
      <c r="F219" s="17" t="n">
        <v>45230</v>
      </c>
      <c r="I219" s="25"/>
      <c r="J219" s="18"/>
      <c r="L219" s="67"/>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B231" s="3" t="n">
        <v>24560.22</v>
      </c>
      <c r="C231" s="25" t="n">
        <v>0.00436494243524368</v>
      </c>
      <c r="D231" s="19" t="n">
        <v>100</v>
      </c>
      <c r="F231" s="17" t="n">
        <v>45625</v>
      </c>
      <c r="G231" s="4" t="n">
        <v>1000</v>
      </c>
      <c r="H231" s="4" t="n">
        <f aca="false">+G231+$S$148+$S$150+$S$152+$S$154+$S$156+$S$158</f>
        <v>1002.08</v>
      </c>
      <c r="I231" s="25" t="n">
        <v>0.0021</v>
      </c>
      <c r="J231" s="18" t="n">
        <v>100</v>
      </c>
      <c r="K231" s="3" t="n">
        <v>6030.3854</v>
      </c>
      <c r="L231" s="25" t="n">
        <v>0.00170540649783957</v>
      </c>
      <c r="M231" s="19" t="n">
        <v>100</v>
      </c>
    </row>
    <row r="232" customFormat="false" ht="15" hidden="false" customHeight="false" outlineLevel="0" collapsed="false">
      <c r="A232" s="17" t="n">
        <v>45626</v>
      </c>
      <c r="B232" s="3" t="n">
        <v>24667.9</v>
      </c>
      <c r="C232" s="25" t="n">
        <f aca="false">(B232/B231-1)/(A232-A231)*30</f>
        <v>0.0043843255475724</v>
      </c>
      <c r="D232" s="19" t="n">
        <f aca="false">+D231*(1+C232)</f>
        <v>100.438432554757</v>
      </c>
      <c r="F232" s="17" t="n">
        <v>45626</v>
      </c>
      <c r="G232" s="4" t="n">
        <v>1000.337</v>
      </c>
      <c r="H232" s="4" t="n">
        <f aca="false">+G232+$S$148+$S$150+$S$152+$S$154+$S$156+$S$158</f>
        <v>1002.417</v>
      </c>
      <c r="I232" s="25" t="n">
        <f aca="false">+(H232/H231-1)/(F232-F231)*30/2</f>
        <v>0.00504450742455531</v>
      </c>
      <c r="J232" s="18" t="n">
        <f aca="false">+J231*(1+I232)</f>
        <v>100.504450742456</v>
      </c>
      <c r="K232" s="3" t="n">
        <v>6049.8055</v>
      </c>
      <c r="L232" s="25" t="n">
        <f aca="false">+(K232/K231-1)/(F232-F231)*30/28</f>
        <v>0.00345040136240712</v>
      </c>
      <c r="M232" s="19" t="n">
        <f aca="false">+M231*(1+L232)</f>
        <v>100.345040136241</v>
      </c>
    </row>
    <row r="233" customFormat="false" ht="15" hidden="false" customHeight="false" outlineLevel="0" collapsed="false">
      <c r="A233" s="17" t="n">
        <v>45657</v>
      </c>
      <c r="B233" s="3" t="n">
        <v>24777.58</v>
      </c>
      <c r="C233" s="25" t="n">
        <f aca="false">(B233/B232-1)/(A233-A232)*30</f>
        <v>0.00430283629672052</v>
      </c>
      <c r="D233" s="19" t="n">
        <f aca="false">+D232*(1+C233)</f>
        <v>100.87060268794</v>
      </c>
      <c r="F233" s="17" t="n">
        <v>45657</v>
      </c>
      <c r="G233" s="4" t="n">
        <v>1006.2648</v>
      </c>
      <c r="H233" s="4" t="n">
        <f aca="false">+G233+$S$148+$S$150+$S$152+$S$154+$S$156+$S$158</f>
        <v>1008.3448</v>
      </c>
      <c r="I233" s="25" t="n">
        <f aca="false">+(H233/H232-1)/(F233-F232)*30</f>
        <v>0.00572274876140511</v>
      </c>
      <c r="J233" s="18" t="n">
        <f aca="false">+J232*(1+I233)</f>
        <v>101.079612463458</v>
      </c>
      <c r="K233" s="3" t="n">
        <v>6069.3455</v>
      </c>
      <c r="L233" s="25" t="n">
        <f aca="false">+(K233/K232-1)/(F233-F232)*30</f>
        <v>0.00312566700191516</v>
      </c>
      <c r="M233" s="19" t="n">
        <f aca="false">+M232*(1+L233)</f>
        <v>100.658685317</v>
      </c>
    </row>
    <row r="234" customFormat="false" ht="15" hidden="false" customHeight="false" outlineLevel="0" collapsed="false">
      <c r="A234" s="17" t="n">
        <v>45688</v>
      </c>
      <c r="B234" s="3" t="n">
        <v>24887.95</v>
      </c>
      <c r="C234" s="25" t="n">
        <f aca="false">(B234/B233-1)/(A234-A233)*30</f>
        <v>0.00431073887842782</v>
      </c>
      <c r="D234" s="19" t="n">
        <f aca="false">+D233*(1+C234)</f>
        <v>101.305429516637</v>
      </c>
      <c r="F234" s="17" t="n">
        <v>45688</v>
      </c>
      <c r="G234" s="4" t="n">
        <v>1012.1189</v>
      </c>
      <c r="H234" s="4" t="n">
        <f aca="false">+G234+$S$148+$S$150+$S$152+$S$154+$S$156+$S$158</f>
        <v>1014.1989</v>
      </c>
      <c r="I234" s="25" t="n">
        <f aca="false">+(H234/H233-1)/(F234-F233)*30</f>
        <v>0.00561837385834313</v>
      </c>
      <c r="J234" s="18" t="n">
        <f aca="false">+J233*(1+I234)</f>
        <v>101.647515515734</v>
      </c>
      <c r="K234" s="3" t="n">
        <v>6087.6762</v>
      </c>
      <c r="L234" s="25" t="n">
        <f aca="false">+(K234/K233-1)/(F234-F233)*30</f>
        <v>0.00292278419423869</v>
      </c>
      <c r="M234" s="19" t="n">
        <f aca="false">+M233*(1+L234)</f>
        <v>100.952888931458</v>
      </c>
    </row>
    <row r="235" customFormat="false" ht="15" hidden="false" customHeight="false" outlineLevel="0" collapsed="false">
      <c r="A235" s="17" t="n">
        <v>45716</v>
      </c>
      <c r="B235" s="3" t="n">
        <v>24984.92</v>
      </c>
      <c r="C235" s="25" t="n">
        <f aca="false">(B235/B234-1)/(A235-A234)*30</f>
        <v>0.0041745675546369</v>
      </c>
      <c r="D235" s="19" t="n">
        <f aca="false">+D234*(1+C235)</f>
        <v>101.728335875806</v>
      </c>
      <c r="F235" s="17" t="n">
        <v>45716</v>
      </c>
      <c r="G235" s="4" t="n">
        <v>1017.923</v>
      </c>
      <c r="H235" s="4" t="n">
        <f aca="false">+G235+$S$148+$S$150+$S$152+$S$154+$S$156+$S$158</f>
        <v>1020.003</v>
      </c>
      <c r="I235" s="25" t="n">
        <f aca="false">+(H235/H234-1)/(F235-F234)*30</f>
        <v>0.00613161636384006</v>
      </c>
      <c r="J235" s="18" t="n">
        <f aca="false">+J234*(1+I235)</f>
        <v>102.270779085214</v>
      </c>
      <c r="K235" s="3" t="n">
        <v>6104.4912</v>
      </c>
      <c r="L235" s="25" t="n">
        <f aca="false">+(K235/K234-1)/(F235-F234)*30</f>
        <v>0.00295943326101547</v>
      </c>
      <c r="M235" s="19" t="n">
        <f aca="false">+M234*(1+L235)</f>
        <v>101.251652268757</v>
      </c>
    </row>
    <row r="236" customFormat="false" ht="15" hidden="false" customHeight="false" outlineLevel="0" collapsed="false">
      <c r="A236" s="17" t="n">
        <v>45747</v>
      </c>
      <c r="B236" s="3" t="n">
        <v>25092.7</v>
      </c>
      <c r="C236" s="25" t="n">
        <f aca="false">(B236/B235-1)/(A236-A235)*30</f>
        <v>0.00417464717943687</v>
      </c>
      <c r="D236" s="19" t="n">
        <f aca="false">+D235*(1+C236)</f>
        <v>102.153015786238</v>
      </c>
      <c r="F236" s="17" t="n">
        <v>45747</v>
      </c>
      <c r="G236" s="4" t="n">
        <v>1024.9399</v>
      </c>
      <c r="H236" s="4" t="n">
        <f aca="false">+G236+$S$148+$S$150+$S$152+$S$154+$S$156+$S$158</f>
        <v>1027.0199</v>
      </c>
      <c r="I236" s="25" t="n">
        <f aca="false">+(H236/H235-1)/(F236-F235)*30</f>
        <v>0.00665738079897474</v>
      </c>
      <c r="J236" s="18" t="n">
        <f aca="false">+J235*(1+I236)</f>
        <v>102.951634606192</v>
      </c>
      <c r="K236" s="3" t="n">
        <v>6123.1882</v>
      </c>
      <c r="L236" s="25" t="n">
        <f aca="false">+(K236/K235-1)/(F236-F235)*30</f>
        <v>0.00296402605474173</v>
      </c>
      <c r="M236" s="19" t="n">
        <f aca="false">+M235*(1+L236)</f>
        <v>101.551764804167</v>
      </c>
    </row>
    <row r="237" customFormat="false" ht="15" hidden="false" customHeight="false" outlineLevel="0" collapsed="false">
      <c r="A237" s="17" t="n">
        <v>45777</v>
      </c>
      <c r="B237" s="3" t="n">
        <v>25197.48</v>
      </c>
      <c r="C237" s="25" t="n">
        <f aca="false">(B237/B236-1)/(A237-A236)*30</f>
        <v>0.00417571644342774</v>
      </c>
      <c r="D237" s="19" t="n">
        <f aca="false">+D236*(1+C237)</f>
        <v>102.579577814003</v>
      </c>
      <c r="F237" s="17" t="n">
        <v>45777</v>
      </c>
      <c r="G237" s="4" t="n">
        <v>1031.7658</v>
      </c>
      <c r="H237" s="4" t="n">
        <f aca="false">+G237+$S$148+$S$150+$S$152+$S$154+$S$156+$S$158</f>
        <v>1033.8458</v>
      </c>
      <c r="I237" s="25" t="n">
        <f aca="false">+(H237/H236-1)/(F237-F236)*30</f>
        <v>0.00664631717457453</v>
      </c>
      <c r="J237" s="18" t="n">
        <f aca="false">+J236*(1+I237)</f>
        <v>103.635883823425</v>
      </c>
      <c r="K237" s="3" t="n">
        <v>6141.4105</v>
      </c>
      <c r="L237" s="25" t="n">
        <f aca="false">+(K237/K236-1)/(F237-F236)*30</f>
        <v>0.00297594968581905</v>
      </c>
      <c r="M237" s="19" t="n">
        <f aca="false">+M236*(1+L237)</f>
        <v>101.853977746731</v>
      </c>
    </row>
    <row r="238" customFormat="false" ht="15" hidden="false" customHeight="false" outlineLevel="0" collapsed="false">
      <c r="A238" s="17" t="n">
        <v>45808</v>
      </c>
      <c r="B238" s="3" t="n">
        <v>25302.66</v>
      </c>
      <c r="C238" s="25" t="n">
        <f aca="false">(B238/B237-1)/(A238-A237)*30</f>
        <v>0.00403957446435886</v>
      </c>
      <c r="D238" s="19" t="n">
        <f aca="false">+D237*(1+C238)</f>
        <v>102.993955657105</v>
      </c>
      <c r="F238" s="17" t="n">
        <v>45808</v>
      </c>
      <c r="G238" s="4" t="n">
        <v>1039.0221</v>
      </c>
      <c r="H238" s="4" t="n">
        <f aca="false">+G238+$S$148+$S$150+$S$152+$S$154+$S$156+$S$158</f>
        <v>1041.1021</v>
      </c>
      <c r="I238" s="25" t="n">
        <f aca="false">+(H238/H237-1)/(F238-F237)*30</f>
        <v>0.00679233383397378</v>
      </c>
      <c r="J238" s="18" t="n">
        <f aca="false">+J237*(1+I238)</f>
        <v>104.339813343533</v>
      </c>
      <c r="K238" s="3" t="n">
        <v>6160.386</v>
      </c>
      <c r="L238" s="25" t="n">
        <f aca="false">+(K238/K237-1)/(F238-F237)*30</f>
        <v>0.00299009276399519</v>
      </c>
      <c r="M238" s="19" t="n">
        <f aca="false">+M237*(1+L238)</f>
        <v>102.158530588575</v>
      </c>
    </row>
    <row r="239" customFormat="false" ht="15" hidden="false" customHeight="false" outlineLevel="0" collapsed="false">
      <c r="A239" s="17" t="n">
        <v>45838</v>
      </c>
      <c r="B239" s="3" t="n">
        <v>25411.83</v>
      </c>
      <c r="C239" s="25" t="n">
        <f aca="false">(B239/B238-1)/(A239-A238)*30</f>
        <v>0.00431456613652492</v>
      </c>
      <c r="D239" s="19" t="n">
        <f aca="false">+D238*(1+C239)</f>
        <v>103.43832989045</v>
      </c>
      <c r="F239" s="17" t="n">
        <v>45838</v>
      </c>
      <c r="G239" s="4" t="n">
        <v>1045.8956</v>
      </c>
      <c r="H239" s="4" t="n">
        <f aca="false">+G239+$S$148+$S$150+$S$152+$S$154+$S$156+$S$158</f>
        <v>1047.9756</v>
      </c>
      <c r="I239" s="25" t="n">
        <f aca="false">+(H239/H238-1)/(F239-F238)*30</f>
        <v>0.00660213825329925</v>
      </c>
      <c r="J239" s="18" t="n">
        <f aca="false">+J238*(1+I239)</f>
        <v>105.028679216551</v>
      </c>
      <c r="K239" s="3" t="n">
        <v>6178.849</v>
      </c>
      <c r="L239" s="25" t="n">
        <f aca="false">+(K239/K238-1)/(F239-F238)*30</f>
        <v>0.00299705245742721</v>
      </c>
      <c r="M239" s="19" t="n">
        <f aca="false">+M238*(1+L239)</f>
        <v>102.464705063723</v>
      </c>
    </row>
    <row r="240" customFormat="false" ht="15" hidden="false" customHeight="false" outlineLevel="0" collapsed="false">
      <c r="A240" s="17" t="n">
        <v>45869</v>
      </c>
      <c r="B240" s="3" t="n">
        <v>25521.26</v>
      </c>
      <c r="C240" s="25" t="n">
        <f aca="false">(B240/B239-1)/(A240-A239)*30</f>
        <v>0.00416735040333568</v>
      </c>
      <c r="D240" s="19" t="n">
        <f aca="false">+D239*(1+C240)</f>
        <v>103.869393656239</v>
      </c>
      <c r="F240" s="17" t="n">
        <v>45869</v>
      </c>
      <c r="G240" s="4" t="n">
        <v>1052.7366</v>
      </c>
      <c r="H240" s="4" t="n">
        <f aca="false">+G240+$S$148+$S$150+$S$152+$S$154+$S$156+$S$158</f>
        <v>1054.8166</v>
      </c>
      <c r="I240" s="25" t="n">
        <f aca="false">+(H240/H239-1)/(F240-F239)*30</f>
        <v>0.0063172487800718</v>
      </c>
      <c r="J240" s="18" t="n">
        <f aca="false">+J239*(1+I240)</f>
        <v>105.692171512204</v>
      </c>
      <c r="K240" s="3" t="n">
        <v>6197.08</v>
      </c>
      <c r="L240" s="25" t="n">
        <f aca="false">+(K240/K239-1)/(F240-F239)*30</f>
        <v>0.00285537051088415</v>
      </c>
      <c r="M240" s="19" t="n">
        <f aca="false">+M239*(1+L240)</f>
        <v>102.757279760968</v>
      </c>
    </row>
    <row r="241" customFormat="false" ht="15" hidden="false" customHeight="false" outlineLevel="0" collapsed="false">
      <c r="A241" s="17" t="n">
        <v>45900</v>
      </c>
      <c r="B241" s="3" t="n">
        <v>25619.09</v>
      </c>
      <c r="C241" s="25" t="n">
        <f aca="false">(B241/B240-1)/(A241-A240)*30</f>
        <v>0.00370962066717663</v>
      </c>
      <c r="D241" s="19" t="n">
        <f aca="false">+D240*(1+C241)</f>
        <v>104.254709705633</v>
      </c>
      <c r="F241" s="17" t="n">
        <v>45900</v>
      </c>
      <c r="G241" s="4" t="n">
        <v>1059.7346</v>
      </c>
      <c r="H241" s="4" t="n">
        <f aca="false">+G241+$S$148+$S$150+$S$152+$S$154+$S$156+$S$158</f>
        <v>1061.8146</v>
      </c>
      <c r="I241" s="25" t="n">
        <f aca="false">+(H241/H240-1)/(F241-F240)*30</f>
        <v>0.00642031805767571</v>
      </c>
      <c r="J241" s="18" t="n">
        <f aca="false">+J240*(1+I241)</f>
        <v>106.370748869519</v>
      </c>
      <c r="K241" s="3" t="n">
        <v>6215.6746</v>
      </c>
      <c r="L241" s="25" t="n">
        <f aca="false">+(K241/K240-1)/(F241-F240)*30</f>
        <v>0.00290375050726291</v>
      </c>
      <c r="M241" s="19" t="n">
        <f aca="false">+M240*(1+L241)</f>
        <v>103.055661264199</v>
      </c>
    </row>
    <row r="242" customFormat="false" ht="15" hidden="false" customHeight="false" outlineLevel="0" collapsed="false">
      <c r="A242" s="17" t="n">
        <v>45930</v>
      </c>
      <c r="B242" s="3" t="n">
        <v>25727.46</v>
      </c>
      <c r="C242" s="25" t="n">
        <f aca="false">(B242/B241-1)/(A242-A241)*30</f>
        <v>0.00423004876441735</v>
      </c>
      <c r="D242" s="19" t="n">
        <f aca="false">+D241*(1+C242)</f>
        <v>104.695712211608</v>
      </c>
      <c r="F242" s="17" t="n">
        <v>45930</v>
      </c>
      <c r="G242" s="4" t="n">
        <v>1066.3005</v>
      </c>
      <c r="H242" s="4" t="n">
        <f aca="false">+G242+$S$148+$S$150+$S$152+$S$154+$S$156+$S$158</f>
        <v>1068.3805</v>
      </c>
      <c r="I242" s="25" t="n">
        <f aca="false">+(H242/H241-1)/(F242-F241)*30</f>
        <v>0.0061836595578928</v>
      </c>
      <c r="J242" s="18" t="n">
        <f aca="false">+J241*(1+I242)</f>
        <v>107.028509367446</v>
      </c>
      <c r="K242" s="3" t="n">
        <v>6232.8399</v>
      </c>
      <c r="L242" s="25" t="n">
        <f aca="false">+(K242/K241-1)/(F242-F241)*30</f>
        <v>0.00276161496613736</v>
      </c>
      <c r="M242" s="19" t="n">
        <f aca="false">+M241*(1+L242)</f>
        <v>103.340261320692</v>
      </c>
    </row>
    <row r="243" customFormat="false" ht="15" hidden="false" customHeight="false" outlineLevel="0" collapsed="false">
      <c r="A243" s="17" t="n">
        <v>45961</v>
      </c>
      <c r="B243" s="3" t="n">
        <v>25829.5</v>
      </c>
      <c r="C243" s="25" t="n">
        <f aca="false">(B243/B242-1)/(A243-A242)*30</f>
        <v>0.00383824859106876</v>
      </c>
      <c r="D243" s="19" t="n">
        <f aca="false">+D242*(1+C243)</f>
        <v>105.097560381496</v>
      </c>
      <c r="F243" s="17" t="n">
        <v>45961</v>
      </c>
      <c r="G243" s="4" t="n">
        <v>1074.5992</v>
      </c>
      <c r="H243" s="4" t="n">
        <f aca="false">+G243+$S$148+$S$150+$S$152+$S$154+$S$156+$S$158</f>
        <v>1076.6792</v>
      </c>
      <c r="I243" s="25" t="n">
        <f aca="false">+(H243/H242-1)/(F243-F242)*30</f>
        <v>0.00751698481954709</v>
      </c>
      <c r="J243" s="18" t="n">
        <f aca="false">+J242*(1+I243)</f>
        <v>107.83304104762</v>
      </c>
      <c r="K243" s="3" t="n">
        <v>6250.6982</v>
      </c>
      <c r="L243" s="25" t="n">
        <f aca="false">+(K243/K242-1)/(F243-F242)*30</f>
        <v>0.00277276908820515</v>
      </c>
      <c r="M243" s="19" t="n">
        <f aca="false">+M242*(1+L243)</f>
        <v>103.626800002849</v>
      </c>
    </row>
    <row r="244" customFormat="false" ht="15" hidden="false" customHeight="false" outlineLevel="0" collapsed="false">
      <c r="A244" s="17" t="n">
        <v>45991</v>
      </c>
      <c r="B244" s="3" t="n">
        <v>25928.49</v>
      </c>
      <c r="C244" s="25" t="n">
        <f aca="false">(B244/B243-1)/(A244-A243)*30</f>
        <v>0.00383243965233548</v>
      </c>
      <c r="D244" s="19" t="n">
        <f aca="false">+D243*(1+C244)</f>
        <v>105.500340439265</v>
      </c>
      <c r="F244" s="17" t="n">
        <v>45991</v>
      </c>
      <c r="G244" s="4" t="n">
        <v>1080.8206</v>
      </c>
      <c r="H244" s="4" t="n">
        <f aca="false">+G244+$S$148+$S$150+$S$152+$S$154+$S$156+$S$158</f>
        <v>1082.9006</v>
      </c>
      <c r="I244" s="25" t="n">
        <f aca="false">+(H244/H243-1)/(F244-F243)*30</f>
        <v>0.00577832282819246</v>
      </c>
      <c r="J244" s="18" t="n">
        <f aca="false">+J243*(1+I244)</f>
        <v>108.456135170339</v>
      </c>
      <c r="K244" s="3" t="n">
        <v>6268.169</v>
      </c>
      <c r="L244" s="25" t="n">
        <f aca="false">+(K244/K243-1)/(F244-F243)*30</f>
        <v>0.00279501576319907</v>
      </c>
      <c r="M244" s="19" t="n">
        <f aca="false">+M243*(1+L244)</f>
        <v>103.916438542347</v>
      </c>
    </row>
    <row r="245" customFormat="false" ht="15" hidden="false" customHeight="false" outlineLevel="0" collapsed="false">
      <c r="A245" s="17" t="n">
        <v>46022</v>
      </c>
      <c r="B245" s="3" t="n">
        <v>26035.82</v>
      </c>
      <c r="C245" s="25" t="n">
        <f aca="false">(B245/B244-1)/(A245-A244)*30</f>
        <v>0.00400593100236385</v>
      </c>
      <c r="D245" s="19" t="n">
        <f aca="false">+D244*(1+C245)</f>
        <v>105.922967523791</v>
      </c>
      <c r="F245" s="17" t="n">
        <v>46022</v>
      </c>
      <c r="G245" s="68" t="n">
        <v>1088.1075</v>
      </c>
      <c r="H245" s="4" t="n">
        <f aca="false">+G245+$S$148+$S$150+$S$152+$S$154+$S$156+$S$158</f>
        <v>1090.1875</v>
      </c>
      <c r="I245" s="25" t="n">
        <f aca="false">+(H245/H244-1)/(F245-F244)*30</f>
        <v>0.00651199076782987</v>
      </c>
      <c r="J245" s="18" t="n">
        <f aca="false">+J244*(1+I245)</f>
        <v>109.162400521282</v>
      </c>
      <c r="K245" s="3" t="n">
        <v>6285.9566</v>
      </c>
      <c r="L245" s="25" t="n">
        <f aca="false">+(K245/K244-1)/(F245-F244)*30</f>
        <v>0.00274622564446067</v>
      </c>
      <c r="M245" s="19" t="n">
        <f aca="false">+M244*(1+L245)</f>
        <v>104.201816530753</v>
      </c>
    </row>
    <row r="246" customFormat="false" ht="15" hidden="false" customHeight="false" outlineLevel="0" collapsed="false">
      <c r="A246" s="17" t="n">
        <v>46053</v>
      </c>
      <c r="B246" s="3" t="n">
        <v>26136.9</v>
      </c>
      <c r="C246" s="25" t="n">
        <f aca="false">(B246/B245-1)/(A246-A245)*30</f>
        <v>0.00375710674135526</v>
      </c>
      <c r="D246" s="19" t="n">
        <f aca="false">+D245*(1+C246)</f>
        <v>106.320931419139</v>
      </c>
      <c r="F246" s="17" t="n">
        <v>46053</v>
      </c>
      <c r="G246" s="68" t="n">
        <v>1095.2842</v>
      </c>
      <c r="H246" s="4" t="n">
        <f aca="false">+G246+$S$148+$S$150+$S$152+$S$154+$S$156+$S$158</f>
        <v>1097.3642</v>
      </c>
      <c r="I246" s="25" t="n">
        <f aca="false">+(H246/H245-1)/(F246-F245)*30</f>
        <v>0.00637064133315338</v>
      </c>
      <c r="J246" s="18" t="n">
        <f aca="false">+J245*(1+I246)</f>
        <v>109.857835022069</v>
      </c>
      <c r="K246" s="3" t="n">
        <v>6303.0823</v>
      </c>
      <c r="L246" s="25" t="n">
        <f aca="false">+(K246/K245-1)/(F246-F245)*30</f>
        <v>0.00263655305296194</v>
      </c>
      <c r="M246" s="19" t="n">
        <f aca="false">+M245*(1+L246)</f>
        <v>104.476550148251</v>
      </c>
    </row>
    <row r="247" customFormat="false" ht="15" hidden="false" customHeight="false" outlineLevel="0" collapsed="false">
      <c r="A247" s="69" t="n">
        <v>46081</v>
      </c>
      <c r="B247" s="70" t="n">
        <v>26231.81</v>
      </c>
      <c r="C247" s="25" t="n">
        <f aca="false">(B247/B246-1)/(A247-A246)*30</f>
        <v>0.00389064065418173</v>
      </c>
      <c r="D247" s="19" t="n">
        <f aca="false">+D246*(1+C247)</f>
        <v>106.734587957309</v>
      </c>
      <c r="F247" s="69" t="n">
        <v>46081</v>
      </c>
      <c r="G247" s="68" t="n">
        <v>1101.8197</v>
      </c>
      <c r="H247" s="4" t="n">
        <f aca="false">+G247+$S$148+$S$150+$S$152+$S$154+$S$156+$S$158</f>
        <v>1103.8997</v>
      </c>
      <c r="I247" s="25" t="n">
        <f aca="false">+(H247/H246-1)/(F247-F246)*30</f>
        <v>0.00638103687779446</v>
      </c>
      <c r="J247" s="18" t="n">
        <f aca="false">+J246*(1+I247)</f>
        <v>110.55884191866</v>
      </c>
      <c r="K247" s="71" t="n">
        <v>6318.4947</v>
      </c>
      <c r="L247" s="25" t="n">
        <f aca="false">+(K247/K246-1)/(F247-F246)*30</f>
        <v>0.00261987467850238</v>
      </c>
      <c r="M247" s="19" t="n">
        <f aca="false">+M246*(1+L247)</f>
        <v>104.750265616482</v>
      </c>
    </row>
    <row r="248" customFormat="false" ht="15" hidden="false" customHeight="false" outlineLevel="0" collapsed="false">
      <c r="A248" s="69" t="n">
        <v>46112</v>
      </c>
      <c r="B248" s="70" t="n">
        <v>26333.64</v>
      </c>
      <c r="C248" s="25" t="n">
        <f aca="false">(B248/B247-1)/(A248-A247)*30</f>
        <v>0.00375670459988545</v>
      </c>
      <c r="D248" s="19" t="n">
        <f aca="false">+D247*(1+C248)</f>
        <v>107.135558274855</v>
      </c>
      <c r="F248" s="69" t="n">
        <v>46112</v>
      </c>
      <c r="G248" s="72" t="n">
        <v>1108.6473</v>
      </c>
      <c r="H248" s="4" t="n">
        <f aca="false">+G248+$S$148+$S$150+$S$152+$S$154+$S$156+$S$158</f>
        <v>1110.7273</v>
      </c>
      <c r="I248" s="25" t="n">
        <f aca="false">+(H248/H247-1)/(F248-F247)*30</f>
        <v>0.00598546664946986</v>
      </c>
      <c r="J248" s="18" t="n">
        <f aca="false">+J247*(1+I248)</f>
        <v>111.220588179768</v>
      </c>
      <c r="K248" s="73" t="n">
        <v>6335.4774</v>
      </c>
      <c r="L248" s="25" t="n">
        <f aca="false">+(K248/K247-1)/(F248-F247)*30</f>
        <v>0.00260107379179124</v>
      </c>
      <c r="M248" s="19" t="n">
        <f aca="false">+M247*(1+L248)</f>
        <v>105.02272878706</v>
      </c>
    </row>
    <row r="249" customFormat="false" ht="15" hidden="false" customHeight="false" outlineLevel="0" collapsed="false">
      <c r="A249" s="17" t="n">
        <v>46142</v>
      </c>
      <c r="B249" s="3" t="n">
        <v>19916.8502383877</v>
      </c>
      <c r="C249" s="25" t="n">
        <f aca="false">(B249/B248-1)/(A249-A248)*30</f>
        <v>-0.243672722859896</v>
      </c>
      <c r="D249" s="19" t="n">
        <f aca="false">+D248*(1+C249)</f>
        <v>81.0295450749059</v>
      </c>
      <c r="F249" s="17" t="n">
        <v>46142</v>
      </c>
      <c r="G249" s="74" t="n">
        <v>1115.4076</v>
      </c>
      <c r="H249" s="4" t="n">
        <f aca="false">+G249+$S$148+$S$150+$S$152+$S$154+$S$156+$S$158</f>
        <v>1117.4876</v>
      </c>
      <c r="I249" s="25" t="n">
        <f aca="false">+(H249/H248-1)/(F249-F248)*30</f>
        <v>0.00608637241562349</v>
      </c>
      <c r="J249" s="18" t="n">
        <f aca="false">+J248*(1+I249)</f>
        <v>111.897518099715</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60" zoomScaleNormal="6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2"/>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0.0531005015427382</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0.0387637911168999</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0.00608637241562349</v>
      </c>
      <c r="U4" s="81" t="n">
        <f aca="false">+'Datos ICP (2)'!AY31</f>
        <v>0.018337941040905</v>
      </c>
      <c r="V4" s="81" t="n">
        <f aca="false">+'Datos ICP (2)'!AZ31</f>
        <v>0.0379020974864193</v>
      </c>
      <c r="W4" s="81" t="n">
        <f aca="false">+Q35</f>
        <v>0.0375107775826282</v>
      </c>
      <c r="X4" s="81" t="n">
        <f aca="false">+'Datos ICP (2)'!BB31</f>
        <v>0.0550138231227151</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true" customHeight="true" outlineLevel="0" collapsed="false">
      <c r="C30" s="76" t="n">
        <v>2023</v>
      </c>
      <c r="D30" s="77" t="s">
        <v>3</v>
      </c>
      <c r="E30" s="81"/>
      <c r="F30" s="81"/>
      <c r="G30" s="81"/>
      <c r="H30" s="81"/>
      <c r="I30" s="81"/>
      <c r="J30" s="81"/>
      <c r="K30" s="81"/>
      <c r="L30" s="81"/>
      <c r="M30" s="81"/>
      <c r="N30" s="81"/>
      <c r="O30" s="81"/>
      <c r="P30" s="81"/>
      <c r="Q30" s="81"/>
      <c r="R30" s="77"/>
      <c r="S30" s="77"/>
      <c r="T30" s="77"/>
      <c r="U30" s="77"/>
      <c r="V30" s="77"/>
      <c r="W30" s="77"/>
      <c r="X30" s="77"/>
    </row>
    <row r="31" customFormat="false" ht="15" hidden="true" customHeight="true" outlineLevel="0" collapsed="false">
      <c r="C31" s="76"/>
      <c r="D31" s="77" t="s">
        <v>26</v>
      </c>
      <c r="E31" s="87"/>
      <c r="F31" s="87"/>
      <c r="G31" s="87"/>
      <c r="H31" s="87"/>
      <c r="I31" s="87"/>
      <c r="J31" s="87"/>
      <c r="K31" s="87"/>
      <c r="L31" s="87"/>
      <c r="M31" s="87"/>
      <c r="N31" s="87"/>
      <c r="O31" s="87"/>
      <c r="P31" s="87"/>
      <c r="Q31" s="81"/>
      <c r="R31" s="77"/>
      <c r="S31" s="77"/>
      <c r="T31" s="77"/>
      <c r="U31" s="77"/>
      <c r="V31" s="77"/>
      <c r="W31" s="77"/>
      <c r="X31" s="77"/>
    </row>
    <row r="32" customFormat="false" ht="15" hidden="true" customHeight="true" outlineLevel="0" collapsed="false">
      <c r="C32" s="76"/>
      <c r="D32" s="77" t="s">
        <v>38</v>
      </c>
      <c r="E32" s="87"/>
      <c r="F32" s="87"/>
      <c r="G32" s="87"/>
      <c r="H32" s="87"/>
      <c r="I32" s="87"/>
      <c r="J32" s="87"/>
      <c r="K32" s="87"/>
      <c r="L32" s="87"/>
      <c r="M32" s="87"/>
      <c r="N32" s="87"/>
      <c r="O32" s="87"/>
      <c r="P32" s="87"/>
      <c r="Q32" s="81"/>
      <c r="R32" s="77"/>
      <c r="S32" s="77"/>
      <c r="T32" s="77"/>
      <c r="U32" s="77"/>
      <c r="V32" s="77"/>
      <c r="W32" s="77"/>
      <c r="X32" s="77"/>
    </row>
    <row r="33" customFormat="false" ht="15" hidden="false" customHeight="true" outlineLevel="0" collapsed="false">
      <c r="C33" s="76" t="n">
        <v>2024</v>
      </c>
      <c r="D33" s="77" t="s">
        <v>3</v>
      </c>
      <c r="E33" s="81"/>
      <c r="F33" s="81"/>
      <c r="G33" s="81"/>
      <c r="H33" s="81"/>
      <c r="I33" s="81"/>
      <c r="J33" s="81"/>
      <c r="K33" s="81"/>
      <c r="L33" s="81"/>
      <c r="M33" s="81"/>
      <c r="N33" s="81"/>
      <c r="O33" s="81" t="n">
        <f aca="false">+'Datos ICP (2)'!AO80</f>
        <v>0.0043843255475724</v>
      </c>
      <c r="P33" s="81" t="n">
        <f aca="false">+'Datos ICP (2)'!AP80</f>
        <v>0.00444626417327787</v>
      </c>
      <c r="Q33" s="81" t="n">
        <f aca="false">+'Datos ICP (2)'!$AQ$80</f>
        <v>0.0531005015427382</v>
      </c>
      <c r="R33" s="77"/>
      <c r="S33" s="77"/>
      <c r="T33" s="77"/>
      <c r="U33" s="77"/>
      <c r="V33" s="77"/>
      <c r="W33" s="77"/>
      <c r="X33" s="77"/>
    </row>
    <row r="34" customFormat="false" ht="15" hidden="false" customHeight="true" outlineLevel="0" collapsed="false">
      <c r="C34" s="76"/>
      <c r="D34" s="77" t="s">
        <v>26</v>
      </c>
      <c r="E34" s="87"/>
      <c r="F34" s="87"/>
      <c r="G34" s="87"/>
      <c r="H34" s="87"/>
      <c r="I34" s="87"/>
      <c r="J34" s="87"/>
      <c r="K34" s="87"/>
      <c r="L34" s="87"/>
      <c r="M34" s="87"/>
      <c r="N34" s="87"/>
      <c r="O34" s="87" t="n">
        <f aca="false">+'Datos ICP (2)'!AO81</f>
        <v>0.00322037460491331</v>
      </c>
      <c r="P34" s="87" t="n">
        <f aca="false">+'Datos ICP (2)'!AP81</f>
        <v>0.003229855901979</v>
      </c>
      <c r="Q34" s="81" t="n">
        <f aca="false">+'Datos ICP (2)'!$AQ$81</f>
        <v>0.0387637911168999</v>
      </c>
      <c r="R34" s="77"/>
      <c r="S34" s="77"/>
      <c r="T34" s="77"/>
      <c r="U34" s="77"/>
      <c r="V34" s="77"/>
      <c r="W34" s="77"/>
      <c r="X34" s="77"/>
    </row>
    <row r="35" customFormat="false" ht="15" hidden="false" customHeight="true" outlineLevel="0" collapsed="false">
      <c r="C35" s="76"/>
      <c r="D35" s="77" t="s">
        <v>38</v>
      </c>
      <c r="E35" s="87"/>
      <c r="F35" s="87"/>
      <c r="G35" s="87"/>
      <c r="H35" s="87"/>
      <c r="I35" s="87"/>
      <c r="J35" s="87"/>
      <c r="K35" s="87"/>
      <c r="L35" s="87"/>
      <c r="M35" s="87"/>
      <c r="N35" s="87"/>
      <c r="O35" s="87" t="n">
        <f aca="false">+'Datos ICP (2)'!AO82</f>
        <v>0.000336300494970354</v>
      </c>
      <c r="P35" s="87" t="n">
        <f aca="false">+'Datos ICP (2)'!AP82</f>
        <v>0.00591350705345195</v>
      </c>
      <c r="Q35" s="81" t="n">
        <f aca="false">+'Datos ICP (2)'!$AQ$82</f>
        <v>0.0375107775826282</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0.00580565298695457</v>
      </c>
      <c r="F38" s="87" t="n">
        <f aca="false">+'Datos ICP (2)'!AF85</f>
        <v>0.00572284193958406</v>
      </c>
      <c r="G38" s="87" t="n">
        <f aca="false">+'Datos ICP (2)'!AG85</f>
        <v>0.0068792934922739</v>
      </c>
      <c r="H38" s="87" t="n">
        <f aca="false">+'Datos ICP (2)'!AH85</f>
        <v>0.00664631717457453</v>
      </c>
      <c r="I38" s="87" t="n">
        <f aca="false">+'Datos ICP (2)'!AI85</f>
        <v>0.00701874496177291</v>
      </c>
      <c r="J38" s="87" t="n">
        <f aca="false">+'Datos ICP (2)'!AJ85</f>
        <v>0.00660213825329925</v>
      </c>
      <c r="K38" s="87" t="n">
        <f aca="false">+'Datos ICP (2)'!AK85</f>
        <v>0.00652782373940752</v>
      </c>
      <c r="L38" s="87" t="n">
        <f aca="false">+'Datos ICP (2)'!AL85</f>
        <v>0.00663432865959823</v>
      </c>
      <c r="M38" s="87" t="n">
        <f aca="false">+'Datos ICP (2)'!AM85</f>
        <v>0.0061836595578928</v>
      </c>
      <c r="N38" s="87" t="n">
        <f aca="false">+'Datos ICP (2)'!AN85</f>
        <v>0.00776755098019866</v>
      </c>
      <c r="O38" s="87" t="n">
        <f aca="false">+'Datos ICP (2)'!AO85</f>
        <v>0.00577832282819246</v>
      </c>
      <c r="P38" s="87" t="n">
        <f aca="false">+'Datos ICP (2)'!AP85</f>
        <v>0.00672905712675753</v>
      </c>
      <c r="Q38" s="81" t="n">
        <f aca="false">+'Datos ICP (2)'!AQ85</f>
        <v>0.067739868382819</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0.00658299604425849</v>
      </c>
      <c r="F41" s="87" t="n">
        <f aca="false">+'Datos ICP (2)'!AF88</f>
        <v>0.00595563441927482</v>
      </c>
      <c r="G41" s="87" t="n">
        <f aca="false">+'Datos ICP (2)'!AG88</f>
        <v>0.00618498220445218</v>
      </c>
      <c r="H41" s="87" t="n">
        <f aca="false">+'Datos ICP (2)'!AH88</f>
        <v>0.00608637241562349</v>
      </c>
      <c r="I41" s="87"/>
      <c r="J41" s="87"/>
      <c r="K41" s="87"/>
      <c r="L41" s="87"/>
      <c r="M41" s="87"/>
      <c r="N41" s="87"/>
      <c r="O41" s="87"/>
      <c r="P41" s="87"/>
      <c r="Q41" s="87" t="n">
        <f aca="false">+'Datos ICP (2)'!AQ88</f>
        <v>0.0550138231227151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0.5169</v>
      </c>
      <c r="O3" s="92" t="s">
        <v>54</v>
      </c>
      <c r="P3" s="93" t="n">
        <v>0</v>
      </c>
      <c r="S3" s="92" t="s">
        <v>55</v>
      </c>
      <c r="T3" s="93" t="n">
        <v>1</v>
      </c>
    </row>
    <row r="4" customFormat="false" ht="15" hidden="false" customHeight="false" outlineLevel="0" collapsed="false">
      <c r="C4" s="89"/>
      <c r="K4" s="92" t="s">
        <v>56</v>
      </c>
      <c r="L4" s="93" t="n">
        <v>0.4386</v>
      </c>
      <c r="O4" s="92" t="s">
        <v>57</v>
      </c>
      <c r="P4" s="93" t="n">
        <v>0</v>
      </c>
      <c r="S4" s="92" t="s">
        <v>58</v>
      </c>
      <c r="T4" s="93" t="n">
        <v>0</v>
      </c>
    </row>
    <row r="5" customFormat="false" ht="15" hidden="false" customHeight="false" outlineLevel="0" collapsed="false">
      <c r="A5" s="88"/>
      <c r="B5" s="88"/>
      <c r="C5" s="89"/>
      <c r="K5" s="92" t="s">
        <v>59</v>
      </c>
      <c r="L5" s="93" t="n">
        <v>0.0444</v>
      </c>
      <c r="O5" s="92" t="s">
        <v>60</v>
      </c>
      <c r="P5" s="93" t="n">
        <v>0.3425</v>
      </c>
    </row>
    <row r="6" customFormat="false" ht="15" hidden="false" customHeight="false" outlineLevel="0" collapsed="false">
      <c r="A6" s="88"/>
      <c r="B6" s="88"/>
      <c r="C6" s="89"/>
      <c r="K6" s="92" t="s">
        <v>61</v>
      </c>
      <c r="L6" s="93" t="n">
        <v>0</v>
      </c>
      <c r="O6" s="92" t="s">
        <v>62</v>
      </c>
      <c r="P6" s="93" t="n">
        <v>0.6575</v>
      </c>
      <c r="R6" s="94"/>
    </row>
    <row r="7" customFormat="false" ht="15" hidden="false" customHeight="false" outlineLevel="0" collapsed="false">
      <c r="B7" s="88"/>
      <c r="C7" s="89"/>
      <c r="L7" s="94" t="n">
        <f aca="false">SUM(L3:L6)</f>
        <v>0.9999</v>
      </c>
      <c r="O7" s="92" t="s">
        <v>63</v>
      </c>
      <c r="P7" s="93" t="n">
        <v>0</v>
      </c>
      <c r="Q7" s="94"/>
      <c r="R7" s="94"/>
    </row>
    <row r="8" customFormat="false" ht="15" hidden="false" customHeight="false" outlineLevel="0" collapsed="false">
      <c r="C8" s="89"/>
      <c r="O8" s="92" t="s">
        <v>64</v>
      </c>
      <c r="P8" s="93" t="n">
        <v>0</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2026-05-19T14:23:13Z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