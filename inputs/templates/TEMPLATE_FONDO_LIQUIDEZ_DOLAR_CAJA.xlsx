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_rels/externalLink1.xml.rels" ContentType="application/vnd.openxmlformats-package.relationships+xml"/>
  <Override PartName="/xl/externalLinks/externalLink1.xml" ContentType="application/vnd.openxmlformats-officedocument.spreadsheetml.externalLink+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entario" sheetId="1" state="visible" r:id="rId3"/>
    <sheet name="Datos ICP (2)" sheetId="2" state="visible" r:id="rId4"/>
    <sheet name="rentabilidad" sheetId="3" state="visible" r:id="rId5"/>
    <sheet name="composición" sheetId="4" state="visible" r:id="rId6"/>
  </sheets>
  <externalReferences>
    <externalReference r:id="rId7"/>
  </externalReferences>
  <definedNames>
    <definedName function="false" hidden="true" localSheetId="3" name="_xlnm._FilterDatabase" vbProcedure="false">composición!$K$1:$T$24</definedName>
    <definedName function="false" hidden="false" localSheetId="1" name="OLE_LINK1" vbProcedure="false">'datos icp (2)'!#ref!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<sst xmlns="http://schemas.openxmlformats.org/spreadsheetml/2006/main" count="221" uniqueCount="66">
  <si>
    <t xml:space="preserve">El IPC de abril en Estados Unidos sorprendió levemente al alza respecto de las expectativas, impulsado principalmente por el fuerte aumento de los precios de la energía. La gasolina explicó una parte importante del avance del índice general, mientras que la inflación subyacente también mostró resiliencia, explicada en parte por un ajuste en los precios de arriendos tras las distorsiones asociadas al cierre parcial del gobierno el año pasado.
El IPC general registró un aumento de 0,6% mensual, llevando la inflación anual a 3,8%, su mayor nivel en tres años. Por su parte, la inflación subyacente avanzó 0,4% mensual, impulsada por mayores costos de vivienda, particularmente en el componente equivalente de arriendo y arriendos efectivos.
Por su parte, las nóminas no agrícolas aumentaron en 115 mil puestos durante abril, mientras que la tasa de desempleo se mantuvo estable en 4,3%, evidenciando un mercado laboral aún sólido. Por su parte, la Reserva Federal mantuvo una postura cautelosa respecto de la política monetaria, monitoreando tanto la persistencia de la inflación subyacente como los riesgos derivados del conflicto geopolítico y su impacto sobre los precios de la energía</t>
  </si>
  <si>
    <t xml:space="preserve">CLICP Index</t>
  </si>
  <si>
    <t xml:space="preserve">Cuota LIQUIDEZ DÓLAR CAJA</t>
  </si>
  <si>
    <t xml:space="preserve">ICP</t>
  </si>
  <si>
    <t xml:space="preserve">Ene</t>
  </si>
  <si>
    <t xml:space="preserve">Feb</t>
  </si>
  <si>
    <t xml:space="preserve">Mar</t>
  </si>
  <si>
    <t xml:space="preserve">Abr</t>
  </si>
  <si>
    <t xml:space="preserve">May</t>
  </si>
  <si>
    <t xml:space="preserve">Jun</t>
  </si>
  <si>
    <t xml:space="preserve">Jul</t>
  </si>
  <si>
    <t xml:space="preserve">Ago</t>
  </si>
  <si>
    <t xml:space="preserve">Sep</t>
  </si>
  <si>
    <t xml:space="preserve">Oct</t>
  </si>
  <si>
    <t xml:space="preserve">Nov</t>
  </si>
  <si>
    <t xml:space="preserve">Dic</t>
  </si>
  <si>
    <t xml:space="preserve">Total Año</t>
  </si>
  <si>
    <t xml:space="preserve">Fecha</t>
  </si>
  <si>
    <t xml:space="preserve">ICP Norm.</t>
  </si>
  <si>
    <t xml:space="preserve">FondoLiquidez Dólar</t>
  </si>
  <si>
    <t xml:space="preserve"> 8248-1</t>
  </si>
  <si>
    <t xml:space="preserve">Competencia Relevante (*)</t>
  </si>
  <si>
    <t xml:space="preserve">Corporate Dollar Serie A Banchile</t>
  </si>
  <si>
    <t xml:space="preserve">(*)</t>
  </si>
  <si>
    <t xml:space="preserve">Ingresar mes actual==&gt;</t>
  </si>
  <si>
    <t xml:space="preserve">Competencia</t>
  </si>
  <si>
    <t xml:space="preserve">LIQUIDEZ DÓLAR CAJA</t>
  </si>
  <si>
    <t xml:space="preserve">(*) Acum a Mar</t>
  </si>
  <si>
    <t xml:space="preserve">FONDO LIQUIDEZ DÓLAR CAJA</t>
  </si>
  <si>
    <t xml:space="preserve">Rentabilidad</t>
  </si>
  <si>
    <t xml:space="preserve">Mensual</t>
  </si>
  <si>
    <t xml:space="preserve">Trimestral</t>
  </si>
  <si>
    <t xml:space="preserve">Semestral</t>
  </si>
  <si>
    <t xml:space="preserve">Anual</t>
  </si>
  <si>
    <t xml:space="preserve">Acum. 2026</t>
  </si>
  <si>
    <t xml:space="preserve">LIQUIDEZ DÓLAR</t>
  </si>
  <si>
    <t xml:space="preserve">Año</t>
  </si>
  <si>
    <t xml:space="preserve">Fondo</t>
  </si>
  <si>
    <t xml:space="preserve">DIVIDENDO 2016</t>
  </si>
  <si>
    <t xml:space="preserve">Dividendo 2017</t>
  </si>
  <si>
    <t xml:space="preserve">Dividendo 2020</t>
  </si>
  <si>
    <t xml:space="preserve">Dividendo 2021</t>
  </si>
  <si>
    <t xml:space="preserve">Dividendo 2022</t>
  </si>
  <si>
    <t xml:space="preserve">Dividendo 2023</t>
  </si>
  <si>
    <t xml:space="preserve">Acum
2025 (*)</t>
  </si>
  <si>
    <t xml:space="preserve">Total
Año</t>
  </si>
  <si>
    <t xml:space="preserve">Duración</t>
  </si>
  <si>
    <t xml:space="preserve">Instrumentos</t>
  </si>
  <si>
    <t xml:space="preserve">Moneda</t>
  </si>
  <si>
    <t xml:space="preserve">Bono</t>
  </si>
  <si>
    <t xml:space="preserve">Menos de 1 mes</t>
  </si>
  <si>
    <t xml:space="preserve">Depósitos</t>
  </si>
  <si>
    <t xml:space="preserve">USD</t>
  </si>
  <si>
    <t xml:space="preserve">1-3 meses</t>
  </si>
  <si>
    <t xml:space="preserve">Factoring</t>
  </si>
  <si>
    <t xml:space="preserve">3-4 meses</t>
  </si>
  <si>
    <t xml:space="preserve">Financiamiento Inmobiliario</t>
  </si>
  <si>
    <t xml:space="preserve">Más de 4 meses</t>
  </si>
  <si>
    <t xml:space="preserve">Financiamiento Mesa Moneda Extranjera</t>
  </si>
  <si>
    <t xml:space="preserve">Garantías</t>
  </si>
  <si>
    <t xml:space="preserve">Nota Estructurada</t>
  </si>
  <si>
    <t xml:space="preserve">Financiamiento Mesa Renta Fija</t>
  </si>
  <si>
    <t xml:space="preserve">Simultánea</t>
  </si>
  <si>
    <t xml:space="preserve">Efectos de Comercio</t>
  </si>
  <si>
    <t xml:space="preserve">Pagaré</t>
  </si>
  <si>
    <t xml:space="preserve">Facturas</t>
  </si>
</sst>
</file>

<file path=xl/styles.xml><?xml version="1.0" encoding="utf-8"?>
<styleSheet xmlns="http://schemas.openxmlformats.org/spreadsheetml/2006/main">
  <numFmts count="15">
    <numFmt numFmtId="164" formatCode="General"/>
    <numFmt numFmtId="165" formatCode="_ * #,##0_ ;_ * \-#,##0_ ;_ * \-_ ;_ @_ "/>
    <numFmt numFmtId="166" formatCode="0%"/>
    <numFmt numFmtId="167" formatCode="#,##0.0000"/>
    <numFmt numFmtId="168" formatCode="0.0000"/>
    <numFmt numFmtId="169" formatCode="0.00%"/>
    <numFmt numFmtId="170" formatCode="m/d/yyyy"/>
    <numFmt numFmtId="171" formatCode="#,##0.00"/>
    <numFmt numFmtId="172" formatCode="0.00"/>
    <numFmt numFmtId="173" formatCode="dd\-mm\-yyyy"/>
    <numFmt numFmtId="174" formatCode="#,##0.00_ ;[RED]\-#,##0.00\ "/>
    <numFmt numFmtId="175" formatCode="_ * #,##0.0000_ ;_ * \-#,##0.0000_ ;_ * \-_ ;_ @_ "/>
    <numFmt numFmtId="176" formatCode="_ * #,##0.00_ ;_ * \-#,##0.00_ ;_ * \-_ ;_ @_ "/>
    <numFmt numFmtId="177" formatCode="0.00000000"/>
    <numFmt numFmtId="178" formatCode="0"/>
  </numFmts>
  <fonts count="41">
    <font>
      <sz val="11"/>
      <color theme="1"/>
      <name val="Calibri"/>
      <family val="2"/>
      <charset val="1"/>
    </font>
    <font>
      <sz val="10"/>
      <name val="Arial"/>
      <family val="0"/>
    </font>
    <font>
      <sz val="10"/>
      <name val="Arial"/>
      <family val="0"/>
    </font>
    <font>
      <sz val="10"/>
      <name val="Arial"/>
      <family val="0"/>
    </font>
    <font>
      <sz val="12"/>
      <color theme="1"/>
      <name val="Calibri"/>
      <family val="2"/>
      <charset val="1"/>
    </font>
    <font>
      <sz val="9"/>
      <name val="Be Vietnam Pro Light"/>
      <family val="0"/>
      <charset val="1"/>
    </font>
    <font>
      <sz val="9"/>
      <color theme="1"/>
      <name val="Be Vietnam Pro Light"/>
      <family val="0"/>
      <charset val="1"/>
    </font>
    <font>
      <sz val="11"/>
      <color theme="1"/>
      <name val="Aileron Light"/>
      <family val="3"/>
      <charset val="1"/>
    </font>
    <font>
      <b val="true"/>
      <sz val="11"/>
      <color rgb="FF000000"/>
      <name val="Aileron Light"/>
      <family val="3"/>
      <charset val="1"/>
    </font>
    <font>
      <b val="true"/>
      <sz val="8"/>
      <color rgb="FF000000"/>
      <name val="Aileron Light"/>
      <family val="3"/>
      <charset val="1"/>
    </font>
    <font>
      <sz val="7"/>
      <color rgb="FF000000"/>
      <name val="Aileron Light"/>
      <family val="3"/>
      <charset val="1"/>
    </font>
    <font>
      <b val="true"/>
      <sz val="7"/>
      <color rgb="FF000000"/>
      <name val="Aileron Light"/>
      <family val="3"/>
      <charset val="1"/>
    </font>
    <font>
      <b val="true"/>
      <sz val="10"/>
      <color rgb="FF000000"/>
      <name val="Aileron Light"/>
      <family val="3"/>
      <charset val="1"/>
    </font>
    <font>
      <b val="true"/>
      <sz val="8"/>
      <color theme="1"/>
      <name val="Aileron Light"/>
      <family val="3"/>
      <charset val="1"/>
    </font>
    <font>
      <b val="true"/>
      <sz val="9"/>
      <color rgb="FF000000"/>
      <name val="Aileron Light"/>
      <family val="3"/>
      <charset val="1"/>
    </font>
    <font>
      <sz val="9"/>
      <color rgb="FF000000"/>
      <name val="Aileron Light"/>
      <family val="3"/>
      <charset val="1"/>
    </font>
    <font>
      <sz val="6"/>
      <color rgb="FF000000"/>
      <name val="Aileron Light"/>
      <family val="3"/>
      <charset val="1"/>
    </font>
    <font>
      <b val="true"/>
      <sz val="10"/>
      <color theme="1"/>
      <name val="Aileron Light"/>
      <family val="3"/>
      <charset val="1"/>
    </font>
    <font>
      <sz val="10"/>
      <color rgb="FF000000"/>
      <name val="Aileron Light"/>
      <family val="3"/>
      <charset val="1"/>
    </font>
    <font>
      <sz val="10"/>
      <color theme="1"/>
      <name val="Aileron Light"/>
      <family val="3"/>
      <charset val="1"/>
    </font>
    <font>
      <sz val="8"/>
      <color rgb="FF000000"/>
      <name val="Aileron Light"/>
      <family val="3"/>
      <charset val="1"/>
    </font>
    <font>
      <sz val="8"/>
      <color theme="1"/>
      <name val="Aileron Light"/>
      <family val="3"/>
      <charset val="1"/>
    </font>
    <font>
      <sz val="8.8"/>
      <color rgb="FF666666"/>
      <name val="Muli"/>
      <family val="2"/>
      <charset val="1"/>
    </font>
    <font>
      <sz val="11"/>
      <color rgb="FF000000"/>
      <name val="Aptos Narrow"/>
      <family val="0"/>
      <charset val="1"/>
    </font>
    <font>
      <sz val="11"/>
      <color rgb="FF000000"/>
      <name val="Aptos Narrow"/>
      <family val="2"/>
      <charset val="1"/>
    </font>
    <font>
      <b val="true"/>
      <sz val="16"/>
      <color rgb="FF000000"/>
      <name val="Be Vietnam Pro Light"/>
      <family val="2"/>
    </font>
    <font>
      <sz val="10"/>
      <color rgb="FF000000"/>
      <name val="Calibri"/>
      <family val="2"/>
    </font>
    <font>
      <sz val="11"/>
      <color rgb="FF000000"/>
      <name val="Aileron"/>
      <family val="2"/>
    </font>
    <font>
      <b val="true"/>
      <sz val="10"/>
      <color rgb="FF000000"/>
      <name val="Calibri"/>
      <family val="2"/>
    </font>
    <font>
      <sz val="11"/>
      <color rgb="FF000000"/>
      <name val="Be Vietnam Pro Light"/>
      <family val="2"/>
    </font>
    <font>
      <sz val="11"/>
      <color theme="1"/>
      <name val="Be Vietnam Pro Light"/>
      <family val="0"/>
      <charset val="1"/>
    </font>
    <font>
      <sz val="10"/>
      <color theme="1"/>
      <name val="Be Vietnam Pro"/>
      <family val="0"/>
      <charset val="1"/>
    </font>
    <font>
      <sz val="11"/>
      <color theme="1"/>
      <name val="Be Vietnam Pro Medium"/>
      <family val="0"/>
      <charset val="1"/>
    </font>
    <font>
      <sz val="11"/>
      <name val="Acumin Pro Extra Light"/>
      <family val="2"/>
      <charset val="1"/>
    </font>
    <font>
      <sz val="11"/>
      <name val="Calibri"/>
      <family val="2"/>
      <charset val="1"/>
    </font>
    <font>
      <b val="true"/>
      <sz val="11"/>
      <name val="Be Vietnam Pro Light"/>
      <family val="0"/>
      <charset val="1"/>
    </font>
    <font>
      <sz val="11"/>
      <name val="Be Vietnam Pro Light"/>
      <family val="0"/>
      <charset val="1"/>
    </font>
    <font>
      <b val="true"/>
      <sz val="11"/>
      <name val="Acumin Pro Extra Light"/>
      <family val="2"/>
      <charset val="1"/>
    </font>
    <font>
      <sz val="9"/>
      <color theme="0"/>
      <name val="Be Vietnam Pro Light"/>
      <family val="0"/>
      <charset val="1"/>
    </font>
    <font>
      <sz val="11"/>
      <name val="Aileron Light"/>
      <family val="3"/>
      <charset val="1"/>
    </font>
    <font>
      <u val="single"/>
      <sz val="11"/>
      <color theme="1"/>
      <name val="Be Vietnam Pro Light"/>
      <family val="0"/>
      <charset val="1"/>
    </font>
  </fonts>
  <fills count="10">
    <fill>
      <patternFill patternType="none"/>
    </fill>
    <fill>
      <patternFill patternType="gray125"/>
    </fill>
    <fill>
      <patternFill patternType="solid">
        <fgColor rgb="FFFFFFFF"/>
        <bgColor rgb="FFF8F8F8"/>
      </patternFill>
    </fill>
    <fill>
      <patternFill patternType="solid">
        <fgColor rgb="FFBFBFBF"/>
        <bgColor rgb="FFD4D4D4"/>
      </patternFill>
    </fill>
    <fill>
      <patternFill patternType="solid">
        <fgColor rgb="FFF2F2F2"/>
        <bgColor rgb="FFF8F8F8"/>
      </patternFill>
    </fill>
    <fill>
      <patternFill patternType="solid">
        <fgColor rgb="FFFFFF00"/>
        <bgColor rgb="FFFFFF00"/>
      </patternFill>
    </fill>
    <fill>
      <patternFill patternType="solid">
        <fgColor theme="9" tint="0.7999"/>
        <bgColor rgb="FFDAF2D0"/>
      </patternFill>
    </fill>
    <fill>
      <patternFill patternType="solid">
        <fgColor rgb="FFF8F8F8"/>
        <bgColor rgb="FFF2F2F2"/>
      </patternFill>
    </fill>
    <fill>
      <patternFill patternType="solid">
        <fgColor rgb="FFDAF2D0"/>
        <bgColor rgb="FFE2F0D9"/>
      </patternFill>
    </fill>
    <fill>
      <patternFill patternType="solid">
        <fgColor theme="1"/>
        <bgColor rgb="FF003300"/>
      </patternFill>
    </fill>
  </fills>
  <borders count="5">
    <border diagonalUp="false" diagonalDown="false">
      <left/>
      <right/>
      <top/>
      <bottom/>
      <diagonal/>
    </border>
    <border diagonalUp="false" diagonalDown="false">
      <left style="thin"/>
      <right/>
      <top/>
      <bottom/>
      <diagonal/>
    </border>
    <border diagonalUp="false" diagonalDown="false">
      <left/>
      <right/>
      <top style="thin">
        <color theme="9" tint="0.3999"/>
      </top>
      <bottom style="thin">
        <color theme="9" tint="0.3999"/>
      </bottom>
      <diagonal/>
    </border>
    <border diagonalUp="false" diagonalDown="false">
      <left style="thick">
        <color rgb="FFFFFFFF"/>
      </left>
      <right style="thick">
        <color rgb="FFFFFFFF"/>
      </right>
      <top style="thick">
        <color rgb="FFFFFFFF"/>
      </top>
      <bottom style="thick">
        <color rgb="FF666666"/>
      </bottom>
      <diagonal/>
    </border>
    <border diagonalUp="false" diagonalDown="false">
      <left/>
      <right/>
      <top style="thin">
        <color rgb="FF8ED973"/>
      </top>
      <bottom style="thin">
        <color rgb="FF8ED973"/>
      </bottom>
      <diagonal/>
    </border>
  </borders>
  <cellStyleXfs count="28">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6" fontId="0"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6" fontId="4"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cellStyleXfs>
  <cellXfs count="107">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4" fontId="7" fillId="0" borderId="0" xfId="23" applyFont="true" applyBorder="false" applyAlignment="false" applyProtection="false">
      <alignment horizontal="general" vertical="bottom" textRotation="0" wrapText="false" indent="0" shrinkToFit="false"/>
      <protection locked="true" hidden="false"/>
    </xf>
    <xf numFmtId="167" fontId="7" fillId="0" borderId="0" xfId="23" applyFont="true" applyBorder="false" applyAlignment="false" applyProtection="false">
      <alignment horizontal="general" vertical="bottom" textRotation="0" wrapText="false" indent="0" shrinkToFit="false"/>
      <protection locked="true" hidden="false"/>
    </xf>
    <xf numFmtId="168" fontId="7" fillId="0" borderId="0" xfId="23" applyFont="true" applyBorder="false" applyAlignment="false" applyProtection="false">
      <alignment horizontal="general" vertical="bottom" textRotation="0" wrapText="false" indent="0" shrinkToFit="false"/>
      <protection locked="true" hidden="false"/>
    </xf>
    <xf numFmtId="164" fontId="7" fillId="2" borderId="0" xfId="23" applyFont="true" applyBorder="false" applyAlignment="false" applyProtection="false">
      <alignment horizontal="general" vertical="bottom" textRotation="0" wrapText="false" indent="0" shrinkToFit="false"/>
      <protection locked="true" hidden="false"/>
    </xf>
    <xf numFmtId="164" fontId="8" fillId="3" borderId="0" xfId="23" applyFont="true" applyBorder="false" applyAlignment="false" applyProtection="false">
      <alignment horizontal="general" vertical="bottom" textRotation="0" wrapText="false" indent="0" shrinkToFit="false"/>
      <protection locked="true" hidden="false"/>
    </xf>
    <xf numFmtId="164" fontId="9" fillId="3" borderId="0" xfId="23" applyFont="true" applyBorder="false" applyAlignment="true" applyProtection="false">
      <alignment horizontal="center" vertical="bottom" textRotation="0" wrapText="false" indent="0" shrinkToFit="false"/>
      <protection locked="true" hidden="false"/>
    </xf>
    <xf numFmtId="164" fontId="7" fillId="4" borderId="0" xfId="23" applyFont="true" applyBorder="false" applyAlignment="false" applyProtection="false">
      <alignment horizontal="general" vertical="bottom" textRotation="0" wrapText="false" indent="0" shrinkToFit="false"/>
      <protection locked="true" hidden="false"/>
    </xf>
    <xf numFmtId="164" fontId="7" fillId="0" borderId="0" xfId="23" applyFont="true" applyBorder="false" applyAlignment="true" applyProtection="false">
      <alignment horizontal="center" vertical="bottom" textRotation="0" wrapText="false" indent="0" shrinkToFit="false"/>
      <protection locked="true" hidden="false"/>
    </xf>
    <xf numFmtId="167" fontId="7" fillId="0" borderId="0" xfId="23" applyFont="true" applyBorder="false" applyAlignment="true" applyProtection="false">
      <alignment horizontal="center" vertical="bottom" textRotation="0" wrapText="false" indent="0" shrinkToFit="false"/>
      <protection locked="true" hidden="false"/>
    </xf>
    <xf numFmtId="164" fontId="7" fillId="0" borderId="1" xfId="24" applyFont="true" applyBorder="true" applyAlignment="false" applyProtection="false">
      <alignment horizontal="general" vertical="bottom" textRotation="0" wrapText="false" indent="0" shrinkToFit="false"/>
      <protection locked="true" hidden="false"/>
    </xf>
    <xf numFmtId="169" fontId="7" fillId="0" borderId="0" xfId="26" applyFont="true" applyBorder="false" applyAlignment="false" applyProtection="false">
      <alignment horizontal="general" vertical="bottom" textRotation="0" wrapText="false" indent="0" shrinkToFit="false"/>
      <protection locked="true" hidden="false"/>
    </xf>
    <xf numFmtId="164" fontId="9" fillId="2" borderId="0" xfId="23" applyFont="true" applyBorder="false" applyAlignment="true" applyProtection="false">
      <alignment horizontal="center" vertical="bottom" textRotation="0" wrapText="false" indent="0" shrinkToFit="false"/>
      <protection locked="true" hidden="false"/>
    </xf>
    <xf numFmtId="169" fontId="10" fillId="2" borderId="0" xfId="25" applyFont="true" applyBorder="false" applyAlignment="true" applyProtection="false">
      <alignment horizontal="center" vertical="bottom" textRotation="0" wrapText="false" indent="0" shrinkToFit="false"/>
      <protection locked="true" hidden="false"/>
    </xf>
    <xf numFmtId="169" fontId="11" fillId="2" borderId="0" xfId="25" applyFont="true" applyBorder="false" applyAlignment="true" applyProtection="false">
      <alignment horizontal="center" vertical="bottom" textRotation="0" wrapText="false" indent="0" shrinkToFit="false"/>
      <protection locked="true" hidden="false"/>
    </xf>
    <xf numFmtId="170" fontId="7" fillId="0" borderId="0" xfId="23" applyFont="true" applyBorder="false" applyAlignment="false" applyProtection="false">
      <alignment horizontal="general" vertical="bottom" textRotation="0" wrapText="false" indent="0" shrinkToFit="false"/>
      <protection locked="true" hidden="false"/>
    </xf>
    <xf numFmtId="171" fontId="7" fillId="0" borderId="0" xfId="23" applyFont="true" applyBorder="false" applyAlignment="false" applyProtection="false">
      <alignment horizontal="general" vertical="bottom" textRotation="0" wrapText="false" indent="0" shrinkToFit="false"/>
      <protection locked="true" hidden="false"/>
    </xf>
    <xf numFmtId="172" fontId="7" fillId="0" borderId="0" xfId="23" applyFont="true" applyBorder="false" applyAlignment="false" applyProtection="false">
      <alignment horizontal="general" vertical="bottom" textRotation="0" wrapText="false" indent="0" shrinkToFit="false"/>
      <protection locked="true" hidden="false"/>
    </xf>
    <xf numFmtId="169" fontId="7" fillId="0" borderId="0" xfId="19" applyFont="true" applyBorder="false" applyAlignment="false" applyProtection="false">
      <alignment horizontal="general" vertical="bottom" textRotation="0" wrapText="false" indent="0" shrinkToFit="false"/>
      <protection locked="true" hidden="false"/>
    </xf>
    <xf numFmtId="164" fontId="9" fillId="4" borderId="0" xfId="23" applyFont="true" applyBorder="false" applyAlignment="true" applyProtection="false">
      <alignment horizontal="center" vertical="bottom" textRotation="0" wrapText="false" indent="0" shrinkToFit="false"/>
      <protection locked="true" hidden="false"/>
    </xf>
    <xf numFmtId="173" fontId="7" fillId="0" borderId="0" xfId="23" applyFont="true" applyBorder="false" applyAlignment="false" applyProtection="false">
      <alignment horizontal="general" vertical="bottom" textRotation="0" wrapText="false" indent="0" shrinkToFit="false"/>
      <protection locked="true" hidden="false"/>
    </xf>
    <xf numFmtId="174" fontId="7" fillId="0" borderId="0" xfId="23" applyFont="true" applyBorder="false" applyAlignment="false" applyProtection="false">
      <alignment horizontal="general" vertical="bottom" textRotation="0" wrapText="false" indent="0" shrinkToFit="false"/>
      <protection locked="true" hidden="false"/>
    </xf>
    <xf numFmtId="169" fontId="7" fillId="0" borderId="0" xfId="25" applyFont="true" applyBorder="false" applyAlignment="false" applyProtection="false">
      <alignment horizontal="general" vertical="bottom" textRotation="0" wrapText="false" indent="0" shrinkToFit="false"/>
      <protection locked="true" hidden="false"/>
    </xf>
    <xf numFmtId="164" fontId="10" fillId="4" borderId="0" xfId="23" applyFont="true" applyBorder="false" applyAlignment="true" applyProtection="false">
      <alignment horizontal="left" vertical="bottom" textRotation="0" wrapText="false" indent="0" shrinkToFit="false"/>
      <protection locked="true" hidden="false"/>
    </xf>
    <xf numFmtId="164" fontId="7" fillId="2" borderId="0" xfId="23" applyFont="true" applyBorder="false" applyAlignment="true" applyProtection="false">
      <alignment horizontal="right" vertical="bottom" textRotation="0" wrapText="false" indent="0" shrinkToFit="false"/>
      <protection locked="true" hidden="false"/>
    </xf>
    <xf numFmtId="170" fontId="7" fillId="5" borderId="0" xfId="23" applyFont="true" applyBorder="false" applyAlignment="false" applyProtection="false">
      <alignment horizontal="general" vertical="bottom" textRotation="0" wrapText="false" indent="0" shrinkToFit="false"/>
      <protection locked="true" hidden="false"/>
    </xf>
    <xf numFmtId="170" fontId="7" fillId="2" borderId="0" xfId="23" applyFont="true" applyBorder="false" applyAlignment="false" applyProtection="false">
      <alignment horizontal="general" vertical="bottom" textRotation="0" wrapText="false" indent="0" shrinkToFit="false"/>
      <protection locked="true" hidden="false"/>
    </xf>
    <xf numFmtId="171" fontId="7" fillId="2" borderId="0" xfId="23" applyFont="true" applyBorder="false" applyAlignment="false" applyProtection="false">
      <alignment horizontal="general" vertical="bottom" textRotation="0" wrapText="false" indent="0" shrinkToFit="false"/>
      <protection locked="true" hidden="false"/>
    </xf>
    <xf numFmtId="164" fontId="12" fillId="4" borderId="0" xfId="23" applyFont="true" applyBorder="false" applyAlignment="true" applyProtection="false">
      <alignment horizontal="center" vertical="bottom" textRotation="0" wrapText="false" indent="0" shrinkToFit="false"/>
      <protection locked="true" hidden="false"/>
    </xf>
    <xf numFmtId="175" fontId="7" fillId="2" borderId="0" xfId="27" applyFont="true" applyBorder="false" applyAlignment="false" applyProtection="false">
      <alignment horizontal="general" vertical="bottom" textRotation="0" wrapText="false" indent="0" shrinkToFit="false"/>
      <protection locked="true" hidden="false"/>
    </xf>
    <xf numFmtId="164" fontId="7" fillId="0" borderId="0" xfId="23" applyFont="true" applyBorder="false" applyAlignment="true" applyProtection="false">
      <alignment horizontal="right" vertical="bottom" textRotation="0" wrapText="false" indent="0" shrinkToFit="false"/>
      <protection locked="true" hidden="false"/>
    </xf>
    <xf numFmtId="164" fontId="8" fillId="3" borderId="0" xfId="23" applyFont="true" applyBorder="false" applyAlignment="true" applyProtection="false">
      <alignment horizontal="right" vertical="bottom" textRotation="0" wrapText="false" indent="0" shrinkToFit="false"/>
      <protection locked="true" hidden="false"/>
    </xf>
    <xf numFmtId="164" fontId="13" fillId="4" borderId="0" xfId="23" applyFont="true" applyBorder="false" applyAlignment="true" applyProtection="false">
      <alignment horizontal="center" vertical="bottom" textRotation="0" wrapText="false" indent="0" shrinkToFit="false"/>
      <protection locked="true" hidden="false"/>
    </xf>
    <xf numFmtId="164" fontId="14" fillId="2" borderId="0" xfId="23" applyFont="true" applyBorder="false" applyAlignment="true" applyProtection="false">
      <alignment horizontal="center" vertical="bottom" textRotation="0" wrapText="false" indent="0" shrinkToFit="false"/>
      <protection locked="true" hidden="false"/>
    </xf>
    <xf numFmtId="169" fontId="10" fillId="4" borderId="0" xfId="25" applyFont="true" applyBorder="false" applyAlignment="true" applyProtection="false">
      <alignment horizontal="center" vertical="bottom" textRotation="0" wrapText="false" indent="0" shrinkToFit="false"/>
      <protection locked="true" hidden="false"/>
    </xf>
    <xf numFmtId="169" fontId="11" fillId="4" borderId="0" xfId="25" applyFont="true" applyBorder="false" applyAlignment="true" applyProtection="false">
      <alignment horizontal="center" vertical="bottom" textRotation="0" wrapText="false" indent="0" shrinkToFit="false"/>
      <protection locked="true" hidden="false"/>
    </xf>
    <xf numFmtId="164" fontId="9" fillId="4" borderId="0" xfId="23" applyFont="true" applyBorder="true" applyAlignment="true" applyProtection="false">
      <alignment horizontal="center" vertical="center" textRotation="0" wrapText="false" indent="0" shrinkToFit="false"/>
      <protection locked="true" hidden="false"/>
    </xf>
    <xf numFmtId="169" fontId="15" fillId="2" borderId="0" xfId="25" applyFont="true" applyBorder="false" applyAlignment="true" applyProtection="false">
      <alignment horizontal="center" vertical="bottom" textRotation="0" wrapText="false" indent="0" shrinkToFit="false"/>
      <protection locked="true" hidden="false"/>
    </xf>
    <xf numFmtId="164" fontId="14" fillId="4" borderId="0" xfId="23" applyFont="true" applyBorder="false" applyAlignment="true" applyProtection="false">
      <alignment horizontal="center" vertical="bottom" textRotation="0" wrapText="false" indent="0" shrinkToFit="false"/>
      <protection locked="true" hidden="false"/>
    </xf>
    <xf numFmtId="164" fontId="9" fillId="0" borderId="0" xfId="23" applyFont="true" applyBorder="false" applyAlignment="true" applyProtection="false">
      <alignment horizontal="center" vertical="bottom" textRotation="0" wrapText="false" indent="0" shrinkToFit="false"/>
      <protection locked="true" hidden="false"/>
    </xf>
    <xf numFmtId="169" fontId="15" fillId="4" borderId="0" xfId="25" applyFont="true" applyBorder="false" applyAlignment="true" applyProtection="false">
      <alignment horizontal="center" vertical="bottom" textRotation="0" wrapText="false" indent="0" shrinkToFit="false"/>
      <protection locked="true" hidden="false"/>
    </xf>
    <xf numFmtId="169" fontId="10" fillId="0" borderId="0" xfId="25" applyFont="true" applyBorder="false" applyAlignment="true" applyProtection="false">
      <alignment horizontal="center" vertical="bottom" textRotation="0" wrapText="false" indent="0" shrinkToFit="false"/>
      <protection locked="true" hidden="false"/>
    </xf>
    <xf numFmtId="164" fontId="16" fillId="4" borderId="0" xfId="23" applyFont="true" applyBorder="false" applyAlignment="true" applyProtection="false">
      <alignment horizontal="left" vertical="bottom" textRotation="0" wrapText="false" indent="0" shrinkToFit="false"/>
      <protection locked="true" hidden="false"/>
    </xf>
    <xf numFmtId="169" fontId="11" fillId="0" borderId="0" xfId="25" applyFont="true" applyBorder="false" applyAlignment="true" applyProtection="false">
      <alignment horizontal="center" vertical="bottom" textRotation="0" wrapText="false" indent="0" shrinkToFit="false"/>
      <protection locked="true" hidden="false"/>
    </xf>
    <xf numFmtId="169" fontId="7" fillId="0" borderId="0" xfId="23" applyFont="true" applyBorder="false" applyAlignment="false" applyProtection="false">
      <alignment horizontal="general" vertical="bottom" textRotation="0" wrapText="false" indent="0" shrinkToFit="false"/>
      <protection locked="true" hidden="false"/>
    </xf>
    <xf numFmtId="164" fontId="10" fillId="0" borderId="0" xfId="23" applyFont="true" applyBorder="false" applyAlignment="true" applyProtection="false">
      <alignment horizontal="left" vertical="bottom" textRotation="0" wrapText="false" indent="0" shrinkToFit="false"/>
      <protection locked="true" hidden="false"/>
    </xf>
    <xf numFmtId="164" fontId="17" fillId="3" borderId="0" xfId="23" applyFont="true" applyBorder="false" applyAlignment="true" applyProtection="false">
      <alignment horizontal="center" vertical="bottom" textRotation="0" wrapText="false" indent="0" shrinkToFit="false"/>
      <protection locked="true" hidden="false"/>
    </xf>
    <xf numFmtId="164" fontId="12" fillId="3" borderId="0" xfId="23" applyFont="true" applyBorder="false" applyAlignment="true" applyProtection="false">
      <alignment horizontal="center" vertical="bottom" textRotation="0" wrapText="false" indent="0" shrinkToFit="false"/>
      <protection locked="true" hidden="false"/>
    </xf>
    <xf numFmtId="169" fontId="18" fillId="4" borderId="0" xfId="19" applyFont="true" applyBorder="false" applyAlignment="true" applyProtection="false">
      <alignment horizontal="center" vertical="bottom" textRotation="0" wrapText="false" indent="0" shrinkToFit="false"/>
      <protection locked="true" hidden="false"/>
    </xf>
    <xf numFmtId="169" fontId="12" fillId="4" borderId="0" xfId="19" applyFont="true" applyBorder="false" applyAlignment="true" applyProtection="false">
      <alignment horizontal="center" vertical="bottom" textRotation="0" wrapText="false" indent="0" shrinkToFit="false"/>
      <protection locked="true" hidden="false"/>
    </xf>
    <xf numFmtId="164" fontId="12" fillId="2" borderId="0" xfId="23" applyFont="true" applyBorder="false" applyAlignment="true" applyProtection="false">
      <alignment horizontal="center" vertical="bottom" textRotation="0" wrapText="false" indent="0" shrinkToFit="false"/>
      <protection locked="true" hidden="false"/>
    </xf>
    <xf numFmtId="169" fontId="18" fillId="2" borderId="0" xfId="19" applyFont="true" applyBorder="false" applyAlignment="true" applyProtection="false">
      <alignment horizontal="center" vertical="bottom" textRotation="0" wrapText="false" indent="0" shrinkToFit="false"/>
      <protection locked="true" hidden="false"/>
    </xf>
    <xf numFmtId="169" fontId="12" fillId="2" borderId="0" xfId="19" applyFont="true" applyBorder="false" applyAlignment="true" applyProtection="false">
      <alignment horizontal="center" vertical="bottom" textRotation="0" wrapText="false" indent="0" shrinkToFit="false"/>
      <protection locked="true" hidden="false"/>
    </xf>
    <xf numFmtId="164" fontId="17" fillId="4" borderId="0" xfId="23" applyFont="true" applyBorder="true" applyAlignment="true" applyProtection="false">
      <alignment horizontal="center" vertical="center" textRotation="0" wrapText="false" indent="0" shrinkToFit="false"/>
      <protection locked="true" hidden="false"/>
    </xf>
    <xf numFmtId="169" fontId="18" fillId="4" borderId="0" xfId="25" applyFont="true" applyBorder="false" applyAlignment="true" applyProtection="false">
      <alignment horizontal="center" vertical="bottom" textRotation="0" wrapText="false" indent="0" shrinkToFit="false"/>
      <protection locked="true" hidden="false"/>
    </xf>
    <xf numFmtId="169" fontId="19" fillId="4" borderId="0" xfId="19" applyFont="true" applyBorder="false" applyAlignment="false" applyProtection="false">
      <alignment horizontal="general" vertical="bottom" textRotation="0" wrapText="false" indent="0" shrinkToFit="false"/>
      <protection locked="true" hidden="false"/>
    </xf>
    <xf numFmtId="169" fontId="12" fillId="4" borderId="0" xfId="25" applyFont="true" applyBorder="false" applyAlignment="true" applyProtection="false">
      <alignment horizontal="center" vertical="bottom" textRotation="0" wrapText="false" indent="0" shrinkToFit="false"/>
      <protection locked="true" hidden="false"/>
    </xf>
    <xf numFmtId="164" fontId="20" fillId="4" borderId="0" xfId="23" applyFont="true" applyBorder="false" applyAlignment="true" applyProtection="false">
      <alignment horizontal="left" vertical="bottom" textRotation="0" wrapText="false" indent="0" shrinkToFit="false"/>
      <protection locked="true" hidden="false"/>
    </xf>
    <xf numFmtId="164" fontId="17" fillId="2" borderId="0" xfId="23" applyFont="true" applyBorder="true" applyAlignment="true" applyProtection="false">
      <alignment horizontal="center" vertical="center" textRotation="0" wrapText="false" indent="0" shrinkToFit="false"/>
      <protection locked="true" hidden="false"/>
    </xf>
    <xf numFmtId="169" fontId="19" fillId="0" borderId="0" xfId="19" applyFont="true" applyBorder="false" applyAlignment="false" applyProtection="false">
      <alignment horizontal="general" vertical="bottom" textRotation="0" wrapText="false" indent="0" shrinkToFit="false"/>
      <protection locked="true" hidden="false"/>
    </xf>
    <xf numFmtId="169" fontId="12" fillId="2" borderId="0" xfId="25" applyFont="true" applyBorder="false" applyAlignment="true" applyProtection="false">
      <alignment horizontal="center" vertical="bottom" textRotation="0" wrapText="false" indent="0" shrinkToFit="false"/>
      <protection locked="true" hidden="false"/>
    </xf>
    <xf numFmtId="167" fontId="7" fillId="0" borderId="0" xfId="25" applyFont="true" applyBorder="false" applyAlignment="false" applyProtection="false">
      <alignment horizontal="general" vertical="bottom" textRotation="0" wrapText="false" indent="0" shrinkToFit="false"/>
      <protection locked="true" hidden="false"/>
    </xf>
    <xf numFmtId="174" fontId="7" fillId="5" borderId="0" xfId="23" applyFont="true" applyBorder="false" applyAlignment="false" applyProtection="false">
      <alignment horizontal="general" vertical="bottom" textRotation="0" wrapText="false" indent="0" shrinkToFit="false"/>
      <protection locked="true" hidden="false"/>
    </xf>
    <xf numFmtId="176" fontId="7" fillId="0" borderId="0" xfId="20" applyFont="true" applyBorder="false" applyAlignment="false" applyProtection="false">
      <alignment horizontal="general" vertical="bottom" textRotation="0" wrapText="false" indent="0" shrinkToFit="false"/>
      <protection locked="true" hidden="false"/>
    </xf>
    <xf numFmtId="164" fontId="21" fillId="0" borderId="0" xfId="23" applyFont="true" applyBorder="false" applyAlignment="false" applyProtection="false">
      <alignment horizontal="general" vertical="bottom" textRotation="0" wrapText="false" indent="0" shrinkToFit="false"/>
      <protection locked="true" hidden="false"/>
    </xf>
    <xf numFmtId="164" fontId="0" fillId="6" borderId="2" xfId="0" applyFont="true" applyBorder="true" applyAlignment="false" applyProtection="false">
      <alignment horizontal="general" vertical="bottom" textRotation="0" wrapText="false" indent="0" shrinkToFit="false"/>
      <protection locked="true" hidden="false"/>
    </xf>
    <xf numFmtId="164" fontId="22" fillId="7" borderId="3" xfId="0" applyFont="true" applyBorder="true" applyAlignment="false" applyProtection="false">
      <alignment horizontal="general" vertical="bottom" textRotation="0" wrapText="false" indent="0" shrinkToFit="false"/>
      <protection locked="true" hidden="false"/>
    </xf>
    <xf numFmtId="170" fontId="23" fillId="0" borderId="0" xfId="0" applyFont="true" applyBorder="false" applyAlignment="false" applyProtection="false">
      <alignment horizontal="general" vertical="bottom" textRotation="0" wrapText="false" indent="0" shrinkToFit="false"/>
      <protection locked="true" hidden="false"/>
    </xf>
    <xf numFmtId="172" fontId="23" fillId="0" borderId="0" xfId="0" applyFont="true" applyBorder="false" applyAlignment="false" applyProtection="false">
      <alignment horizontal="general" vertical="bottom" textRotation="0" wrapText="fals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77" fontId="22" fillId="7" borderId="3" xfId="0" applyFont="true" applyBorder="true" applyAlignment="false" applyProtection="false">
      <alignment horizontal="general" vertical="bottom" textRotation="0" wrapText="false" indent="0" shrinkToFit="false"/>
      <protection locked="true" hidden="false"/>
    </xf>
    <xf numFmtId="167" fontId="24" fillId="8" borderId="4"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30" fillId="0" borderId="0" xfId="0" applyFont="true" applyBorder="false" applyAlignment="true" applyProtection="false">
      <alignment horizontal="left" vertical="bottom" textRotation="0" wrapText="fals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left" vertical="center" textRotation="0" wrapText="false" indent="0" shrinkToFit="false"/>
      <protection locked="true" hidden="false"/>
    </xf>
    <xf numFmtId="164" fontId="31" fillId="0" borderId="0" xfId="0" applyFont="true" applyBorder="false" applyAlignment="true" applyProtection="false">
      <alignment horizontal="center" vertical="center" textRotation="0" wrapText="false" indent="0" shrinkToFit="false"/>
      <protection locked="true" hidden="false"/>
    </xf>
    <xf numFmtId="164" fontId="31"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9" fontId="6"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left" vertical="center" textRotation="0" wrapText="false" indent="0" shrinkToFit="false"/>
      <protection locked="true" hidden="false"/>
    </xf>
    <xf numFmtId="164" fontId="32" fillId="0" borderId="0" xfId="0" applyFont="true" applyBorder="false" applyAlignment="true" applyProtection="false">
      <alignment horizontal="general" vertical="center" textRotation="0" wrapText="false" indent="0" shrinkToFit="false"/>
      <protection locked="true" hidden="false"/>
    </xf>
    <xf numFmtId="164" fontId="32" fillId="0" borderId="0" xfId="0" applyFont="true" applyBorder="false" applyAlignment="true" applyProtection="false">
      <alignment horizontal="center" vertical="center" textRotation="0" wrapText="false" indent="0" shrinkToFit="false"/>
      <protection locked="true" hidden="false"/>
    </xf>
    <xf numFmtId="164" fontId="32" fillId="0" borderId="0" xfId="0" applyFont="true" applyBorder="false" applyAlignment="true" applyProtection="false">
      <alignment horizontal="center" vertical="center" textRotation="0" wrapText="true" indent="0" shrinkToFit="false"/>
      <protection locked="true" hidden="false"/>
    </xf>
    <xf numFmtId="164" fontId="30" fillId="0" borderId="0" xfId="0" applyFont="true" applyBorder="false" applyAlignment="true" applyProtection="false">
      <alignment horizontal="right" vertical="bottom" textRotation="0" wrapText="false" indent="0" shrinkToFit="false"/>
      <protection locked="true" hidden="false"/>
    </xf>
    <xf numFmtId="164" fontId="30" fillId="0" borderId="0" xfId="0" applyFont="true" applyBorder="false" applyAlignment="true" applyProtection="false">
      <alignment horizontal="center" vertical="bottom" textRotation="0" wrapText="false" indent="0" shrinkToFit="false"/>
      <protection locked="true" hidden="false"/>
    </xf>
    <xf numFmtId="169" fontId="30" fillId="0" borderId="0" xfId="0" applyFont="true" applyBorder="false" applyAlignment="true" applyProtection="false">
      <alignment horizontal="center" vertical="bottom" textRotation="0" wrapText="fals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center"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33" fillId="0" borderId="0" xfId="0" applyFont="true" applyBorder="false" applyAlignment="true" applyProtection="false">
      <alignment horizontal="center" vertical="bottom" textRotation="0" wrapText="false" indent="0" shrinkToFit="false"/>
      <protection locked="true" hidden="false"/>
    </xf>
    <xf numFmtId="164" fontId="38" fillId="9" borderId="0" xfId="0" applyFont="true" applyBorder="false" applyAlignment="true" applyProtection="false">
      <alignment horizontal="general" vertical="center" textRotation="0" wrapText="false" indent="0" shrinkToFit="false"/>
      <protection locked="true" hidden="false"/>
    </xf>
    <xf numFmtId="169" fontId="38" fillId="9" borderId="0" xfId="0" applyFont="true" applyBorder="false" applyAlignment="true" applyProtection="false">
      <alignment horizontal="general" vertical="center" textRotation="0" wrapText="false" indent="0" shrinkToFit="false"/>
      <protection locked="true" hidden="false"/>
    </xf>
    <xf numFmtId="164" fontId="38" fillId="9" borderId="0" xfId="0" applyFont="true" applyBorder="false" applyAlignment="false" applyProtection="false">
      <alignment horizontal="general" vertical="bottom" textRotation="0" wrapText="false" indent="0" shrinkToFit="false"/>
      <protection locked="true" hidden="false"/>
    </xf>
    <xf numFmtId="169" fontId="38" fillId="9" borderId="0" xfId="0" applyFont="true" applyBorder="false" applyAlignment="false" applyProtection="false">
      <alignment horizontal="general"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69" fontId="39" fillId="0" borderId="0" xfId="0" applyFont="true" applyBorder="false" applyAlignment="false" applyProtection="false">
      <alignment horizontal="general" vertical="bottom" textRotation="0" wrapText="false" indent="0" shrinkToFit="false"/>
      <protection locked="true" hidden="false"/>
    </xf>
    <xf numFmtId="169" fontId="33" fillId="0" borderId="0" xfId="0" applyFont="true" applyBorder="false" applyAlignment="false" applyProtection="false">
      <alignment horizontal="general" vertical="bottom" textRotation="0" wrapText="false" indent="0" shrinkToFit="false"/>
      <protection locked="true" hidden="false"/>
    </xf>
    <xf numFmtId="169" fontId="30" fillId="0" borderId="0" xfId="0" applyFont="true" applyBorder="false" applyAlignment="false" applyProtection="false">
      <alignment horizontal="general" vertical="bottom" textRotation="0" wrapText="false" indent="0" shrinkToFit="false"/>
      <protection locked="true" hidden="false"/>
    </xf>
    <xf numFmtId="164" fontId="40" fillId="0" borderId="0" xfId="0" applyFont="true" applyBorder="false" applyAlignment="false" applyProtection="false">
      <alignment horizontal="general" vertical="bottom" textRotation="0" wrapText="false" indent="0" shrinkToFit="false"/>
      <protection locked="true" hidden="false"/>
    </xf>
  </cellXfs>
  <cellStyles count="14">
    <cellStyle name="Normal" xfId="0" builtinId="0"/>
    <cellStyle name="Comma" xfId="15" builtinId="3"/>
    <cellStyle name="Comma [0]" xfId="16" builtinId="6"/>
    <cellStyle name="Currency" xfId="17" builtinId="4"/>
    <cellStyle name="Currency [0]" xfId="18" builtinId="7"/>
    <cellStyle name="Percent" xfId="19" builtinId="5"/>
    <cellStyle name="Millares [0] 2" xfId="20"/>
    <cellStyle name="Millares [0] 2 2" xfId="21"/>
    <cellStyle name="Millares [0] 3" xfId="22"/>
    <cellStyle name="Normal 2" xfId="23"/>
    <cellStyle name="Normal 54" xfId="24"/>
    <cellStyle name="Porcentaje 2" xfId="25"/>
    <cellStyle name="Porcentaje 29" xfId="26"/>
    <cellStyle name="Excel Built-in Comma [0]" xfId="27"/>
  </cellStyles>
  <dxfs count="3">
    <dxf>
      <fill>
        <patternFill patternType="solid">
          <fgColor rgb="FF000000"/>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B8B8B"/>
      <rgbColor rgb="FF5B9BD5"/>
      <rgbColor rgb="FF993366"/>
      <rgbColor rgb="FFF8F8F8"/>
      <rgbColor rgb="FFE2F0D9"/>
      <rgbColor rgb="FF660066"/>
      <rgbColor rgb="FFFF8080"/>
      <rgbColor rgb="FF0066CC"/>
      <rgbColor rgb="FFD4D4D4"/>
      <rgbColor rgb="FF000080"/>
      <rgbColor rgb="FFFF00FF"/>
      <rgbColor rgb="FFFFFF00"/>
      <rgbColor rgb="FF00FFFF"/>
      <rgbColor rgb="FF800080"/>
      <rgbColor rgb="FF800000"/>
      <rgbColor rgb="FF008080"/>
      <rgbColor rgb="FF0000FF"/>
      <rgbColor rgb="FF00CCFF"/>
      <rgbColor rgb="FFF2F2F2"/>
      <rgbColor rgb="FFDAF2D0"/>
      <rgbColor rgb="FFFFFF99"/>
      <rgbColor rgb="FFA9D18E"/>
      <rgbColor rgb="FFFF99CC"/>
      <rgbColor rgb="FFCC99FF"/>
      <rgbColor rgb="FFD9D9D9"/>
      <rgbColor rgb="FF3366FF"/>
      <rgbColor rgb="FF33CCCC"/>
      <rgbColor rgb="FF8ED973"/>
      <rgbColor rgb="FFFDD900"/>
      <rgbColor rgb="FFFF9900"/>
      <rgbColor rgb="FFFF6600"/>
      <rgbColor rgb="FF666666"/>
      <rgbColor rgb="FFA6A6A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externalLink" Target="externalLinks/externalLink1.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600" spc="-1" strike="noStrike">
                <a:solidFill>
                  <a:srgbClr val="000000"/>
                </a:solidFill>
                <a:latin typeface="Be Vietnam Pro Light"/>
              </a:defRPr>
            </a:pPr>
            <a:r>
              <a:rPr b="1" lang="en-US" sz="1600" spc="-1" strike="noStrike">
                <a:solidFill>
                  <a:srgbClr val="000000"/>
                </a:solidFill>
                <a:latin typeface="Be Vietnam Pro Light"/>
              </a:rPr>
              <a:t>FIP Liquidez Dólar Caja</a:t>
            </a:r>
          </a:p>
        </c:rich>
      </c:tx>
      <c:layout>
        <c:manualLayout>
          <c:xMode val="edge"/>
          <c:yMode val="edge"/>
          <c:x val="0.362598006001355"/>
          <c:y val="0.0502236853211784"/>
        </c:manualLayout>
      </c:layout>
      <c:overlay val="0"/>
      <c:spPr>
        <a:noFill/>
        <a:ln w="0">
          <a:noFill/>
        </a:ln>
      </c:spPr>
    </c:title>
    <c:autoTitleDeleted val="0"/>
    <c:plotArea>
      <c:layout>
        <c:manualLayout>
          <c:layoutTarget val="inner"/>
          <c:xMode val="edge"/>
          <c:yMode val="edge"/>
          <c:x val="0.0934565869712516"/>
          <c:y val="0.143411834219634"/>
          <c:w val="0.869373729551834"/>
          <c:h val="0.793787456740103"/>
        </c:manualLayout>
      </c:layout>
      <c:lineChart>
        <c:grouping val="standard"/>
        <c:varyColors val="0"/>
        <c:ser>
          <c:idx val="0"/>
          <c:order val="0"/>
          <c:tx>
            <c:strRef>
              <c:f>"FIP Liquidez Dólar Caja"</c:f>
              <c:strCache>
                <c:ptCount val="1"/>
                <c:pt idx="0">
                  <c:v>FIP Liquidez Dólar Caja</c:v>
                </c:pt>
              </c:strCache>
            </c:strRef>
          </c:tx>
          <c:spPr>
            <a:solidFill>
              <a:srgbClr val="000000"/>
            </a:solidFill>
            <a:ln w="38160">
              <a:solidFill>
                <a:srgbClr val="000000"/>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(2)'!$A$191:$A$244</c:f>
              <c:numCache>
                <c:formatCode>m/d/yyyy</c:formatCode>
                <c:ptCount val="54"/>
                <c:pt idx="0">
                  <c:v>6/30/2021</c:v>
                </c:pt>
                <c:pt idx="1">
                  <c:v>7/31/2021</c:v>
                </c:pt>
                <c:pt idx="2">
                  <c:v>8/31/2021</c:v>
                </c:pt>
                <c:pt idx="3">
                  <c:v>9/30/2021</c:v>
                </c:pt>
                <c:pt idx="4">
                  <c:v>10/31/2021</c:v>
                </c:pt>
                <c:pt idx="5">
                  <c:v>11/30/2021</c:v>
                </c:pt>
                <c:pt idx="6">
                  <c:v>12/31/2021</c:v>
                </c:pt>
                <c:pt idx="7">
                  <c:v>1/31/2022</c:v>
                </c:pt>
                <c:pt idx="8">
                  <c:v>2/28/2022</c:v>
                </c:pt>
                <c:pt idx="9">
                  <c:v>3/31/2022</c:v>
                </c:pt>
                <c:pt idx="10">
                  <c:v>4/30/2022</c:v>
                </c:pt>
                <c:pt idx="11">
                  <c:v>5/31/2022</c:v>
                </c:pt>
                <c:pt idx="12">
                  <c:v>6/30/2022</c:v>
                </c:pt>
                <c:pt idx="13">
                  <c:v>7/31/2022</c:v>
                </c:pt>
                <c:pt idx="14">
                  <c:v>8/31/2022</c:v>
                </c:pt>
                <c:pt idx="15">
                  <c:v>9/30/2022</c:v>
                </c:pt>
                <c:pt idx="16">
                  <c:v>10/28/2022</c:v>
                </c:pt>
                <c:pt idx="17">
                  <c:v>11/30/2022</c:v>
                </c:pt>
                <c:pt idx="18">
                  <c:v>12/30/2022</c:v>
                </c:pt>
                <c:pt idx="19">
                  <c:v>1/31/2023</c:v>
                </c:pt>
                <c:pt idx="20">
                  <c:v>2/28/2023</c:v>
                </c:pt>
                <c:pt idx="21">
                  <c:v>3/31/2023</c:v>
                </c:pt>
                <c:pt idx="22">
                  <c:v>4/28/2023</c:v>
                </c:pt>
                <c:pt idx="23">
                  <c:v>5/31/2023</c:v>
                </c:pt>
                <c:pt idx="24">
                  <c:v>6/30/2023</c:v>
                </c:pt>
                <c:pt idx="25">
                  <c:v>7/31/2023</c:v>
                </c:pt>
                <c:pt idx="26">
                  <c:v>8/31/2023</c:v>
                </c:pt>
                <c:pt idx="27">
                  <c:v>9/30/2023</c:v>
                </c:pt>
                <c:pt idx="28">
                  <c:v>10/31/2023</c:v>
                </c:pt>
                <c:pt idx="29">
                  <c:v>11/30/2023</c:v>
                </c:pt>
                <c:pt idx="30">
                  <c:v>12/31/2023</c:v>
                </c:pt>
                <c:pt idx="31">
                  <c:v>1/31/2024</c:v>
                </c:pt>
                <c:pt idx="32">
                  <c:v>2/29/2024</c:v>
                </c:pt>
                <c:pt idx="33">
                  <c:v>3/28/2024</c:v>
                </c:pt>
                <c:pt idx="34">
                  <c:v>4/30/2024</c:v>
                </c:pt>
                <c:pt idx="35">
                  <c:v>5/31/2024</c:v>
                </c:pt>
                <c:pt idx="36">
                  <c:v>6/30/2024</c:v>
                </c:pt>
                <c:pt idx="37">
                  <c:v>7/31/2024</c:v>
                </c:pt>
                <c:pt idx="38">
                  <c:v>8/31/2024</c:v>
                </c:pt>
                <c:pt idx="39">
                  <c:v>9/30/2024</c:v>
                </c:pt>
                <c:pt idx="40">
                  <c:v>10/31/2024</c:v>
                </c:pt>
                <c:pt idx="41">
                  <c:v>11/30/2024</c:v>
                </c:pt>
                <c:pt idx="42">
                  <c:v>12/31/2024</c:v>
                </c:pt>
                <c:pt idx="43">
                  <c:v>1/31/2025</c:v>
                </c:pt>
                <c:pt idx="44">
                  <c:v>2/28/2025</c:v>
                </c:pt>
                <c:pt idx="45">
                  <c:v>3/31/2025</c:v>
                </c:pt>
                <c:pt idx="46">
                  <c:v>4/30/2025</c:v>
                </c:pt>
                <c:pt idx="47">
                  <c:v>5/31/2025</c:v>
                </c:pt>
                <c:pt idx="48">
                  <c:v>6/30/2025</c:v>
                </c:pt>
                <c:pt idx="49">
                  <c:v>7/31/2025</c:v>
                </c:pt>
                <c:pt idx="50">
                  <c:v>8/31/2025</c:v>
                </c:pt>
                <c:pt idx="51">
                  <c:v>9/30/2025</c:v>
                </c:pt>
                <c:pt idx="52">
                  <c:v>10/31/2025</c:v>
                </c:pt>
                <c:pt idx="53">
                  <c:v>11/30/2025</c:v>
                </c:pt>
              </c:numCache>
            </c:numRef>
          </c:cat>
          <c:val>
            <c:numRef>
              <c:f>'Datos ICP (2)'!$J$210:$J$244</c:f>
              <c:numCache>
                <c:formatCode>#,##0.00</c:formatCode>
                <c:ptCount val="35"/>
                <c:pt idx="0">
                  <c:v>100</c:v>
                </c:pt>
                <c:pt idx="1">
                  <c:v>101.928571428572</c:v>
                </c:pt>
                <c:pt idx="2">
                  <c:v>105.94707823058</c:v>
                </c:pt>
                <c:pt idx="3">
                  <c:v>111.233663172783</c:v>
                </c:pt>
                <c:pt idx="4">
                  <c:v>117.007452912845</c:v>
                </c:pt>
                <c:pt idx="5">
                  <c:v>122.271403043889</c:v>
                </c:pt>
                <c:pt idx="6">
                  <c:v>128.970483700459</c:v>
                </c:pt>
                <c:pt idx="7">
                  <c:v>136.296455849739</c:v>
                </c:pt>
                <c:pt idx="8">
                  <c:v>144.098472598147</c:v>
                </c:pt>
                <c:pt idx="9">
                  <c:v>152.853795467299</c:v>
                </c:pt>
                <c:pt idx="10">
                  <c:v>161.163148782341</c:v>
                </c:pt>
                <c:pt idx="11">
                  <c:v>169.603360485243</c:v>
                </c:pt>
                <c:pt idx="12">
                  <c:v>178.633850100313</c:v>
                </c:pt>
                <c:pt idx="13">
                  <c:v>187.278755483324</c:v>
                </c:pt>
                <c:pt idx="14">
                  <c:v>195.518384442132</c:v>
                </c:pt>
                <c:pt idx="15">
                  <c:v>206.366167991101</c:v>
                </c:pt>
                <c:pt idx="16">
                  <c:v>216.044945537107</c:v>
                </c:pt>
                <c:pt idx="17">
                  <c:v>227.928428041861</c:v>
                </c:pt>
                <c:pt idx="18">
                  <c:v>236.062151447168</c:v>
                </c:pt>
                <c:pt idx="19">
                  <c:v>245.223793586152</c:v>
                </c:pt>
                <c:pt idx="20">
                  <c:v>254.753215616702</c:v>
                </c:pt>
                <c:pt idx="21">
                  <c:v>265.121206827432</c:v>
                </c:pt>
                <c:pt idx="22">
                  <c:v>276.816655708708</c:v>
                </c:pt>
                <c:pt idx="23">
                  <c:v>288.740190591758</c:v>
                </c:pt>
                <c:pt idx="24">
                  <c:v>300.364344748155</c:v>
                </c:pt>
                <c:pt idx="25">
                  <c:v>312.652527316223</c:v>
                </c:pt>
                <c:pt idx="26">
                  <c:v>326.143201599779</c:v>
                </c:pt>
                <c:pt idx="27">
                  <c:v>340.984614061833</c:v>
                </c:pt>
                <c:pt idx="28">
                  <c:v>355.231769222663</c:v>
                </c:pt>
                <c:pt idx="29">
                  <c:v>371.278078242121</c:v>
                </c:pt>
                <c:pt idx="30">
                  <c:v>388.987281593982</c:v>
                </c:pt>
                <c:pt idx="31">
                  <c:v>409.072065210304</c:v>
                </c:pt>
                <c:pt idx="32">
                  <c:v>429.063002485082</c:v>
                </c:pt>
                <c:pt idx="33">
                  <c:v>450.1508538187</c:v>
                </c:pt>
                <c:pt idx="34">
                  <c:v>471.493432777036</c:v>
                </c:pt>
              </c:numCache>
            </c:numRef>
          </c:val>
          <c:smooth val="0"/>
        </c:ser>
        <c:ser>
          <c:idx val="1"/>
          <c:order val="1"/>
          <c:tx>
            <c:strRef>
              <c:f>"Competencia Relevante"</c:f>
              <c:strCache>
                <c:ptCount val="1"/>
                <c:pt idx="0">
                  <c:v>Competencia Relevante</c:v>
                </c:pt>
              </c:strCache>
            </c:strRef>
          </c:tx>
          <c:spPr>
            <a:solidFill>
              <a:srgbClr val="a6a6a6"/>
            </a:solidFill>
            <a:ln w="38160">
              <a:solidFill>
                <a:srgbClr val="a6a6a6"/>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(2)'!$A$191:$A$244</c:f>
              <c:numCache>
                <c:formatCode>m/d/yyyy</c:formatCode>
                <c:ptCount val="54"/>
                <c:pt idx="0">
                  <c:v>6/30/2021</c:v>
                </c:pt>
                <c:pt idx="1">
                  <c:v>7/31/2021</c:v>
                </c:pt>
                <c:pt idx="2">
                  <c:v>8/31/2021</c:v>
                </c:pt>
                <c:pt idx="3">
                  <c:v>9/30/2021</c:v>
                </c:pt>
                <c:pt idx="4">
                  <c:v>10/31/2021</c:v>
                </c:pt>
                <c:pt idx="5">
                  <c:v>11/30/2021</c:v>
                </c:pt>
                <c:pt idx="6">
                  <c:v>12/31/2021</c:v>
                </c:pt>
                <c:pt idx="7">
                  <c:v>1/31/2022</c:v>
                </c:pt>
                <c:pt idx="8">
                  <c:v>2/28/2022</c:v>
                </c:pt>
                <c:pt idx="9">
                  <c:v>3/31/2022</c:v>
                </c:pt>
                <c:pt idx="10">
                  <c:v>4/30/2022</c:v>
                </c:pt>
                <c:pt idx="11">
                  <c:v>5/31/2022</c:v>
                </c:pt>
                <c:pt idx="12">
                  <c:v>6/30/2022</c:v>
                </c:pt>
                <c:pt idx="13">
                  <c:v>7/31/2022</c:v>
                </c:pt>
                <c:pt idx="14">
                  <c:v>8/31/2022</c:v>
                </c:pt>
                <c:pt idx="15">
                  <c:v>9/30/2022</c:v>
                </c:pt>
                <c:pt idx="16">
                  <c:v>10/28/2022</c:v>
                </c:pt>
                <c:pt idx="17">
                  <c:v>11/30/2022</c:v>
                </c:pt>
                <c:pt idx="18">
                  <c:v>12/30/2022</c:v>
                </c:pt>
                <c:pt idx="19">
                  <c:v>1/31/2023</c:v>
                </c:pt>
                <c:pt idx="20">
                  <c:v>2/28/2023</c:v>
                </c:pt>
                <c:pt idx="21">
                  <c:v>3/31/2023</c:v>
                </c:pt>
                <c:pt idx="22">
                  <c:v>4/28/2023</c:v>
                </c:pt>
                <c:pt idx="23">
                  <c:v>5/31/2023</c:v>
                </c:pt>
                <c:pt idx="24">
                  <c:v>6/30/2023</c:v>
                </c:pt>
                <c:pt idx="25">
                  <c:v>7/31/2023</c:v>
                </c:pt>
                <c:pt idx="26">
                  <c:v>8/31/2023</c:v>
                </c:pt>
                <c:pt idx="27">
                  <c:v>9/30/2023</c:v>
                </c:pt>
                <c:pt idx="28">
                  <c:v>10/31/2023</c:v>
                </c:pt>
                <c:pt idx="29">
                  <c:v>11/30/2023</c:v>
                </c:pt>
                <c:pt idx="30">
                  <c:v>12/31/2023</c:v>
                </c:pt>
                <c:pt idx="31">
                  <c:v>1/31/2024</c:v>
                </c:pt>
                <c:pt idx="32">
                  <c:v>2/29/2024</c:v>
                </c:pt>
                <c:pt idx="33">
                  <c:v>3/28/2024</c:v>
                </c:pt>
                <c:pt idx="34">
                  <c:v>4/30/2024</c:v>
                </c:pt>
                <c:pt idx="35">
                  <c:v>5/31/2024</c:v>
                </c:pt>
                <c:pt idx="36">
                  <c:v>6/30/2024</c:v>
                </c:pt>
                <c:pt idx="37">
                  <c:v>7/31/2024</c:v>
                </c:pt>
                <c:pt idx="38">
                  <c:v>8/31/2024</c:v>
                </c:pt>
                <c:pt idx="39">
                  <c:v>9/30/2024</c:v>
                </c:pt>
                <c:pt idx="40">
                  <c:v>10/31/2024</c:v>
                </c:pt>
                <c:pt idx="41">
                  <c:v>11/30/2024</c:v>
                </c:pt>
                <c:pt idx="42">
                  <c:v>12/31/2024</c:v>
                </c:pt>
                <c:pt idx="43">
                  <c:v>1/31/2025</c:v>
                </c:pt>
                <c:pt idx="44">
                  <c:v>2/28/2025</c:v>
                </c:pt>
                <c:pt idx="45">
                  <c:v>3/31/2025</c:v>
                </c:pt>
                <c:pt idx="46">
                  <c:v>4/30/2025</c:v>
                </c:pt>
                <c:pt idx="47">
                  <c:v>5/31/2025</c:v>
                </c:pt>
                <c:pt idx="48">
                  <c:v>6/30/2025</c:v>
                </c:pt>
                <c:pt idx="49">
                  <c:v>7/31/2025</c:v>
                </c:pt>
                <c:pt idx="50">
                  <c:v>8/31/2025</c:v>
                </c:pt>
                <c:pt idx="51">
                  <c:v>9/30/2025</c:v>
                </c:pt>
                <c:pt idx="52">
                  <c:v>10/31/2025</c:v>
                </c:pt>
                <c:pt idx="53">
                  <c:v>11/30/2025</c:v>
                </c:pt>
              </c:numCache>
            </c:numRef>
          </c:cat>
          <c:val>
            <c:numRef>
              <c:f>'Datos ICP (2)'!$M$210:$M$244</c:f>
              <c:numCache>
                <c:formatCode>#,##0.00</c:formatCode>
                <c:ptCount val="35"/>
                <c:pt idx="0">
                  <c:v>100</c:v>
                </c:pt>
                <c:pt idx="1">
                  <c:v>104.112414957686</c:v>
                </c:pt>
                <c:pt idx="2">
                  <c:v>108.460902204816</c:v>
                </c:pt>
                <c:pt idx="3">
                  <c:v>113.097683968767</c:v>
                </c:pt>
                <c:pt idx="4">
                  <c:v>118.080150716932</c:v>
                </c:pt>
                <c:pt idx="5">
                  <c:v>123.420985299308</c:v>
                </c:pt>
                <c:pt idx="6">
                  <c:v>129.07241184932</c:v>
                </c:pt>
                <c:pt idx="7">
                  <c:v>135.207079181855</c:v>
                </c:pt>
                <c:pt idx="8">
                  <c:v>141.528147042054</c:v>
                </c:pt>
                <c:pt idx="9">
                  <c:v>147.996209020351</c:v>
                </c:pt>
                <c:pt idx="10">
                  <c:v>154.238511157772</c:v>
                </c:pt>
                <c:pt idx="11">
                  <c:v>161.271176381229</c:v>
                </c:pt>
                <c:pt idx="12">
                  <c:v>168.455080974174</c:v>
                </c:pt>
                <c:pt idx="13">
                  <c:v>175.814257127013</c:v>
                </c:pt>
                <c:pt idx="14">
                  <c:v>182.650703375077</c:v>
                </c:pt>
                <c:pt idx="15">
                  <c:v>191.251064828747</c:v>
                </c:pt>
                <c:pt idx="16">
                  <c:v>199.387710712551</c:v>
                </c:pt>
                <c:pt idx="17">
                  <c:v>207.865455252923</c:v>
                </c:pt>
                <c:pt idx="18">
                  <c:v>216.639569266808</c:v>
                </c:pt>
                <c:pt idx="19">
                  <c:v>225.844770235675</c:v>
                </c:pt>
                <c:pt idx="20">
                  <c:v>235.067277098182</c:v>
                </c:pt>
                <c:pt idx="21">
                  <c:v>244.345735563616</c:v>
                </c:pt>
                <c:pt idx="22">
                  <c:v>253.543275555067</c:v>
                </c:pt>
                <c:pt idx="23">
                  <c:v>262.89453689386</c:v>
                </c:pt>
                <c:pt idx="24">
                  <c:v>272.312439033042</c:v>
                </c:pt>
                <c:pt idx="25">
                  <c:v>281.969573664962</c:v>
                </c:pt>
                <c:pt idx="26">
                  <c:v>291.678475308682</c:v>
                </c:pt>
                <c:pt idx="27">
                  <c:v>301.676462371808</c:v>
                </c:pt>
                <c:pt idx="28">
                  <c:v>311.918783458487</c:v>
                </c:pt>
                <c:pt idx="29">
                  <c:v>322.580677498287</c:v>
                </c:pt>
                <c:pt idx="30">
                  <c:v>333.740396778732</c:v>
                </c:pt>
                <c:pt idx="31">
                  <c:v>345.400157084694</c:v>
                </c:pt>
                <c:pt idx="32">
                  <c:v>357.460934297449</c:v>
                </c:pt>
                <c:pt idx="33">
                  <c:v>369.716516506873</c:v>
                </c:pt>
                <c:pt idx="34">
                  <c:v>382.170219103048</c:v>
                </c:pt>
              </c:numCache>
            </c:numRef>
          </c:val>
          <c:smooth val="0"/>
        </c:ser>
        <c:hiLowLines>
          <c:spPr>
            <a:ln w="0">
              <a:noFill/>
            </a:ln>
          </c:spPr>
        </c:hiLowLines>
        <c:marker val="0"/>
        <c:axId val="88839982"/>
        <c:axId val="16782526"/>
      </c:lineChart>
      <c:dateAx>
        <c:axId val="88839982"/>
        <c:scaling>
          <c:orientation val="minMax"/>
        </c:scaling>
        <c:delete val="1"/>
        <c:axPos val="b"/>
        <c:numFmt formatCode="m/d/yyyy" sourceLinked="1"/>
        <c:majorTickMark val="out"/>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16782526"/>
        <c:auto val="1"/>
        <c:lblOffset val="100"/>
        <c:baseTimeUnit val="months"/>
        <c:majorUnit val="2"/>
        <c:majorTimeUnit val="months"/>
        <c:minorUnit val="2"/>
        <c:minorTimeUnit val="months"/>
        <c:noMultiLvlLbl val="0"/>
      </c:dateAx>
      <c:valAx>
        <c:axId val="16782526"/>
        <c:scaling>
          <c:orientation val="minMax"/>
        </c:scaling>
        <c:delete val="0"/>
        <c:axPos val="l"/>
        <c:majorGridlines>
          <c:spPr>
            <a:ln w="6480">
              <a:solidFill>
                <a:srgbClr val="d9d9d9"/>
              </a:solidFill>
              <a:round/>
            </a:ln>
          </c:spPr>
        </c:majorGridlines>
        <c:title>
          <c:tx>
            <c:rich>
              <a:bodyPr rot="-5400000"/>
              <a:lstStyle/>
              <a:p>
                <a:pPr>
                  <a:defRPr b="1" lang="en-US" sz="1000" spc="-1" strike="noStrike">
                    <a:solidFill>
                      <a:srgbClr val="000000"/>
                    </a:solidFill>
                    <a:latin typeface="Calibri"/>
                  </a:defRPr>
                </a:pPr>
                <a:r>
                  <a:rPr b="1" lang="en-US" sz="1000" spc="-1" strike="noStrike">
                    <a:solidFill>
                      <a:srgbClr val="000000"/>
                    </a:solidFill>
                    <a:latin typeface="Calibri"/>
                  </a:rPr>
                  <a:t>Indice</a:t>
                </a:r>
              </a:p>
            </c:rich>
          </c:tx>
          <c:overlay val="0"/>
          <c:spPr>
            <a:noFill/>
            <a:ln w="0">
              <a:noFill/>
            </a:ln>
          </c:spPr>
        </c:title>
        <c:numFmt formatCode="0" sourceLinked="0"/>
        <c:majorTickMark val="out"/>
        <c:minorTickMark val="none"/>
        <c:tickLblPos val="nextTo"/>
        <c:spPr>
          <a:ln w="6480">
            <a:solidFill>
              <a:srgbClr val="8b8b8b"/>
            </a:solidFill>
            <a:round/>
          </a:ln>
        </c:spPr>
        <c:txPr>
          <a:bodyPr/>
          <a:lstStyle/>
          <a:p>
            <a:pPr>
              <a:defRPr b="0" sz="1100" spc="-1" strike="noStrike">
                <a:solidFill>
                  <a:srgbClr val="000000"/>
                </a:solidFill>
                <a:latin typeface="Aileron"/>
              </a:defRPr>
            </a:pPr>
          </a:p>
        </c:txPr>
        <c:crossAx val="88839982"/>
        <c:crosses val="autoZero"/>
        <c:crossBetween val="between"/>
      </c:valAx>
      <c:spPr>
        <a:noFill/>
        <a:ln w="0">
          <a:noFill/>
        </a:ln>
      </c:spPr>
    </c:plotArea>
    <c:legend>
      <c:legendPos val="r"/>
      <c:layout>
        <c:manualLayout>
          <c:xMode val="edge"/>
          <c:yMode val="edge"/>
          <c:x val="0.629673236600142"/>
          <c:y val="0.799412658461472"/>
          <c:w val="0.327025179242532"/>
          <c:h val="0.132371265452446"/>
        </c:manualLayout>
      </c:layout>
      <c:overlay val="1"/>
      <c:spPr>
        <a:noFill/>
        <a:ln w="0">
          <a:noFill/>
        </a:ln>
      </c:spPr>
      <c:txPr>
        <a:bodyPr/>
        <a:lstStyle/>
        <a:p>
          <a:pPr>
            <a:defRPr b="0" sz="1100" spc="-1" strike="noStrike">
              <a:solidFill>
                <a:srgbClr val="000000"/>
              </a:solidFill>
              <a:latin typeface="Be Vietnam Pro Light"/>
            </a:defRPr>
          </a:pPr>
        </a:p>
      </c:txPr>
    </c:legend>
    <c:plotVisOnly val="1"/>
    <c:dispBlanksAs val="gap"/>
  </c:chart>
  <c:spPr>
    <a:noFill/>
    <a:ln w="936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0"/>
          <c:dPt>
            <c:idx val="0"/>
            <c:spPr>
              <a:solidFill>
                <a:srgbClr val="fdd900"/>
              </a:solidFill>
              <a:ln w="19080">
                <a:solidFill>
                  <a:srgbClr val="ffffff"/>
                </a:solidFill>
                <a:round/>
              </a:ln>
            </c:spPr>
          </c:dPt>
          <c:dPt>
            <c:idx val="1"/>
            <c:spPr>
              <a:solidFill>
                <a:srgbClr val="a6a6a6"/>
              </a:solidFill>
              <a:ln w="19080">
                <a:solidFill>
                  <a:srgbClr val="ffffff"/>
                </a:solidFill>
                <a:round/>
              </a:ln>
            </c:spPr>
          </c:dPt>
          <c:dPt>
            <c:idx val="2"/>
            <c:spPr>
              <a:solidFill>
                <a:srgbClr val="d9d9d9"/>
              </a:solidFill>
              <a:ln w="19080">
                <a:solidFill>
                  <a:srgbClr val="ffffff"/>
                </a:solidFill>
                <a:round/>
              </a:ln>
            </c:spPr>
          </c:dPt>
          <c:dPt>
            <c:idx val="3"/>
            <c:spPr>
              <a:solidFill>
                <a:srgbClr val="d4d4d4"/>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2"/>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3"/>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composición!$K$3:$K$6</c:f>
              <c:strCache>
                <c:ptCount val="4"/>
                <c:pt idx="0">
                  <c:v>Menos de 1 mes</c:v>
                </c:pt>
                <c:pt idx="1">
                  <c:v>1-3 meses</c:v>
                </c:pt>
                <c:pt idx="2">
                  <c:v>3-4 meses</c:v>
                </c:pt>
                <c:pt idx="3">
                  <c:v>Más de 4 meses</c:v>
                </c:pt>
              </c:strCache>
            </c:strRef>
          </c:cat>
          <c:val>
            <c:numRef>
              <c:f>composición!$L$3:$L$6</c:f>
              <c:numCache>
                <c:formatCode>0.00%</c:formatCode>
                <c:ptCount val="4"/>
                <c:pt idx="0">
                  <c:v>0.2663</c:v>
                </c:pt>
                <c:pt idx="1">
                  <c:v>0.2874</c:v>
                </c:pt>
                <c:pt idx="2">
                  <c:v>0.2253</c:v>
                </c:pt>
                <c:pt idx="3">
                  <c:v>0.221</c:v>
                </c:pt>
              </c:numCache>
            </c:numRef>
          </c:val>
        </c:ser>
        <c:firstSliceAng val="0"/>
        <c:holeSize val="50"/>
      </c:doughnutChart>
      <c:spPr>
        <a:noFill/>
        <a:ln w="0">
          <a:noFill/>
        </a:ln>
      </c:spPr>
    </c:plotArea>
    <c:plotVisOnly val="1"/>
    <c:dispBlanksAs val="gap"/>
  </c:chart>
  <c:spPr>
    <a:noFill/>
    <a:ln w="936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0"/>
          <c:dPt>
            <c:idx val="0"/>
            <c:spPr>
              <a:solidFill>
                <a:srgbClr val="fdd900"/>
              </a:solidFill>
              <a:ln w="19080">
                <a:solidFill>
                  <a:srgbClr val="ffffff"/>
                </a:solidFill>
                <a:round/>
              </a:ln>
            </c:spPr>
          </c:dPt>
          <c:dPt>
            <c:idx val="1"/>
            <c:spPr>
              <a:solidFill>
                <a:srgbClr val="a6a6a6"/>
              </a:solidFill>
              <a:ln w="19080">
                <a:solidFill>
                  <a:srgbClr val="ffffff"/>
                </a:solidFill>
                <a:round/>
              </a:ln>
            </c:spPr>
          </c:dPt>
          <c:dPt>
            <c:idx val="2"/>
            <c:spPr>
              <a:solidFill>
                <a:srgbClr val="bfbfbf"/>
              </a:solidFill>
              <a:ln w="19080">
                <a:solidFill>
                  <a:srgbClr val="ffffff"/>
                </a:solidFill>
                <a:round/>
              </a:ln>
            </c:spPr>
          </c:dPt>
          <c:dPt>
            <c:idx val="3"/>
            <c:spPr>
              <a:solidFill>
                <a:srgbClr val="d9d9d9"/>
              </a:solidFill>
              <a:ln w="19080">
                <a:solidFill>
                  <a:srgbClr val="ffffff"/>
                </a:solidFill>
                <a:round/>
              </a:ln>
            </c:spPr>
          </c:dPt>
          <c:dPt>
            <c:idx val="4"/>
            <c:spPr>
              <a:solidFill>
                <a:srgbClr val="d4d4d4"/>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2"/>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3"/>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4"/>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composición!$O$2:$O$6</c:f>
              <c:strCache>
                <c:ptCount val="5"/>
                <c:pt idx="0">
                  <c:v>Bono</c:v>
                </c:pt>
                <c:pt idx="1">
                  <c:v>Depósitos</c:v>
                </c:pt>
                <c:pt idx="2">
                  <c:v>Factoring</c:v>
                </c:pt>
                <c:pt idx="3">
                  <c:v>Financiamiento Inmobiliario</c:v>
                </c:pt>
                <c:pt idx="4">
                  <c:v>Financiamiento Mesa Moneda Extranjera</c:v>
                </c:pt>
              </c:strCache>
            </c:strRef>
          </c:cat>
          <c:val>
            <c:numRef>
              <c:f>composición!$P$2:$P$6</c:f>
              <c:numCache>
                <c:formatCode>0.00%</c:formatCode>
                <c:ptCount val="5"/>
                <c:pt idx="0">
                  <c:v>0</c:v>
                </c:pt>
                <c:pt idx="1">
                  <c:v>0</c:v>
                </c:pt>
                <c:pt idx="2">
                  <c:v>0</c:v>
                </c:pt>
                <c:pt idx="3">
                  <c:v>0</c:v>
                </c:pt>
                <c:pt idx="4">
                  <c:v>1</c:v>
                </c:pt>
              </c:numCache>
            </c:numRef>
          </c:val>
        </c:ser>
        <c:firstSliceAng val="0"/>
        <c:holeSize val="50"/>
      </c:doughnutChart>
      <c:spPr>
        <a:noFill/>
        <a:ln w="0">
          <a:noFill/>
        </a:ln>
      </c:spPr>
    </c:plotArea>
    <c:plotVisOnly val="1"/>
    <c:dispBlanksAs val="gap"/>
  </c:chart>
  <c:spPr>
    <a:noFill/>
    <a:ln w="936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0"/>
          <c:dPt>
            <c:idx val="0"/>
            <c:spPr>
              <a:solidFill>
                <a:srgbClr val="fdd900"/>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composición!$S$3</c:f>
              <c:strCache>
                <c:ptCount val="1"/>
                <c:pt idx="0">
                  <c:v>USD</c:v>
                </c:pt>
              </c:strCache>
            </c:strRef>
          </c:cat>
          <c:val>
            <c:numRef>
              <c:f>composición!$T$3</c:f>
              <c:numCache>
                <c:formatCode>0.00%</c:formatCode>
                <c:ptCount val="1"/>
                <c:pt idx="0">
                  <c:v>1</c:v>
                </c:pt>
              </c:numCache>
            </c:numRef>
          </c:val>
        </c:ser>
        <c:firstSliceAng val="0"/>
        <c:holeSize val="50"/>
      </c:doughnutChart>
      <c:spPr>
        <a:noFill/>
        <a:ln w="0">
          <a:noFill/>
        </a:ln>
      </c:spPr>
    </c:plotArea>
    <c:plotVisOnly val="1"/>
    <c:dispBlanksAs val="gap"/>
  </c:chart>
  <c:spPr>
    <a:noFill/>
    <a:ln w="936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200160</xdr:colOff>
      <xdr:row>264</xdr:row>
      <xdr:rowOff>124560</xdr:rowOff>
    </xdr:from>
    <xdr:to>
      <xdr:col>10</xdr:col>
      <xdr:colOff>357120</xdr:colOff>
      <xdr:row>287</xdr:row>
      <xdr:rowOff>7560</xdr:rowOff>
    </xdr:to>
    <xdr:graphicFrame>
      <xdr:nvGraphicFramePr>
        <xdr:cNvPr id="0" name="Chart 1"/>
        <xdr:cNvGraphicFramePr/>
      </xdr:nvGraphicFramePr>
      <xdr:xfrm>
        <a:off x="2486160" y="50454720"/>
        <a:ext cx="7437960" cy="42645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106560</xdr:colOff>
      <xdr:row>33</xdr:row>
      <xdr:rowOff>34200</xdr:rowOff>
    </xdr:from>
    <xdr:to>
      <xdr:col>8</xdr:col>
      <xdr:colOff>715680</xdr:colOff>
      <xdr:row>48</xdr:row>
      <xdr:rowOff>33840</xdr:rowOff>
    </xdr:to>
    <xdr:graphicFrame>
      <xdr:nvGraphicFramePr>
        <xdr:cNvPr id="1" name="Chart 1"/>
        <xdr:cNvGraphicFramePr/>
      </xdr:nvGraphicFramePr>
      <xdr:xfrm>
        <a:off x="2996280" y="6149160"/>
        <a:ext cx="4635360" cy="28573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76320</xdr:colOff>
      <xdr:row>18</xdr:row>
      <xdr:rowOff>34200</xdr:rowOff>
    </xdr:from>
    <xdr:to>
      <xdr:col>8</xdr:col>
      <xdr:colOff>685440</xdr:colOff>
      <xdr:row>33</xdr:row>
      <xdr:rowOff>33840</xdr:rowOff>
    </xdr:to>
    <xdr:graphicFrame>
      <xdr:nvGraphicFramePr>
        <xdr:cNvPr id="2" name="Chart 2"/>
        <xdr:cNvGraphicFramePr/>
      </xdr:nvGraphicFramePr>
      <xdr:xfrm>
        <a:off x="2966040" y="3291840"/>
        <a:ext cx="4635360" cy="28569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175320</xdr:colOff>
      <xdr:row>1</xdr:row>
      <xdr:rowOff>167760</xdr:rowOff>
    </xdr:from>
    <xdr:to>
      <xdr:col>8</xdr:col>
      <xdr:colOff>784440</xdr:colOff>
      <xdr:row>18</xdr:row>
      <xdr:rowOff>167400</xdr:rowOff>
    </xdr:to>
    <xdr:graphicFrame>
      <xdr:nvGraphicFramePr>
        <xdr:cNvPr id="3" name="Chart 3"/>
        <xdr:cNvGraphicFramePr/>
      </xdr:nvGraphicFramePr>
      <xdr:xfrm>
        <a:off x="3065040" y="358200"/>
        <a:ext cx="4635360" cy="30668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C:/Users/Jorge%20Valenzuela/Downloads/ICP%20hist&#243;rico%20(1).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v>
          </cell>
        </row>
        <row r="3794">
          <cell r="A3794">
            <v>43047</v>
          </cell>
          <cell r="B3794">
            <v>17829.05</v>
          </cell>
        </row>
        <row r="3795">
          <cell r="A3795">
            <v>43048</v>
          </cell>
          <cell r="B3795">
            <v>17830.29</v>
          </cell>
        </row>
        <row r="3796">
          <cell r="A3796">
            <v>43049</v>
          </cell>
          <cell r="B3796">
            <v>17831.53</v>
          </cell>
        </row>
        <row r="3797">
          <cell r="A3797">
            <v>43052</v>
          </cell>
          <cell r="B3797">
            <v>17835.24</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17843.92</v>
          </cell>
        </row>
        <row r="3803">
          <cell r="A3803">
            <v>43060</v>
          </cell>
          <cell r="B3803">
            <v>17845.16</v>
          </cell>
        </row>
        <row r="3804">
          <cell r="A3804">
            <v>43061</v>
          </cell>
          <cell r="B3804">
            <v>17846.4</v>
          </cell>
        </row>
        <row r="3805">
          <cell r="A3805">
            <v>43062</v>
          </cell>
          <cell r="B3805">
            <v>17847.64</v>
          </cell>
        </row>
        <row r="3806">
          <cell r="A3806">
            <v>43063</v>
          </cell>
          <cell r="B3806">
            <v>17848.88</v>
          </cell>
        </row>
        <row r="3807">
          <cell r="A3807">
            <v>43066</v>
          </cell>
          <cell r="B3807">
            <v>17852.6</v>
          </cell>
        </row>
        <row r="3808">
          <cell r="A3808">
            <v>43067</v>
          </cell>
          <cell r="B3808">
            <v>17853.84</v>
          </cell>
        </row>
        <row r="3809">
          <cell r="A3809">
            <v>43068</v>
          </cell>
          <cell r="B3809">
            <v>17855.08</v>
          </cell>
        </row>
        <row r="3810">
          <cell r="A3810">
            <v>43069</v>
          </cell>
          <cell r="B3810">
            <v>17856.32</v>
          </cell>
        </row>
        <row r="3811">
          <cell r="A3811">
            <v>43070</v>
          </cell>
          <cell r="B3811">
            <v>17857.56</v>
          </cell>
        </row>
        <row r="3812">
          <cell r="A3812">
            <v>43073</v>
          </cell>
          <cell r="B3812">
            <v>17861.28</v>
          </cell>
        </row>
        <row r="3813">
          <cell r="A3813">
            <v>43074</v>
          </cell>
          <cell r="B3813">
            <v>17862.52</v>
          </cell>
        </row>
        <row r="3814">
          <cell r="A3814">
            <v>43075</v>
          </cell>
          <cell r="B3814">
            <v>17863.76</v>
          </cell>
        </row>
        <row r="3815">
          <cell r="A3815">
            <v>43076</v>
          </cell>
          <cell r="B3815">
            <v>17865</v>
          </cell>
        </row>
        <row r="3816">
          <cell r="A3816">
            <v>43080</v>
          </cell>
          <cell r="B3816">
            <v>17869.96</v>
          </cell>
        </row>
        <row r="3817">
          <cell r="A3817">
            <v>43081</v>
          </cell>
          <cell r="B3817">
            <v>17871.2</v>
          </cell>
        </row>
        <row r="3818">
          <cell r="A3818">
            <v>43082</v>
          </cell>
          <cell r="B3818">
            <v>17872.44</v>
          </cell>
        </row>
      </sheetData>
    </sheetDataSet>
  </externalBook>
</externalLink>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3"/>
  <sheetViews>
    <sheetView showFormulas="false" showGridLines="false" showRowColHeaders="true" showZeros="true" rightToLeft="false" tabSelected="true" showOutlineSymbols="true" defaultGridColor="true" view="normal" topLeftCell="A2" colorId="64" zoomScale="100" zoomScaleNormal="100" zoomScalePageLayoutView="100" workbookViewId="0">
      <selection pane="topLeft" activeCell="A3" activeCellId="0" sqref="A3"/>
    </sheetView>
  </sheetViews>
  <sheetFormatPr defaultColWidth="11.42578125" defaultRowHeight="15" zeroHeight="false" outlineLevelRow="0" outlineLevelCol="0"/>
  <cols>
    <col collapsed="false" customWidth="true" hidden="false" outlineLevel="0" max="1" min="1" style="0" width="72.57"/>
  </cols>
  <sheetData>
    <row r="2" customFormat="false" ht="178.5" hidden="false" customHeight="true" outlineLevel="0" collapsed="false">
      <c r="A2" s="1" t="s">
        <v>0</v>
      </c>
    </row>
    <row r="3" customFormat="false" ht="15" hidden="false" customHeight="false" outlineLevel="0" collapsed="false">
      <c r="A3" s="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249"/>
  <sheetViews>
    <sheetView showFormulas="false" showGridLines="false" showRowColHeaders="true" showZeros="true" rightToLeft="false" tabSelected="false" showOutlineSymbols="true" defaultGridColor="true" view="normal" topLeftCell="X1" colorId="64" zoomScale="84" zoomScaleNormal="84" zoomScalePageLayoutView="100" workbookViewId="0">
      <pane xSplit="0" ySplit="2" topLeftCell="A234" activePane="bottomLeft" state="frozen"/>
      <selection pane="topLeft" activeCell="X1" activeCellId="0" sqref="X1"/>
      <selection pane="bottomLeft" activeCell="K249" activeCellId="0" sqref="K249"/>
    </sheetView>
  </sheetViews>
  <sheetFormatPr defaultColWidth="12.2890625" defaultRowHeight="15" zeroHeight="false" outlineLevelRow="0" outlineLevelCol="0"/>
  <cols>
    <col collapsed="false" customWidth="true" hidden="false" outlineLevel="0" max="1" min="1" style="3" width="14.29"/>
    <col collapsed="false" customWidth="true" hidden="false" outlineLevel="0" max="2" min="2" style="3" width="18.14"/>
    <col collapsed="false" customWidth="false" hidden="false" outlineLevel="0" max="5" min="3" style="3" width="12.29"/>
    <col collapsed="false" customWidth="true" hidden="false" outlineLevel="0" max="6" min="6" style="3" width="16.14"/>
    <col collapsed="false" customWidth="true" hidden="false" outlineLevel="0" max="7" min="7" style="4" width="13.42"/>
    <col collapsed="false" customWidth="false" hidden="false" outlineLevel="0" max="8" min="8" style="4" width="12.29"/>
    <col collapsed="false" customWidth="false" hidden="false" outlineLevel="0" max="9" min="9" style="5" width="12.29"/>
    <col collapsed="false" customWidth="false" hidden="false" outlineLevel="0" max="10" min="10" style="3" width="12.29"/>
    <col collapsed="false" customWidth="true" hidden="false" outlineLevel="0" max="11" min="11" style="3" width="14.14"/>
    <col collapsed="false" customWidth="false" hidden="false" outlineLevel="0" max="12" min="12" style="3" width="12.29"/>
    <col collapsed="false" customWidth="true" hidden="false" outlineLevel="0" max="24" min="13" style="3" width="11.85"/>
    <col collapsed="false" customWidth="false" hidden="false" outlineLevel="0" max="25" min="25" style="3" width="12.29"/>
    <col collapsed="false" customWidth="true" hidden="false" outlineLevel="0" max="27" min="26" style="3" width="10.85"/>
    <col collapsed="false" customWidth="true" hidden="false" outlineLevel="0" max="28" min="28" style="3" width="5.57"/>
    <col collapsed="false" customWidth="true" hidden="false" outlineLevel="0" max="29" min="29" style="3" width="5.71"/>
    <col collapsed="false" customWidth="true" hidden="false" outlineLevel="0" max="30" min="30" style="3" width="20.85"/>
    <col collapsed="false" customWidth="true" hidden="false" outlineLevel="0" max="31" min="31" style="3" width="7.71"/>
    <col collapsed="false" customWidth="true" hidden="false" outlineLevel="0" max="32" min="32" style="3" width="8"/>
    <col collapsed="false" customWidth="true" hidden="false" outlineLevel="0" max="33" min="33" style="3" width="7.29"/>
    <col collapsed="false" customWidth="true" hidden="false" outlineLevel="0" max="35" min="34" style="3" width="7.71"/>
    <col collapsed="false" customWidth="true" hidden="false" outlineLevel="0" max="36" min="36" style="3" width="9"/>
    <col collapsed="false" customWidth="true" hidden="false" outlineLevel="0" max="37" min="37" style="3" width="7.57"/>
    <col collapsed="false" customWidth="true" hidden="false" outlineLevel="0" max="38" min="38" style="3" width="9.42"/>
    <col collapsed="false" customWidth="true" hidden="false" outlineLevel="0" max="39" min="39" style="3" width="9.14"/>
    <col collapsed="false" customWidth="true" hidden="false" outlineLevel="0" max="40" min="40" style="3" width="8.71"/>
    <col collapsed="false" customWidth="true" hidden="false" outlineLevel="0" max="41" min="41" style="3" width="8.86"/>
    <col collapsed="false" customWidth="true" hidden="false" outlineLevel="0" max="42" min="42" style="3" width="8.57"/>
    <col collapsed="false" customWidth="true" hidden="false" outlineLevel="0" max="43" min="43" style="3" width="9"/>
    <col collapsed="false" customWidth="true" hidden="false" outlineLevel="0" max="44" min="44" style="3" width="3.86"/>
    <col collapsed="false" customWidth="true" hidden="false" outlineLevel="0" max="45" min="45" style="3" width="11.71"/>
    <col collapsed="false" customWidth="false" hidden="false" outlineLevel="0" max="46" min="46" style="3" width="12.29"/>
    <col collapsed="false" customWidth="true" hidden="false" outlineLevel="0" max="47" min="47" style="3" width="12.71"/>
    <col collapsed="false" customWidth="true" hidden="false" outlineLevel="0" max="48" min="48" style="3" width="20.29"/>
    <col collapsed="false" customWidth="true" hidden="false" outlineLevel="0" max="49" min="49" style="3" width="14.29"/>
    <col collapsed="false" customWidth="true" hidden="false" outlineLevel="0" max="51" min="50" style="3" width="13.71"/>
    <col collapsed="false" customWidth="true" hidden="false" outlineLevel="0" max="52" min="52" style="3" width="15.85"/>
    <col collapsed="false" customWidth="true" hidden="false" outlineLevel="0" max="53" min="53" style="3" width="14.29"/>
    <col collapsed="false" customWidth="true" hidden="false" outlineLevel="0" max="54" min="54" style="3" width="14.14"/>
    <col collapsed="false" customWidth="false" hidden="false" outlineLevel="0" max="16384" min="55" style="3" width="12.29"/>
  </cols>
  <sheetData>
    <row r="1" customFormat="false" ht="15.75" hidden="false" customHeight="true" outlineLevel="0" collapsed="false">
      <c r="A1" s="3" t="s">
        <v>1</v>
      </c>
      <c r="F1" s="3" t="s">
        <v>2</v>
      </c>
      <c r="AC1" s="6"/>
      <c r="AD1" s="7" t="s">
        <v>3</v>
      </c>
      <c r="AE1" s="8" t="s">
        <v>4</v>
      </c>
      <c r="AF1" s="8" t="s">
        <v>5</v>
      </c>
      <c r="AG1" s="8" t="s">
        <v>6</v>
      </c>
      <c r="AH1" s="8" t="s">
        <v>7</v>
      </c>
      <c r="AI1" s="8" t="s">
        <v>8</v>
      </c>
      <c r="AJ1" s="8" t="s">
        <v>9</v>
      </c>
      <c r="AK1" s="8" t="s">
        <v>10</v>
      </c>
      <c r="AL1" s="8" t="s">
        <v>11</v>
      </c>
      <c r="AM1" s="8" t="s">
        <v>12</v>
      </c>
      <c r="AN1" s="8" t="s">
        <v>13</v>
      </c>
      <c r="AO1" s="8" t="s">
        <v>14</v>
      </c>
      <c r="AP1" s="8" t="s">
        <v>15</v>
      </c>
      <c r="AQ1" s="8" t="s">
        <v>16</v>
      </c>
      <c r="AR1" s="9"/>
      <c r="AS1" s="9"/>
    </row>
    <row r="2" customFormat="false" ht="15" hidden="false" customHeight="false" outlineLevel="0" collapsed="false">
      <c r="A2" s="10" t="s">
        <v>17</v>
      </c>
      <c r="B2" s="10" t="s">
        <v>3</v>
      </c>
      <c r="C2" s="10"/>
      <c r="D2" s="10" t="s">
        <v>18</v>
      </c>
      <c r="E2" s="10"/>
      <c r="F2" s="10"/>
      <c r="G2" s="11"/>
      <c r="H2" s="11"/>
      <c r="J2" s="3" t="s">
        <v>19</v>
      </c>
      <c r="K2" s="12" t="s">
        <v>20</v>
      </c>
      <c r="L2" s="13"/>
      <c r="M2" s="3" t="s">
        <v>21</v>
      </c>
      <c r="P2" s="3" t="s">
        <v>4</v>
      </c>
      <c r="Q2" s="3" t="s">
        <v>5</v>
      </c>
      <c r="R2" s="3" t="s">
        <v>6</v>
      </c>
      <c r="S2" s="3" t="s">
        <v>7</v>
      </c>
      <c r="T2" s="3" t="s">
        <v>8</v>
      </c>
      <c r="U2" s="3" t="s">
        <v>9</v>
      </c>
      <c r="V2" s="3" t="s">
        <v>10</v>
      </c>
      <c r="W2" s="3" t="s">
        <v>11</v>
      </c>
      <c r="X2" s="3" t="s">
        <v>12</v>
      </c>
      <c r="Y2" s="3" t="s">
        <v>13</v>
      </c>
      <c r="Z2" s="3" t="s">
        <v>14</v>
      </c>
      <c r="AA2" s="3" t="s">
        <v>15</v>
      </c>
      <c r="AC2" s="6"/>
      <c r="AD2" s="14" t="n">
        <v>2006</v>
      </c>
      <c r="AE2" s="15" t="n">
        <f aca="false">+P3</f>
        <v>0.0463428751937802</v>
      </c>
      <c r="AF2" s="15" t="n">
        <f aca="false">+Q3</f>
        <v>0.0447322902207703</v>
      </c>
      <c r="AG2" s="15" t="n">
        <f aca="false">+R3</f>
        <v>0.0458302577395123</v>
      </c>
      <c r="AH2" s="15" t="n">
        <f aca="false">+S3</f>
        <v>0.0466069774812897</v>
      </c>
      <c r="AI2" s="15" t="n">
        <f aca="false">+T3</f>
        <v>0.0493315919233436</v>
      </c>
      <c r="AJ2" s="15" t="n">
        <f aca="false">+U3</f>
        <v>0.0493576026716571</v>
      </c>
      <c r="AK2" s="15" t="n">
        <f aca="false">+V3</f>
        <v>0.0498892270932018</v>
      </c>
      <c r="AL2" s="15" t="n">
        <f aca="false">+W3</f>
        <v>0.0516244967705633</v>
      </c>
      <c r="AM2" s="15" t="n">
        <f aca="false">+X3</f>
        <v>0.0522632201169789</v>
      </c>
      <c r="AN2" s="15" t="n">
        <f aca="false">+Y3</f>
        <v>0.0515913323920944</v>
      </c>
      <c r="AO2" s="15" t="n">
        <f aca="false">+Z3</f>
        <v>0.0525610224112469</v>
      </c>
      <c r="AP2" s="15" t="n">
        <f aca="false">+AA3</f>
        <v>0.0535840484095029</v>
      </c>
      <c r="AQ2" s="16" t="n">
        <f aca="false">+B16/B3-1</f>
        <v>0.0560652013943035</v>
      </c>
      <c r="AR2" s="9"/>
      <c r="AS2" s="9"/>
    </row>
    <row r="3" customFormat="false" ht="15" hidden="false" customHeight="false" outlineLevel="0" collapsed="false">
      <c r="A3" s="17" t="n">
        <v>38717</v>
      </c>
      <c r="B3" s="18" t="n">
        <v>10953.14</v>
      </c>
      <c r="D3" s="19" t="n">
        <f aca="false">B3/$B$3*100</f>
        <v>100</v>
      </c>
      <c r="E3" s="19"/>
      <c r="F3" s="19"/>
      <c r="K3" s="12"/>
      <c r="L3" s="13"/>
      <c r="N3" s="18" t="n">
        <f aca="false">B3</f>
        <v>10953.14</v>
      </c>
      <c r="O3" s="3" t="n">
        <v>2006</v>
      </c>
      <c r="P3" s="20" t="n">
        <f aca="false">LOOKUP(DATE($O3,P$25,P$24),$A$2:$A$2943,$C$2:$C$2943)</f>
        <v>0.0463428751937802</v>
      </c>
      <c r="Q3" s="20" t="n">
        <f aca="false">LOOKUP(DATE($O3,Q$25,Q$24),$A$2:$A$2943,$C$2:$C$2943)</f>
        <v>0.0447322902207703</v>
      </c>
      <c r="R3" s="20" t="n">
        <f aca="false">LOOKUP(DATE($O3,R$25,R$24),$A$2:$A$2943,$C$2:$C$2943)</f>
        <v>0.0458302577395123</v>
      </c>
      <c r="S3" s="20" t="n">
        <f aca="false">LOOKUP(DATE($O3,S$25,S$24),$A$2:$A$2943,$C$2:$C$2943)</f>
        <v>0.0466069774812897</v>
      </c>
      <c r="T3" s="20" t="n">
        <f aca="false">LOOKUP(DATE($O3,T$25,T$24),$A$2:$A$2943,$C$2:$C$2943)</f>
        <v>0.0493315919233436</v>
      </c>
      <c r="U3" s="20" t="n">
        <f aca="false">LOOKUP(DATE($O3,U$25,U$24),$A$2:$A$2943,$C$2:$C$2943)</f>
        <v>0.0493576026716571</v>
      </c>
      <c r="V3" s="20" t="n">
        <f aca="false">LOOKUP(DATE($O3,V$25,V$24),$A$2:$A$2943,$C$2:$C$2943)</f>
        <v>0.0498892270932018</v>
      </c>
      <c r="W3" s="20" t="n">
        <f aca="false">LOOKUP(DATE($O3,W$25,W$24),$A$2:$A$2943,$C$2:$C$2943)</f>
        <v>0.0516244967705633</v>
      </c>
      <c r="X3" s="20" t="n">
        <f aca="false">LOOKUP(DATE($O3,X$25,X$24),$A$2:$A$2943,$C$2:$C$2943)</f>
        <v>0.0522632201169789</v>
      </c>
      <c r="Y3" s="20" t="n">
        <f aca="false">LOOKUP(DATE($O3,Y$25,Y$24),$A$2:$A$2943,$C$2:$C$2943)</f>
        <v>0.0515913323920944</v>
      </c>
      <c r="Z3" s="20" t="n">
        <f aca="false">LOOKUP(DATE($O3,Z$25,Z$24),$A$2:$A$2943,$C$2:$C$2943)</f>
        <v>0.0525610224112469</v>
      </c>
      <c r="AA3" s="20" t="n">
        <f aca="false">LOOKUP(DATE($O3,AA$25,AA$24),$A$2:$A$2943,$C$2:$C$2943)</f>
        <v>0.0535840484095029</v>
      </c>
      <c r="AC3" s="6"/>
      <c r="AD3" s="21" t="n">
        <v>2007</v>
      </c>
      <c r="AE3" s="15" t="n">
        <f aca="false">+P4</f>
        <v>0.0518709363798467</v>
      </c>
      <c r="AF3" s="15" t="n">
        <f aca="false">+Q4</f>
        <v>0.0505183300459265</v>
      </c>
      <c r="AG3" s="15" t="n">
        <f aca="false">+R4</f>
        <v>0.0504483030618248</v>
      </c>
      <c r="AH3" s="15" t="n">
        <f aca="false">+S4</f>
        <v>0.0508671351690783</v>
      </c>
      <c r="AI3" s="15" t="n">
        <f aca="false">+T4</f>
        <v>0.050764276116902</v>
      </c>
      <c r="AJ3" s="15" t="n">
        <f aca="false">+U4</f>
        <v>0.0511271271531829</v>
      </c>
      <c r="AK3" s="15" t="n">
        <f aca="false">+V4</f>
        <v>0.0517154677821216</v>
      </c>
      <c r="AL3" s="15" t="n">
        <f aca="false">+W4</f>
        <v>0.0547541644848031</v>
      </c>
      <c r="AM3" s="15" t="n">
        <f aca="false">+X4</f>
        <v>0.057295126517304</v>
      </c>
      <c r="AN3" s="15" t="n">
        <f aca="false">+Y4</f>
        <v>0.0576535444654888</v>
      </c>
      <c r="AO3" s="15" t="n">
        <f aca="false">+Z4</f>
        <v>0.0577627524109365</v>
      </c>
      <c r="AP3" s="15" t="n">
        <f aca="false">+AA4</f>
        <v>0.0535196646101014</v>
      </c>
      <c r="AQ3" s="16" t="n">
        <f aca="false">+B28/B15-1</f>
        <v>0.0556013512281011</v>
      </c>
      <c r="AR3" s="9"/>
      <c r="AS3" s="9"/>
    </row>
    <row r="4" customFormat="false" ht="15" hidden="false" customHeight="false" outlineLevel="0" collapsed="false">
      <c r="A4" s="22" t="n">
        <v>38748</v>
      </c>
      <c r="B4" s="23" t="n">
        <v>10996.85</v>
      </c>
      <c r="C4" s="24" t="n">
        <f aca="false">(B4/B3-1)/(A4-A3)*360</f>
        <v>0.0463428751937802</v>
      </c>
      <c r="D4" s="19" t="n">
        <f aca="false">B4/$B$3*100</f>
        <v>100.399063647502</v>
      </c>
      <c r="E4" s="19"/>
      <c r="F4" s="19"/>
      <c r="K4" s="12" t="s">
        <v>22</v>
      </c>
      <c r="L4" s="13"/>
      <c r="O4" s="3" t="n">
        <v>2007</v>
      </c>
      <c r="P4" s="20" t="n">
        <f aca="false">LOOKUP(DATE($O4,P$25,P$24),$A$2:$A$2943,$C$2:$C$2943)</f>
        <v>0.0518709363798467</v>
      </c>
      <c r="Q4" s="20" t="n">
        <f aca="false">LOOKUP(DATE($O4,Q$25,Q$24),$A$2:$A$2943,$C$2:$C$2943)</f>
        <v>0.0505183300459265</v>
      </c>
      <c r="R4" s="20" t="n">
        <f aca="false">LOOKUP(DATE($O4,R$25,R$24),$A$2:$A$2943,$C$2:$C$2943)</f>
        <v>0.0504483030618248</v>
      </c>
      <c r="S4" s="20" t="n">
        <f aca="false">LOOKUP(DATE($O4,S$25,S$24),$A$2:$A$2943,$C$2:$C$2943)</f>
        <v>0.0508671351690783</v>
      </c>
      <c r="T4" s="20" t="n">
        <f aca="false">LOOKUP(DATE($O4,T$25,T$24),$A$2:$A$2943,$C$2:$C$2943)</f>
        <v>0.050764276116902</v>
      </c>
      <c r="U4" s="20" t="n">
        <f aca="false">LOOKUP(DATE($O4,U$25,U$24),$A$2:$A$2943,$C$2:$C$2943)</f>
        <v>0.0511271271531829</v>
      </c>
      <c r="V4" s="20" t="n">
        <f aca="false">LOOKUP(DATE($O4,V$25,V$24),$A$2:$A$2943,$C$2:$C$2943)</f>
        <v>0.0517154677821216</v>
      </c>
      <c r="W4" s="20" t="n">
        <f aca="false">LOOKUP(DATE($O4,W$25,W$24),$A$2:$A$2943,$C$2:$C$2943)</f>
        <v>0.0547541644848031</v>
      </c>
      <c r="X4" s="20" t="n">
        <f aca="false">LOOKUP(DATE($O4,X$25,X$24),$A$2:$A$2943,$C$2:$C$2943)</f>
        <v>0.057295126517304</v>
      </c>
      <c r="Y4" s="20" t="n">
        <f aca="false">LOOKUP(DATE($O4,Y$25,Y$24),$A$2:$A$2943,$C$2:$C$2943)</f>
        <v>0.0576535444654888</v>
      </c>
      <c r="Z4" s="20" t="n">
        <f aca="false">LOOKUP(DATE($O4,Z$25,Z$24),$A$2:$A$2943,$C$2:$C$2943)</f>
        <v>0.0577627524109365</v>
      </c>
      <c r="AA4" s="20" t="n">
        <f aca="false">LOOKUP(DATE($O4,AA$25,AA$24),$A$2:$A$2943,$C$2:$C$2943)</f>
        <v>0.0535196646101014</v>
      </c>
      <c r="AC4" s="6"/>
      <c r="AD4" s="14" t="n">
        <v>2008</v>
      </c>
      <c r="AE4" s="15" t="n">
        <f aca="false">+P5</f>
        <v>0.0674073197133445</v>
      </c>
      <c r="AF4" s="15" t="n">
        <f aca="false">+Q5</f>
        <v>0.0674073197133445</v>
      </c>
      <c r="AG4" s="15" t="n">
        <f aca="false">+R5</f>
        <v>0.0629286543899455</v>
      </c>
      <c r="AH4" s="15" t="n">
        <f aca="false">+S5</f>
        <v>0.062888162928239</v>
      </c>
      <c r="AI4" s="15" t="n">
        <f aca="false">+T5</f>
        <v>0.0631111984523418</v>
      </c>
      <c r="AJ4" s="15" t="n">
        <f aca="false">+U5</f>
        <v>0.0658265608906796</v>
      </c>
      <c r="AK4" s="15" t="n">
        <f aca="false">+V5</f>
        <v>0.0709325187892965</v>
      </c>
      <c r="AL4" s="15" t="n">
        <f aca="false">+W5</f>
        <v>0.0744400978489139</v>
      </c>
      <c r="AM4" s="15" t="n">
        <f aca="false">+X5</f>
        <v>0.0817497243131052</v>
      </c>
      <c r="AN4" s="15" t="n">
        <f aca="false">+Y5</f>
        <v>0.080238877484542</v>
      </c>
      <c r="AO4" s="15" t="n">
        <f aca="false">+Z5</f>
        <v>0.0853725692670948</v>
      </c>
      <c r="AP4" s="15" t="n">
        <f aca="false">+AA5</f>
        <v>0.0802353626707769</v>
      </c>
      <c r="AQ4" s="16" t="n">
        <f aca="false">+B41/B29-1</f>
        <v>0.0689830927241282</v>
      </c>
      <c r="AR4" s="9"/>
      <c r="AS4" s="9"/>
    </row>
    <row r="5" customFormat="false" ht="15" hidden="false" customHeight="false" outlineLevel="0" collapsed="false">
      <c r="A5" s="17" t="n">
        <v>38776</v>
      </c>
      <c r="B5" s="23" t="n">
        <v>11035.11</v>
      </c>
      <c r="C5" s="24" t="n">
        <f aca="false">(B5/B4-1)/(A5-A4)*360</f>
        <v>0.0447322902207703</v>
      </c>
      <c r="D5" s="19" t="n">
        <f aca="false">B5/$B$3*100</f>
        <v>100.748369873844</v>
      </c>
      <c r="E5" s="19"/>
      <c r="F5" s="19"/>
      <c r="O5" s="3" t="n">
        <v>2008</v>
      </c>
      <c r="P5" s="20" t="n">
        <f aca="false">LOOKUP(DATE($O5,P$25,P$24),$A$2:$A$2943,$C$2:$C$2943)</f>
        <v>0.0674073197133445</v>
      </c>
      <c r="Q5" s="20" t="n">
        <f aca="false">LOOKUP(DATE($O5,Q$25,Q$24),$A$2:$A$2943,$C$2:$C$2943)</f>
        <v>0.0674073197133445</v>
      </c>
      <c r="R5" s="20" t="n">
        <f aca="false">LOOKUP(DATE($O5,R$25,R$24),$A$2:$A$2943,$C$2:$C$2943)</f>
        <v>0.0629286543899455</v>
      </c>
      <c r="S5" s="20" t="n">
        <f aca="false">LOOKUP(DATE($O5,S$25,S$24),$A$2:$A$2943,$C$2:$C$2943)</f>
        <v>0.062888162928239</v>
      </c>
      <c r="T5" s="20" t="n">
        <f aca="false">LOOKUP(DATE($O5,T$25,T$24),$A$2:$A$2943,$C$2:$C$2943)</f>
        <v>0.0631111984523418</v>
      </c>
      <c r="U5" s="20" t="n">
        <f aca="false">LOOKUP(DATE($O5,U$25,U$24),$A$2:$A$2943,$C$2:$C$2943)</f>
        <v>0.0658265608906796</v>
      </c>
      <c r="V5" s="20" t="n">
        <f aca="false">LOOKUP(DATE($O5,V$25,V$24),$A$2:$A$2943,$C$2:$C$2943)</f>
        <v>0.0709325187892965</v>
      </c>
      <c r="W5" s="20" t="n">
        <f aca="false">LOOKUP(DATE($O5,W$25,W$24),$A$2:$A$2943,$C$2:$C$2943)</f>
        <v>0.0744400978489139</v>
      </c>
      <c r="X5" s="20" t="n">
        <f aca="false">LOOKUP(DATE($O5,X$25,X$24),$A$2:$A$2943,$C$2:$C$2943)</f>
        <v>0.0817497243131052</v>
      </c>
      <c r="Y5" s="20" t="n">
        <f aca="false">LOOKUP(DATE($O5,Y$25,Y$24),$A$2:$A$2943,$C$2:$C$2943)</f>
        <v>0.080238877484542</v>
      </c>
      <c r="Z5" s="20" t="n">
        <f aca="false">LOOKUP(DATE($O5,Z$25,Z$24),$A$2:$A$2943,$C$2:$C$2943)</f>
        <v>0.0853725692670948</v>
      </c>
      <c r="AA5" s="20" t="n">
        <f aca="false">LOOKUP(DATE($O5,AA$25,AA$24),$A$2:$A$2943,$C$2:$C$2943)</f>
        <v>0.0802353626707769</v>
      </c>
      <c r="AC5" s="6"/>
      <c r="AD5" s="21" t="n">
        <v>2009</v>
      </c>
      <c r="AE5" s="15" t="n">
        <f aca="false">+P6</f>
        <v>0.0779071093413384</v>
      </c>
      <c r="AF5" s="15" t="n">
        <f aca="false">+Q6</f>
        <v>0.0595678034702428</v>
      </c>
      <c r="AG5" s="15" t="n">
        <f aca="false">+R6</f>
        <v>0.0332848550078005</v>
      </c>
      <c r="AH5" s="15" t="n">
        <f aca="false">+S6</f>
        <v>0.0194156294005516</v>
      </c>
      <c r="AI5" s="15" t="n">
        <f aca="false">+T6</f>
        <v>0.0134121065097501</v>
      </c>
      <c r="AJ5" s="15" t="n">
        <f aca="false">+U6</f>
        <v>0.0102619410309063</v>
      </c>
      <c r="AK5" s="15" t="n">
        <f aca="false">+V6</f>
        <v>0.00546630099176441</v>
      </c>
      <c r="AL5" s="15" t="n">
        <f aca="false">+W6</f>
        <v>0.00412834487942919</v>
      </c>
      <c r="AM5" s="15" t="n">
        <f aca="false">+X6</f>
        <v>0.00448983363723787</v>
      </c>
      <c r="AN5" s="15" t="n">
        <f aca="false">+Y6</f>
        <v>0.00422679599400855</v>
      </c>
      <c r="AO5" s="15" t="n">
        <f aca="false">+Z6</f>
        <v>0.00415875598075411</v>
      </c>
      <c r="AP5" s="15" t="n">
        <f aca="false">+AA6</f>
        <v>0.00434900698763296</v>
      </c>
      <c r="AQ5" s="16" t="n">
        <f aca="false">+B53/B41-1</f>
        <v>0.0201410801655859</v>
      </c>
      <c r="AR5" s="9"/>
      <c r="AS5" s="9"/>
    </row>
    <row r="6" customFormat="false" ht="15" hidden="false" customHeight="false" outlineLevel="0" collapsed="false">
      <c r="A6" s="17" t="n">
        <v>38807</v>
      </c>
      <c r="B6" s="23" t="n">
        <v>11078.66</v>
      </c>
      <c r="C6" s="24" t="n">
        <f aca="false">(B6/B5-1)/(A6-A5)*360</f>
        <v>0.0458302577395123</v>
      </c>
      <c r="D6" s="19" t="n">
        <f aca="false">B6/$B$3*100</f>
        <v>101.145972753019</v>
      </c>
      <c r="E6" s="19"/>
      <c r="F6" s="19"/>
      <c r="O6" s="3" t="n">
        <v>2009</v>
      </c>
      <c r="P6" s="20" t="n">
        <f aca="false">LOOKUP(DATE($O6,P$25,P$24),$A$2:$A$2943,$C$2:$C$2943)</f>
        <v>0.0779071093413384</v>
      </c>
      <c r="Q6" s="20" t="n">
        <f aca="false">LOOKUP(DATE($O6,Q$25,Q$24),$A$2:$A$2943,$C$2:$C$2943)</f>
        <v>0.0595678034702428</v>
      </c>
      <c r="R6" s="20" t="n">
        <f aca="false">LOOKUP(DATE($O6,R$25,R$24),$A$2:$A$2943,$C$2:$C$2943)</f>
        <v>0.0332848550078005</v>
      </c>
      <c r="S6" s="20" t="n">
        <f aca="false">LOOKUP(DATE($O6,S$25,S$24),$A$2:$A$2943,$C$2:$C$2943)</f>
        <v>0.0194156294005516</v>
      </c>
      <c r="T6" s="20" t="n">
        <f aca="false">LOOKUP(DATE($O6,T$25,T$24),$A$2:$A$2943,$C$2:$C$2943)</f>
        <v>0.0134121065097501</v>
      </c>
      <c r="U6" s="20" t="n">
        <f aca="false">LOOKUP(DATE($O6,U$25,U$24),$A$2:$A$2943,$C$2:$C$2943)</f>
        <v>0.0102619410309063</v>
      </c>
      <c r="V6" s="20" t="n">
        <f aca="false">LOOKUP(DATE($O6,V$25,V$24),$A$2:$A$2943,$C$2:$C$2943)</f>
        <v>0.00546630099176441</v>
      </c>
      <c r="W6" s="20" t="n">
        <f aca="false">LOOKUP(DATE($O6,W$25,W$24),$A$2:$A$2943,$C$2:$C$2943)</f>
        <v>0.00412834487942919</v>
      </c>
      <c r="X6" s="20" t="n">
        <f aca="false">LOOKUP(DATE($O6,X$25,X$24),$A$2:$A$2943,$C$2:$C$2943)</f>
        <v>0.00448983363723787</v>
      </c>
      <c r="Y6" s="20" t="n">
        <f aca="false">LOOKUP(DATE($O6,Y$25,Y$24),$A$2:$A$2943,$C$2:$C$2943)</f>
        <v>0.00422679599400855</v>
      </c>
      <c r="Z6" s="20" t="n">
        <f aca="false">LOOKUP(DATE($O6,Z$25,Z$24),$A$2:$A$2943,$C$2:$C$2943)</f>
        <v>0.00415875598075411</v>
      </c>
      <c r="AA6" s="20" t="n">
        <f aca="false">LOOKUP(DATE($O6,AA$25,AA$24),$A$2:$A$2943,$C$2:$C$2943)</f>
        <v>0.00434900698763296</v>
      </c>
      <c r="AC6" s="6"/>
      <c r="AD6" s="14" t="n">
        <v>2010</v>
      </c>
      <c r="AE6" s="15" t="n">
        <f aca="false">+P7</f>
        <v>0.00442368560271352</v>
      </c>
      <c r="AF6" s="15" t="n">
        <f aca="false">+Q7</f>
        <v>0.00412685913557682</v>
      </c>
      <c r="AG6" s="15" t="n">
        <f aca="false">+R7</f>
        <v>0.00430195967485422</v>
      </c>
      <c r="AH6" s="15" t="n">
        <f aca="false">+S7</f>
        <v>0.00435258648404879</v>
      </c>
      <c r="AI6" s="15" t="n">
        <f aca="false">+T7</f>
        <v>0.00423675228916212</v>
      </c>
      <c r="AJ6" s="15" t="n">
        <f aca="false">+U7</f>
        <v>0.0066499419627819</v>
      </c>
      <c r="AK6" s="15" t="n">
        <f aca="false">+V7</f>
        <v>0.0117566930371469</v>
      </c>
      <c r="AL6" s="15" t="n">
        <f aca="false">+W7</f>
        <v>0.017849946052001</v>
      </c>
      <c r="AM6" s="15" t="n">
        <f aca="false">+X7</f>
        <v>0.0220198115595078</v>
      </c>
      <c r="AN6" s="15" t="n">
        <f aca="false">+Y7</f>
        <v>0.0267335495331625</v>
      </c>
      <c r="AO6" s="15" t="n">
        <f aca="false">+Z7</f>
        <v>0.0287174810334689</v>
      </c>
      <c r="AP6" s="15" t="n">
        <f aca="false">+AA7</f>
        <v>0.0343744181750046</v>
      </c>
      <c r="AQ6" s="16" t="n">
        <f aca="false">+B65/B53-1</f>
        <v>0.0145114220338347</v>
      </c>
      <c r="AR6" s="9"/>
      <c r="AS6" s="9"/>
    </row>
    <row r="7" customFormat="false" ht="15" hidden="false" customHeight="false" outlineLevel="0" collapsed="false">
      <c r="A7" s="17" t="n">
        <v>38835</v>
      </c>
      <c r="B7" s="23" t="n">
        <v>11118.82</v>
      </c>
      <c r="C7" s="24" t="n">
        <f aca="false">(B7/B6-1)/(A7-A6)*360</f>
        <v>0.0466069774812897</v>
      </c>
      <c r="D7" s="19" t="n">
        <f aca="false">B7/$B$3*100</f>
        <v>101.512625603252</v>
      </c>
      <c r="E7" s="19"/>
      <c r="F7" s="19"/>
      <c r="O7" s="3" t="n">
        <v>2010</v>
      </c>
      <c r="P7" s="20" t="n">
        <f aca="false">LOOKUP(DATE($O7,P$25,P$24),$A$2:$A$2943,$C$2:$C$2943)</f>
        <v>0.00442368560271352</v>
      </c>
      <c r="Q7" s="20" t="n">
        <f aca="false">LOOKUP(DATE($O7,Q$25,Q$24),$A$2:$A$2943,$C$2:$C$2943)</f>
        <v>0.00412685913557682</v>
      </c>
      <c r="R7" s="20" t="n">
        <f aca="false">LOOKUP(DATE($O7,R$25,R$24),$A$2:$A$2943,$C$2:$C$2943)</f>
        <v>0.00430195967485422</v>
      </c>
      <c r="S7" s="20" t="n">
        <f aca="false">LOOKUP(DATE($O7,S$25,S$24),$A$2:$A$2943,$C$2:$C$2943)</f>
        <v>0.00435258648404879</v>
      </c>
      <c r="T7" s="20" t="n">
        <f aca="false">LOOKUP(DATE($O7,T$25,T$24),$A$2:$A$2943,$C$2:$C$2943)</f>
        <v>0.00423675228916212</v>
      </c>
      <c r="U7" s="20" t="n">
        <f aca="false">LOOKUP(DATE($O7,U$25,U$24),$A$2:$A$2943,$C$2:$C$2943)</f>
        <v>0.0066499419627819</v>
      </c>
      <c r="V7" s="20" t="n">
        <f aca="false">LOOKUP(DATE($O7,V$25,V$24),$A$2:$A$2943,$C$2:$C$2943)</f>
        <v>0.0117566930371469</v>
      </c>
      <c r="W7" s="20" t="n">
        <f aca="false">LOOKUP(DATE($O7,W$25,W$24),$A$2:$A$2943,$C$2:$C$2943)</f>
        <v>0.017849946052001</v>
      </c>
      <c r="X7" s="20" t="n">
        <f aca="false">LOOKUP(DATE($O7,X$25,X$24),$A$2:$A$2943,$C$2:$C$2943)</f>
        <v>0.0220198115595078</v>
      </c>
      <c r="Y7" s="20" t="n">
        <f aca="false">LOOKUP(DATE($O7,Y$25,Y$24),$A$2:$A$2943,$C$2:$C$2943)</f>
        <v>0.0267335495331625</v>
      </c>
      <c r="Z7" s="20" t="n">
        <f aca="false">LOOKUP(DATE($O7,Z$25,Z$24),$A$2:$A$2943,$C$2:$C$2943)</f>
        <v>0.0287174810334689</v>
      </c>
      <c r="AA7" s="20" t="n">
        <f aca="false">LOOKUP(DATE($O7,AA$25,AA$24),$A$2:$A$2943,$C$2:$C$2943)</f>
        <v>0.0343744181750046</v>
      </c>
      <c r="AC7" s="6"/>
      <c r="AD7" s="21" t="n">
        <v>2011</v>
      </c>
      <c r="AE7" s="15" t="n">
        <f aca="false">+P8</f>
        <v>0.0293608826852106</v>
      </c>
      <c r="AF7" s="15" t="n">
        <f aca="false">+Q8</f>
        <v>0.0333635968195518</v>
      </c>
      <c r="AG7" s="15" t="n">
        <f aca="false">+R8</f>
        <v>0.0372592357200336</v>
      </c>
      <c r="AH7" s="15" t="n">
        <f aca="false">+S8</f>
        <v>0.0428149415517689</v>
      </c>
      <c r="AI7" s="15" t="n">
        <f aca="false">+T8</f>
        <v>0.0477857828799946</v>
      </c>
      <c r="AJ7" s="15" t="n">
        <f aca="false">+U8</f>
        <v>0.0512449549015877</v>
      </c>
      <c r="AK7" s="15" t="n">
        <f aca="false">+V8</f>
        <v>0.0525347229180671</v>
      </c>
      <c r="AL7" s="15" t="n">
        <f aca="false">+W8</f>
        <v>0.0526556298975982</v>
      </c>
      <c r="AM7" s="15" t="n">
        <f aca="false">+X8</f>
        <v>0.0525155062502547</v>
      </c>
      <c r="AN7" s="15" t="n">
        <f aca="false">+Y8</f>
        <v>0.047527813991103</v>
      </c>
      <c r="AO7" s="15" t="n">
        <f aca="false">+Z8</f>
        <v>0.0578158412499707</v>
      </c>
      <c r="AP7" s="15" t="n">
        <f aca="false">+AA8</f>
        <v>0.0525212123703192</v>
      </c>
      <c r="AQ7" s="16" t="n">
        <f aca="false">+B77/B65-1</f>
        <v>0.0480443217557141</v>
      </c>
      <c r="AR7" s="9"/>
      <c r="AS7" s="9"/>
    </row>
    <row r="8" customFormat="false" ht="15" hidden="false" customHeight="false" outlineLevel="0" collapsed="false">
      <c r="A8" s="17" t="n">
        <v>38868</v>
      </c>
      <c r="B8" s="23" t="n">
        <v>11169.1</v>
      </c>
      <c r="C8" s="24" t="n">
        <f aca="false">(B8/B7-1)/(A8-A7)*360</f>
        <v>0.0493315919233436</v>
      </c>
      <c r="D8" s="19" t="n">
        <f aca="false">B8/$B$3*100</f>
        <v>101.971672050207</v>
      </c>
      <c r="E8" s="19"/>
      <c r="F8" s="19"/>
      <c r="O8" s="3" t="n">
        <v>2011</v>
      </c>
      <c r="P8" s="20" t="n">
        <f aca="false">LOOKUP(DATE($O8,P$25,P$24),$A$2:$A$2943,$C$2:$C$2943)</f>
        <v>0.0293608826852106</v>
      </c>
      <c r="Q8" s="20" t="n">
        <f aca="false">LOOKUP(DATE($O8,Q$25,Q$24),$A$2:$A$2943,$C$2:$C$2943)</f>
        <v>0.0333635968195518</v>
      </c>
      <c r="R8" s="20" t="n">
        <f aca="false">LOOKUP(DATE($O8,R$25,R$24),$A$2:$A$2943,$C$2:$C$2943)</f>
        <v>0.0372592357200336</v>
      </c>
      <c r="S8" s="20" t="n">
        <f aca="false">LOOKUP(DATE($O8,S$25,S$24),$A$2:$A$2943,$C$2:$C$2943)</f>
        <v>0.0428149415517689</v>
      </c>
      <c r="T8" s="20" t="n">
        <f aca="false">LOOKUP(DATE($O8,T$25,T$24),$A$2:$A$2943,$C$2:$C$2943)</f>
        <v>0.0477857828799946</v>
      </c>
      <c r="U8" s="20" t="n">
        <f aca="false">LOOKUP(DATE($O8,U$25,U$24),$A$2:$A$2943,$C$2:$C$2943)</f>
        <v>0.0512449549015877</v>
      </c>
      <c r="V8" s="20" t="n">
        <f aca="false">LOOKUP(DATE($O8,V$25,V$24),$A$2:$A$2943,$C$2:$C$2943)</f>
        <v>0.0525347229180671</v>
      </c>
      <c r="W8" s="20" t="n">
        <f aca="false">LOOKUP(DATE($O8,W$25,W$24),$A$2:$A$2943,$C$2:$C$2943)</f>
        <v>0.0526556298975982</v>
      </c>
      <c r="X8" s="20" t="n">
        <f aca="false">LOOKUP(DATE($O8,X$25,X$24),$A$2:$A$2943,$C$2:$C$2943)</f>
        <v>0.0525155062502547</v>
      </c>
      <c r="Y8" s="20" t="n">
        <f aca="false">LOOKUP(DATE($O8,Y$25,Y$24),$A$2:$A$2943,$C$2:$C$2943)</f>
        <v>0.047527813991103</v>
      </c>
      <c r="Z8" s="20" t="n">
        <f aca="false">LOOKUP(DATE($O8,Z$25,Z$24),$A$2:$A$2943,$C$2:$C$2943)</f>
        <v>0.0578158412499707</v>
      </c>
      <c r="AA8" s="20" t="n">
        <f aca="false">LOOKUP(DATE($O8,AA$25,AA$24),$A$2:$A$2943,$C$2:$C$2943)</f>
        <v>0.0525212123703192</v>
      </c>
      <c r="AC8" s="6"/>
      <c r="AD8" s="14" t="n">
        <v>2012</v>
      </c>
      <c r="AE8" s="15" t="n">
        <f aca="false">+P9</f>
        <v>0.050603698819485</v>
      </c>
      <c r="AF8" s="15" t="n">
        <f aca="false">+Q9</f>
        <v>0.050603698819485</v>
      </c>
      <c r="AG8" s="15" t="n">
        <f aca="false">+R9</f>
        <v>0.0500949021489925</v>
      </c>
      <c r="AH8" s="15" t="n">
        <f aca="false">+S9</f>
        <v>0.0500573610449308</v>
      </c>
      <c r="AI8" s="15" t="n">
        <f aca="false">+T9</f>
        <v>0.0502211474613809</v>
      </c>
      <c r="AJ8" s="15" t="n">
        <f aca="false">+U9</f>
        <v>0.0502294932498928</v>
      </c>
      <c r="AK8" s="15" t="n">
        <f aca="false">+V9</f>
        <v>0.0499032410964959</v>
      </c>
      <c r="AL8" s="15" t="n">
        <f aca="false">+W9</f>
        <v>0.0498856753466172</v>
      </c>
      <c r="AM8" s="15" t="n">
        <f aca="false">+X9</f>
        <v>0.0502857906667284</v>
      </c>
      <c r="AN8" s="15" t="n">
        <f aca="false">+Y9</f>
        <v>0.0503040002845704</v>
      </c>
      <c r="AO8" s="15" t="n">
        <f aca="false">+Z9</f>
        <v>0.0501630990441262</v>
      </c>
      <c r="AP8" s="15" t="n">
        <f aca="false">+AA9</f>
        <v>0.04521487426693</v>
      </c>
      <c r="AQ8" s="16" t="n">
        <f aca="false">+B89/B78-1</f>
        <v>0.0471903672141374</v>
      </c>
      <c r="AR8" s="9"/>
      <c r="AS8" s="9"/>
    </row>
    <row r="9" customFormat="false" ht="15" hidden="false" customHeight="false" outlineLevel="0" collapsed="false">
      <c r="A9" s="17" t="n">
        <v>38898</v>
      </c>
      <c r="B9" s="23" t="n">
        <v>11215.04</v>
      </c>
      <c r="C9" s="24" t="n">
        <f aca="false">(B9/B8-1)/(A9-A8)*360</f>
        <v>0.0493576026716571</v>
      </c>
      <c r="D9" s="19" t="n">
        <f aca="false">B9/$B$3*100</f>
        <v>102.391095156275</v>
      </c>
      <c r="E9" s="19"/>
      <c r="F9" s="19"/>
      <c r="O9" s="3" t="n">
        <v>2012</v>
      </c>
      <c r="P9" s="20" t="n">
        <f aca="false">LOOKUP(DATE($O9,P$25,P$24),$A$2:$A$2943,$C$2:$C$2943)</f>
        <v>0.050603698819485</v>
      </c>
      <c r="Q9" s="20" t="n">
        <f aca="false">LOOKUP(DATE($O9,Q$25,Q$24),$A$2:$A$2943,$C$2:$C$2943)</f>
        <v>0.050603698819485</v>
      </c>
      <c r="R9" s="20" t="n">
        <f aca="false">LOOKUP(DATE($O9,R$25,R$24),$A$2:$A$2943,$C$2:$C$2943)</f>
        <v>0.0500949021489925</v>
      </c>
      <c r="S9" s="20" t="n">
        <f aca="false">LOOKUP(DATE($O9,S$25,S$24),$A$2:$A$2943,$C$2:$C$2943)</f>
        <v>0.0500573610449308</v>
      </c>
      <c r="T9" s="20" t="n">
        <f aca="false">LOOKUP(DATE($O9,T$25,T$24),$A$2:$A$2943,$C$2:$C$2943)</f>
        <v>0.0502211474613809</v>
      </c>
      <c r="U9" s="20" t="n">
        <f aca="false">LOOKUP(DATE($O9,U$25,U$24),$A$2:$A$2943,$C$2:$C$2943)</f>
        <v>0.0502294932498928</v>
      </c>
      <c r="V9" s="20" t="n">
        <f aca="false">LOOKUP(DATE($O9,V$25,V$24),$A$2:$A$2943,$C$2:$C$2943)</f>
        <v>0.0499032410964959</v>
      </c>
      <c r="W9" s="20" t="n">
        <f aca="false">LOOKUP(DATE($O9,W$25,W$24),$A$2:$A$2943,$C$2:$C$2943)</f>
        <v>0.0498856753466172</v>
      </c>
      <c r="X9" s="20" t="n">
        <f aca="false">LOOKUP(DATE($O9,X$25,X$24),$A$2:$A$2943,$C$2:$C$2943)</f>
        <v>0.0502857906667284</v>
      </c>
      <c r="Y9" s="20" t="n">
        <f aca="false">LOOKUP(DATE($O9,Y$25,Y$24),$A$2:$A$2943,$C$2:$C$2943)</f>
        <v>0.0503040002845704</v>
      </c>
      <c r="Z9" s="20" t="n">
        <f aca="false">LOOKUP(DATE($O9,Z$25,Z$24),$A$2:$A$2943,$C$2:$C$2943)</f>
        <v>0.0501630990441262</v>
      </c>
      <c r="AA9" s="20" t="n">
        <f aca="false">LOOKUP(DATE($O9,AA$25,AA$24),$A$2:$A$2943,$C$2:$C$2943)</f>
        <v>0.04521487426693</v>
      </c>
      <c r="AC9" s="6"/>
      <c r="AD9" s="21" t="n">
        <v>2013</v>
      </c>
      <c r="AE9" s="15" t="n">
        <f aca="false">+P10</f>
        <v>0.0548232602884495</v>
      </c>
      <c r="AF9" s="15" t="n">
        <f aca="false">+Q10</f>
        <v>0.0500943919345393</v>
      </c>
      <c r="AG9" s="15" t="n">
        <f aca="false">+R10</f>
        <v>0.0483526476842351</v>
      </c>
      <c r="AH9" s="15" t="n">
        <f aca="false">+S10</f>
        <v>0.0516163415479182</v>
      </c>
      <c r="AI9" s="15" t="n">
        <f aca="false">+T10</f>
        <v>0.0502429367966125</v>
      </c>
      <c r="AJ9" s="15" t="n">
        <f aca="false">+U10</f>
        <v>0.0501103715074756</v>
      </c>
      <c r="AK9" s="15" t="n">
        <f aca="false">+V10</f>
        <v>0.0503225157405024</v>
      </c>
      <c r="AL9" s="15" t="n">
        <f aca="false">+W10</f>
        <v>0.0501241189119721</v>
      </c>
      <c r="AM9" s="15" t="n">
        <f aca="false">+X10</f>
        <v>0.0501123761921609</v>
      </c>
      <c r="AN9" s="15" t="n">
        <f aca="false">+Y10</f>
        <v>0.0475056582839038</v>
      </c>
      <c r="AO9" s="15" t="n">
        <f aca="false">+Z10</f>
        <v>0.0484441173651184</v>
      </c>
      <c r="AP9" s="15" t="n">
        <f aca="false">+AA10</f>
        <v>0.0436741837687463</v>
      </c>
      <c r="AQ9" s="16" t="n">
        <f aca="false">+B101/B89-1</f>
        <v>0.0514803933405776</v>
      </c>
      <c r="AR9" s="9"/>
      <c r="AS9" s="9"/>
    </row>
    <row r="10" customFormat="false" ht="15" hidden="false" customHeight="false" outlineLevel="0" collapsed="false">
      <c r="A10" s="17" t="n">
        <v>38929</v>
      </c>
      <c r="B10" s="23" t="n">
        <v>11263.22</v>
      </c>
      <c r="C10" s="24" t="n">
        <f aca="false">(B10/B9-1)/(A10-A9)*360</f>
        <v>0.0498892270932018</v>
      </c>
      <c r="D10" s="19" t="n">
        <f aca="false">B10/$B$3*100</f>
        <v>102.83096901893</v>
      </c>
      <c r="E10" s="19"/>
      <c r="F10" s="19"/>
      <c r="O10" s="3" t="n">
        <v>2013</v>
      </c>
      <c r="P10" s="20" t="n">
        <f aca="false">LOOKUP(DATE($O10,P$25,P$24),$A$2:$A$2943,$C$2:$C$2943)</f>
        <v>0.0548232602884495</v>
      </c>
      <c r="Q10" s="20" t="n">
        <f aca="false">LOOKUP(DATE($O10,Q$25,Q$24),$A$2:$A$2943,$C$2:$C$2943)</f>
        <v>0.0500943919345393</v>
      </c>
      <c r="R10" s="20" t="n">
        <f aca="false">LOOKUP(DATE($O10,R$25,R$24),$A$2:$A$2943,$C$2:$C$2943)</f>
        <v>0.0483526476842351</v>
      </c>
      <c r="S10" s="20" t="n">
        <f aca="false">LOOKUP(DATE($O10,S$25,S$24),$A$2:$A$2943,$C$2:$C$2943)</f>
        <v>0.0516163415479182</v>
      </c>
      <c r="T10" s="20" t="n">
        <f aca="false">LOOKUP(DATE($O10,T$25,T$24),$A$2:$A$2943,$C$2:$C$2943)</f>
        <v>0.0502429367966125</v>
      </c>
      <c r="U10" s="20" t="n">
        <f aca="false">LOOKUP(DATE($O10,U$25,U$24),$A$2:$A$2943,$C$2:$C$2943)</f>
        <v>0.0501103715074756</v>
      </c>
      <c r="V10" s="20" t="n">
        <f aca="false">LOOKUP(DATE($O10,V$25,V$24),$A$2:$A$2943,$C$2:$C$2943)</f>
        <v>0.0503225157405024</v>
      </c>
      <c r="W10" s="20" t="n">
        <f aca="false">LOOKUP(DATE($O10,W$25,W$24),$A$2:$A$2943,$C$2:$C$2943)</f>
        <v>0.0501241189119721</v>
      </c>
      <c r="X10" s="20" t="n">
        <f aca="false">LOOKUP(DATE($O10,X$25,X$24),$A$2:$A$2943,$C$2:$C$2943)</f>
        <v>0.0501123761921609</v>
      </c>
      <c r="Y10" s="20" t="n">
        <f aca="false">LOOKUP(DATE($O10,Y$25,Y$24),$A$2:$A$2943,$C$2:$C$2943)</f>
        <v>0.0475056582839038</v>
      </c>
      <c r="Z10" s="20" t="n">
        <f aca="false">LOOKUP(DATE($O10,Z$25,Z$24),$A$2:$A$2943,$C$2:$C$2943)</f>
        <v>0.0484441173651184</v>
      </c>
      <c r="AA10" s="20" t="n">
        <f aca="false">LOOKUP(DATE($O10,AA$25,AA$24),$A$2:$A$2943,$C$2:$C$2943)</f>
        <v>0.0436741837687463</v>
      </c>
      <c r="AC10" s="6"/>
      <c r="AD10" s="14" t="n">
        <v>2014</v>
      </c>
      <c r="AE10" s="15" t="n">
        <f aca="false">+P11</f>
        <v>0.0465014554701228</v>
      </c>
      <c r="AF10" s="15" t="n">
        <f aca="false">+Q11</f>
        <v>0.0441303214193787</v>
      </c>
      <c r="AG10" s="15" t="n">
        <f aca="false">+R11</f>
        <v>0.0412234029786819</v>
      </c>
      <c r="AH10" s="15" t="n">
        <f aca="false">+S11</f>
        <v>0.0400541879909353</v>
      </c>
      <c r="AI10" s="15" t="n">
        <f aca="false">+T11</f>
        <v>0.0400492282769545</v>
      </c>
      <c r="AJ10" s="15" t="n">
        <f aca="false">+U11</f>
        <v>0.040055035539575</v>
      </c>
      <c r="AK10" s="15" t="n">
        <f aca="false">+V11</f>
        <v>0.0389163365860538</v>
      </c>
      <c r="AL10" s="15" t="n">
        <f aca="false">+W11</f>
        <v>0.0366080302474573</v>
      </c>
      <c r="AM10" s="15" t="n">
        <f aca="false">+X11</f>
        <v>0.0333927147117888</v>
      </c>
      <c r="AN10" s="15" t="n">
        <f aca="false">+Y11</f>
        <v>0.0305372545661803</v>
      </c>
      <c r="AO10" s="15" t="n">
        <f aca="false">+Z11</f>
        <v>0.0311491400544695</v>
      </c>
      <c r="AP10" s="15" t="n">
        <f aca="false">+AA11</f>
        <v>0.0291399727979885</v>
      </c>
      <c r="AQ10" s="16" t="n">
        <f aca="false">+B113/B102-1</f>
        <v>0.0346311104333654</v>
      </c>
      <c r="AR10" s="9"/>
      <c r="AS10" s="9"/>
    </row>
    <row r="11" customFormat="false" ht="15" hidden="false" customHeight="false" outlineLevel="0" collapsed="false">
      <c r="A11" s="17" t="n">
        <v>38960</v>
      </c>
      <c r="B11" s="23" t="n">
        <v>11313.29</v>
      </c>
      <c r="C11" s="24" t="n">
        <f aca="false">(B11/B10-1)/(A11-A10)*360</f>
        <v>0.0516244967705633</v>
      </c>
      <c r="D11" s="19" t="n">
        <f aca="false">B11/$B$3*100</f>
        <v>103.288098207455</v>
      </c>
      <c r="E11" s="19"/>
      <c r="F11" s="19"/>
      <c r="O11" s="3" t="n">
        <v>2014</v>
      </c>
      <c r="P11" s="20" t="n">
        <f aca="false">LOOKUP(DATE($O11,P$25,P$24),$A$2:$A$2943,$C$2:$C$2943)</f>
        <v>0.0465014554701228</v>
      </c>
      <c r="Q11" s="20" t="n">
        <f aca="false">LOOKUP(DATE($O11,Q$25,Q$24),$A$2:$A$2943,$C$2:$C$2943)</f>
        <v>0.0441303214193787</v>
      </c>
      <c r="R11" s="20" t="n">
        <f aca="false">LOOKUP(DATE($O11,R$25,R$24),$A$2:$A$2943,$C$2:$C$2943)</f>
        <v>0.0412234029786819</v>
      </c>
      <c r="S11" s="20" t="n">
        <f aca="false">LOOKUP(DATE($O11,S$25,S$24),$A$2:$A$2943,$C$2:$C$2943)</f>
        <v>0.0400541879909353</v>
      </c>
      <c r="T11" s="20" t="n">
        <f aca="false">LOOKUP(DATE($O11,T$25,T$24),$A$2:$A$2943,$C$2:$C$2943)</f>
        <v>0.0400492282769545</v>
      </c>
      <c r="U11" s="20" t="n">
        <f aca="false">LOOKUP(DATE($O11,U$25,U$24),$A$2:$A$2943,$C$2:$C$2943)</f>
        <v>0.040055035539575</v>
      </c>
      <c r="V11" s="20" t="n">
        <f aca="false">LOOKUP(DATE($O11,V$25,V$24),$A$2:$A$2943,$C$2:$C$2943)</f>
        <v>0.0389163365860538</v>
      </c>
      <c r="W11" s="20" t="n">
        <f aca="false">LOOKUP(DATE($O11,W$25,W$24),$A$2:$A$2943,$C$2:$C$2943)</f>
        <v>0.0366080302474573</v>
      </c>
      <c r="X11" s="20" t="n">
        <f aca="false">LOOKUP(DATE($O11,X$25,X$24),$A$2:$A$2943,$C$2:$C$2943)</f>
        <v>0.0333927147117888</v>
      </c>
      <c r="Y11" s="20" t="n">
        <f aca="false">LOOKUP(DATE($O11,Y$25,Y$24),$A$2:$A$2943,$C$2:$C$2943)</f>
        <v>0.0305372545661803</v>
      </c>
      <c r="Z11" s="20" t="n">
        <f aca="false">LOOKUP(DATE($O11,Z$25,Z$24),$A$2:$A$2943,$C$2:$C$2943)</f>
        <v>0.0311491400544695</v>
      </c>
      <c r="AA11" s="20" t="n">
        <f aca="false">LOOKUP(DATE($O11,AA$25,AA$24),$A$2:$A$2943,$C$2:$C$2943)</f>
        <v>0.0291399727979885</v>
      </c>
      <c r="AC11" s="6"/>
      <c r="AD11" s="21" t="n">
        <v>2015</v>
      </c>
      <c r="AE11" s="15" t="n">
        <f aca="false">+P12</f>
        <v>0.0310695065984001</v>
      </c>
      <c r="AF11" s="15" t="n">
        <f aca="false">+Q12</f>
        <v>0.0300211192641199</v>
      </c>
      <c r="AG11" s="15" t="n">
        <f aca="false">+R12</f>
        <v>0.0300572545324218</v>
      </c>
      <c r="AH11" s="15" t="n">
        <f aca="false">+S12</f>
        <v>0.03005944236443</v>
      </c>
      <c r="AI11" s="15" t="n">
        <f aca="false">+T12</f>
        <v>0.0300220681319902</v>
      </c>
      <c r="AJ11" s="15" t="n">
        <f aca="false">+U12</f>
        <v>0.0300279833603931</v>
      </c>
      <c r="AK11" s="15" t="n">
        <f aca="false">+V12</f>
        <v>0.030014998133283</v>
      </c>
      <c r="AL11" s="15" t="n">
        <f aca="false">+W12</f>
        <v>0.0300076829150015</v>
      </c>
      <c r="AM11" s="15" t="n">
        <f aca="false">+X12</f>
        <v>0.0300687088772751</v>
      </c>
      <c r="AN11" s="15" t="n">
        <f aca="false">+Y12</f>
        <v>0.031232480050515</v>
      </c>
      <c r="AO11" s="15" t="n">
        <f aca="false">+Z12</f>
        <v>0.0325451686948542</v>
      </c>
      <c r="AP11" s="15" t="n">
        <f aca="false">+AA12</f>
        <v>0.0324264830144326</v>
      </c>
      <c r="AQ11" s="16" t="n">
        <f aca="false">+B125/B113-1</f>
        <v>0.0315061451814078</v>
      </c>
      <c r="AR11" s="9"/>
      <c r="AS11" s="9"/>
    </row>
    <row r="12" customFormat="false" ht="15" hidden="false" customHeight="false" outlineLevel="0" collapsed="false">
      <c r="A12" s="17" t="n">
        <v>38989</v>
      </c>
      <c r="B12" s="23" t="n">
        <v>11360.92</v>
      </c>
      <c r="C12" s="24" t="n">
        <f aca="false">(B12/B11-1)/(A12-A11)*360</f>
        <v>0.0522632201169789</v>
      </c>
      <c r="D12" s="19" t="n">
        <f aca="false">B12/$B$3*100</f>
        <v>103.722950678983</v>
      </c>
      <c r="E12" s="19"/>
      <c r="F12" s="19"/>
      <c r="O12" s="3" t="n">
        <v>2015</v>
      </c>
      <c r="P12" s="20" t="n">
        <f aca="false">LOOKUP(DATE($O12,P$25,P$24),$A$2:$A$2943,$C$2:$C$2943)</f>
        <v>0.0310695065984001</v>
      </c>
      <c r="Q12" s="20" t="n">
        <f aca="false">LOOKUP(DATE($O12,Q$25,Q$24),$A$2:$A$2943,$C$2:$C$2943)</f>
        <v>0.0300211192641199</v>
      </c>
      <c r="R12" s="20" t="n">
        <f aca="false">LOOKUP(DATE($O12,R$25,R$24),$A$2:$A$2943,$C$2:$C$2943)</f>
        <v>0.0300572545324218</v>
      </c>
      <c r="S12" s="20" t="n">
        <f aca="false">LOOKUP(DATE($O12,S$25,S$24),$A$2:$A$2943,$C$2:$C$2943)</f>
        <v>0.03005944236443</v>
      </c>
      <c r="T12" s="20" t="n">
        <f aca="false">LOOKUP(DATE($O12,T$25,T$24),$A$2:$A$2943,$C$2:$C$2943)</f>
        <v>0.0300220681319902</v>
      </c>
      <c r="U12" s="20" t="n">
        <f aca="false">LOOKUP(DATE($O12,U$25,U$24),$A$2:$A$2943,$C$2:$C$2943)</f>
        <v>0.0300279833603931</v>
      </c>
      <c r="V12" s="20" t="n">
        <f aca="false">LOOKUP(DATE($O12,V$25,V$24),$A$2:$A$2943,$C$2:$C$2943)</f>
        <v>0.030014998133283</v>
      </c>
      <c r="W12" s="20" t="n">
        <f aca="false">LOOKUP(DATE($O12,W$25,W$24),$A$2:$A$2943,$C$2:$C$2943)</f>
        <v>0.0300076829150015</v>
      </c>
      <c r="X12" s="20" t="n">
        <f aca="false">LOOKUP(DATE($O12,X$25,X$24),$A$2:$A$2943,$C$2:$C$2943)</f>
        <v>0.0300687088772751</v>
      </c>
      <c r="Y12" s="20" t="n">
        <f aca="false">LOOKUP(DATE($O12,Y$25,Y$24),$A$2:$A$2943,$C$2:$C$2943)</f>
        <v>0.031232480050515</v>
      </c>
      <c r="Z12" s="20" t="n">
        <f aca="false">LOOKUP(DATE($O12,Z$25,Z$24),$A$2:$A$2943,$C$2:$C$2943)</f>
        <v>0.0325451686948542</v>
      </c>
      <c r="AA12" s="20" t="n">
        <f aca="false">LOOKUP(DATE($O12,AA$25,AA$24),$A$2:$A$2943,$C$2:$C$2943)</f>
        <v>0.0324264830144326</v>
      </c>
      <c r="AC12" s="6"/>
      <c r="AD12" s="14" t="n">
        <v>2016</v>
      </c>
      <c r="AE12" s="15" t="n">
        <f aca="false">+P13</f>
        <v>0.0362661329600545</v>
      </c>
      <c r="AF12" s="15" t="n">
        <f aca="false">+Q13</f>
        <v>0.0362661329600545</v>
      </c>
      <c r="AG12" s="15" t="n">
        <f aca="false">+R13</f>
        <v>0.0350522604192796</v>
      </c>
      <c r="AH12" s="15" t="n">
        <f aca="false">+S13</f>
        <v>0.0350422372046364</v>
      </c>
      <c r="AI12" s="15" t="n">
        <f aca="false">+T13</f>
        <v>0.0350568128661685</v>
      </c>
      <c r="AJ12" s="15" t="n">
        <f aca="false">+U13</f>
        <v>0.0350464535027992</v>
      </c>
      <c r="AK12" s="15" t="n">
        <f aca="false">+V13</f>
        <v>0.0347816164791922</v>
      </c>
      <c r="AL12" s="15" t="n">
        <f aca="false">+W13</f>
        <v>0.0353142912670606</v>
      </c>
      <c r="AM12" s="15" t="n">
        <f aca="false">+X13</f>
        <v>0.0350413745873883</v>
      </c>
      <c r="AN12" s="15" t="n">
        <f aca="false">+Y13</f>
        <v>0.0350508660332433</v>
      </c>
      <c r="AO12" s="15" t="n">
        <f aca="false">+Z13</f>
        <v>0.0350422569072002</v>
      </c>
      <c r="AP12" s="15" t="n">
        <f aca="false">+AA13</f>
        <v>0.0353053682186391</v>
      </c>
      <c r="AQ12" s="16" t="n">
        <f aca="false">+B137/B125-1</f>
        <v>0.0363438378902297</v>
      </c>
      <c r="AR12" s="25"/>
      <c r="AS12" s="9"/>
    </row>
    <row r="13" customFormat="false" ht="15" hidden="false" customHeight="false" outlineLevel="0" collapsed="false">
      <c r="A13" s="17" t="n">
        <v>39021</v>
      </c>
      <c r="B13" s="23" t="n">
        <v>11413.02</v>
      </c>
      <c r="C13" s="24" t="n">
        <f aca="false">(B13/B12-1)/(A13-A12)*360</f>
        <v>0.0515913323920944</v>
      </c>
      <c r="D13" s="19" t="n">
        <f aca="false">B13/$B$3*100</f>
        <v>104.198613365665</v>
      </c>
      <c r="E13" s="19"/>
      <c r="F13" s="19"/>
      <c r="O13" s="3" t="n">
        <v>2016</v>
      </c>
      <c r="P13" s="20" t="n">
        <f aca="false">LOOKUP(DATE($O13,P$25,P$24),$A$2:$A$2943,$C$2:$C$2943)</f>
        <v>0.0362661329600545</v>
      </c>
      <c r="Q13" s="20" t="n">
        <f aca="false">LOOKUP(DATE($O13,Q$25,Q$24),$A$2:$A$2943,$C$2:$C$2943)</f>
        <v>0.0362661329600545</v>
      </c>
      <c r="R13" s="20" t="n">
        <f aca="false">LOOKUP(DATE($O13,R$25,R$24),$A$2:$A$2943,$C$2:$C$2943)</f>
        <v>0.0350522604192796</v>
      </c>
      <c r="S13" s="20" t="n">
        <f aca="false">LOOKUP(DATE($O13,S$25,S$24),$A$2:$A$2943,$C$2:$C$2943)</f>
        <v>0.0350422372046364</v>
      </c>
      <c r="T13" s="20" t="n">
        <f aca="false">LOOKUP(DATE($O13,T$25,T$24),$A$2:$A$2943,$C$2:$C$2943)</f>
        <v>0.0350568128661685</v>
      </c>
      <c r="U13" s="20" t="n">
        <f aca="false">LOOKUP(DATE($O13,U$25,U$24),$A$2:$A$2943,$C$2:$C$2943)</f>
        <v>0.0350464535027992</v>
      </c>
      <c r="V13" s="20" t="n">
        <f aca="false">LOOKUP(DATE($O13,V$25,V$24),$A$2:$A$2943,$C$2:$C$2943)</f>
        <v>0.0347816164791922</v>
      </c>
      <c r="W13" s="20" t="n">
        <f aca="false">LOOKUP(DATE($O13,W$25,W$24),$A$2:$A$2943,$C$2:$C$2943)</f>
        <v>0.0353142912670606</v>
      </c>
      <c r="X13" s="20" t="n">
        <f aca="false">LOOKUP(DATE($O13,X$25,X$24),$A$2:$A$2943,$C$2:$C$2943)</f>
        <v>0.0350413745873883</v>
      </c>
      <c r="Y13" s="20" t="n">
        <f aca="false">LOOKUP(DATE($O13,Y$25,Y$24),$A$2:$A$2943,$C$2:$C$2943)</f>
        <v>0.0350508660332433</v>
      </c>
      <c r="Z13" s="20" t="n">
        <f aca="false">LOOKUP(DATE($O13,Z$25,Z$24),$A$2:$A$2943,$C$2:$C$2943)</f>
        <v>0.0350422569072002</v>
      </c>
      <c r="AA13" s="20" t="n">
        <f aca="false">LOOKUP(DATE($O13,AA$25,AA$24),$A$2:$A$2943,$C$2:$C$2943)</f>
        <v>0.0353053682186391</v>
      </c>
      <c r="AC13" s="6"/>
      <c r="AD13" s="21" t="n">
        <v>2017</v>
      </c>
      <c r="AE13" s="15" t="n">
        <f aca="false">+P14</f>
        <v>0.0336372487943132</v>
      </c>
      <c r="AF13" s="15" t="n">
        <f aca="false">+Q14</f>
        <v>0.0321623924636746</v>
      </c>
      <c r="AG13" s="15" t="n">
        <f aca="false">+R14</f>
        <v>0.0313794817884387</v>
      </c>
      <c r="AH13" s="15" t="n">
        <f aca="false">+S14</f>
        <v>0.0270589542606556</v>
      </c>
      <c r="AI13" s="15" t="n">
        <f aca="false">+T14</f>
        <v>0.0283060851590383</v>
      </c>
      <c r="AJ13" s="15" t="n">
        <f aca="false">+U14</f>
        <v>0.0250470909131115</v>
      </c>
      <c r="AK13" s="15" t="n">
        <f aca="false">+V14</f>
        <v>0.0250431220615384</v>
      </c>
      <c r="AL13" s="15" t="n">
        <f aca="false">+W14</f>
        <v>0.0250154684190399</v>
      </c>
      <c r="AM13" s="15" t="n">
        <f aca="false">+X14</f>
        <v>0.0249901176916136</v>
      </c>
      <c r="AN13" s="15" t="n">
        <f aca="false">+Y14</f>
        <v>0.0250589294867008</v>
      </c>
      <c r="AO13" s="15" t="n">
        <f aca="false">+Z14</f>
        <v>0.0250314970130443</v>
      </c>
      <c r="AP13" s="15" t="n">
        <f aca="false">+AA14</f>
        <v>0.0104836830881169</v>
      </c>
      <c r="AQ13" s="16" t="n">
        <f aca="false">+B149/B137-1</f>
        <v>0.0267404378820666</v>
      </c>
      <c r="AR13" s="25"/>
      <c r="AS13" s="9"/>
    </row>
    <row r="14" customFormat="false" ht="15" hidden="false" customHeight="false" outlineLevel="0" collapsed="false">
      <c r="A14" s="17" t="n">
        <v>39051</v>
      </c>
      <c r="B14" s="23" t="n">
        <v>11463.01</v>
      </c>
      <c r="C14" s="24" t="n">
        <f aca="false">(B14/B13-1)/(A14-A13)*360</f>
        <v>0.0525610224112469</v>
      </c>
      <c r="D14" s="19" t="n">
        <f aca="false">B14/$B$3*100</f>
        <v>104.655012170026</v>
      </c>
      <c r="E14" s="19"/>
      <c r="F14" s="19"/>
      <c r="O14" s="3" t="n">
        <v>2017</v>
      </c>
      <c r="P14" s="20" t="n">
        <f aca="false">LOOKUP(DATE($O14,P$25,P$24),$A$2:$A$2943,$C$2:$C$2943)</f>
        <v>0.0336372487943132</v>
      </c>
      <c r="Q14" s="20" t="n">
        <f aca="false">LOOKUP(DATE($O14,Q$25,Q$24),$A$2:$A$2943,$C$2:$C$2943)</f>
        <v>0.0321623924636746</v>
      </c>
      <c r="R14" s="20" t="n">
        <f aca="false">LOOKUP(DATE($O14,R$25,R$24),$A$2:$A$2943,$C$2:$C$2943)</f>
        <v>0.0313794817884387</v>
      </c>
      <c r="S14" s="20" t="n">
        <f aca="false">LOOKUP(DATE($O14,S$25,S$24),$A$2:$A$2943,$C$2:$C$2943)</f>
        <v>0.0270589542606556</v>
      </c>
      <c r="T14" s="20" t="n">
        <f aca="false">LOOKUP(DATE($O14,T$25,T$24),$A$2:$A$2943,$C$2:$C$2943)</f>
        <v>0.0283060851590383</v>
      </c>
      <c r="U14" s="20" t="n">
        <f aca="false">LOOKUP(DATE($O14,U$25,U$24),$A$2:$A$2943,$C$2:$C$2943)</f>
        <v>0.0250470909131115</v>
      </c>
      <c r="V14" s="20" t="n">
        <f aca="false">LOOKUP(DATE($O14,V$25,V$24),$A$2:$A$2943,$C$2:$C$2943)</f>
        <v>0.0250431220615384</v>
      </c>
      <c r="W14" s="20" t="n">
        <f aca="false">LOOKUP(DATE($O14,W$25,W$24),$A$2:$A$2943,$C$2:$C$2943)</f>
        <v>0.0250154684190399</v>
      </c>
      <c r="X14" s="20" t="n">
        <f aca="false">LOOKUP(DATE($O14,X$25,X$24),$A$2:$A$2943,$C$2:$C$2943)</f>
        <v>0.0249901176916136</v>
      </c>
      <c r="Y14" s="20" t="n">
        <f aca="false">LOOKUP(DATE($O14,Y$25,Y$24),$A$2:$A$2943,$C$2:$C$2943)</f>
        <v>0.0250589294867008</v>
      </c>
      <c r="Z14" s="20" t="n">
        <f aca="false">LOOKUP(DATE($O14,Z$25,Z$24),$A$2:$A$2943,$C$2:$C$2943)</f>
        <v>0.0250314970130443</v>
      </c>
      <c r="AA14" s="20" t="n">
        <f aca="false">LOOKUP(DATE($O14,AA$25,AA$24),$A$2:$A$2943,$C$2:$C$2943)</f>
        <v>0.0104836830881169</v>
      </c>
      <c r="AC14" s="6"/>
      <c r="AD14" s="14" t="n">
        <v>2018</v>
      </c>
      <c r="AE14" s="15" t="n">
        <f aca="false">+P15</f>
        <v>0.0395317613184369</v>
      </c>
      <c r="AF14" s="15" t="n">
        <f aca="false">+Q15</f>
        <v>0.024971131087806</v>
      </c>
      <c r="AG14" s="15" t="n">
        <f aca="false">+R15</f>
        <v>0.0250249810861146</v>
      </c>
      <c r="AH14" s="15" t="n">
        <f aca="false">+S15</f>
        <v>0.0249372043830016</v>
      </c>
      <c r="AI14" s="15" t="n">
        <f aca="false">+T15</f>
        <v>0.0248550270906596</v>
      </c>
      <c r="AJ14" s="15" t="n">
        <f aca="false">+U15</f>
        <v>0.0250529921411831</v>
      </c>
      <c r="AK14" s="15" t="n">
        <f aca="false">+V15</f>
        <v>0.0250178331167936</v>
      </c>
      <c r="AL14" s="15" t="n">
        <f aca="false">+W15</f>
        <v>0.0249144923240525</v>
      </c>
      <c r="AM14" s="15" t="n">
        <f aca="false">+X15</f>
        <v>0.0245820836964565</v>
      </c>
      <c r="AN14" s="15" t="n">
        <f aca="false">+Y15</f>
        <v>0.0264278419968837</v>
      </c>
      <c r="AO14" s="15" t="n">
        <f aca="false">+Z15</f>
        <v>0.0275159486579053</v>
      </c>
      <c r="AP14" s="15" t="n">
        <f aca="false">+AA15</f>
        <v>0.0274954714187439</v>
      </c>
      <c r="AQ14" s="16" t="n">
        <f aca="false">+B161/B149-1</f>
        <v>0.0274301662224075</v>
      </c>
      <c r="AR14" s="25"/>
      <c r="AS14" s="9"/>
    </row>
    <row r="15" customFormat="false" ht="15" hidden="false" customHeight="false" outlineLevel="0" collapsed="false">
      <c r="A15" s="17" t="n">
        <v>39080</v>
      </c>
      <c r="B15" s="23" t="n">
        <v>11512.49</v>
      </c>
      <c r="C15" s="24" t="n">
        <f aca="false">(B15/B14-1)/(A15-A14)*360</f>
        <v>0.0535840484095029</v>
      </c>
      <c r="D15" s="19" t="n">
        <f aca="false">B15/$B$3*100</f>
        <v>105.106754775343</v>
      </c>
      <c r="E15" s="19"/>
      <c r="F15" s="19"/>
      <c r="O15" s="3" t="n">
        <v>2018</v>
      </c>
      <c r="P15" s="20" t="n">
        <f aca="false">LOOKUP(DATE($O15,P$25,P$24),$A$2:$A$2943,$C$2:$C$2943)</f>
        <v>0.0395317613184369</v>
      </c>
      <c r="Q15" s="20" t="n">
        <f aca="false">LOOKUP(DATE($O15,Q$25,Q$24),$A$2:$A$2943,$C$2:$C$2943)</f>
        <v>0.024971131087806</v>
      </c>
      <c r="R15" s="20" t="n">
        <f aca="false">LOOKUP(DATE($O15,R$25,R$24),$A$2:$A$2943,$C$2:$C$2943)</f>
        <v>0.0250249810861146</v>
      </c>
      <c r="S15" s="20" t="n">
        <f aca="false">LOOKUP(DATE($O15,S$25,S$24),$A$2:$A$2943,$C$2:$C$2943)</f>
        <v>0.0249372043830016</v>
      </c>
      <c r="T15" s="20" t="n">
        <f aca="false">LOOKUP(DATE($O15,T$25,T$24),$A$2:$A$2943,$C$2:$C$2943)</f>
        <v>0.0248550270906596</v>
      </c>
      <c r="U15" s="20" t="n">
        <f aca="false">LOOKUP(DATE($O15,U$25,U$24),$A$2:$A$2943,$C$2:$C$2943)</f>
        <v>0.0250529921411831</v>
      </c>
      <c r="V15" s="20" t="n">
        <f aca="false">LOOKUP(DATE($O15,V$25,V$24),$A$2:$A$2943,$C$2:$C$2943)</f>
        <v>0.0250178331167936</v>
      </c>
      <c r="W15" s="20" t="n">
        <f aca="false">LOOKUP(DATE($O15,W$25,W$24),$A$2:$A$2943,$C$2:$C$2943)</f>
        <v>0.0249144923240525</v>
      </c>
      <c r="X15" s="20" t="n">
        <f aca="false">LOOKUP(DATE($O15,X$25,X$24),$A$2:$A$2943,$C$2:$C$2943)</f>
        <v>0.0245820836964565</v>
      </c>
      <c r="Y15" s="20" t="n">
        <f aca="false">LOOKUP(DATE($O15,Y$25,Y$24),$A$2:$A$2943,$C$2:$C$2943)</f>
        <v>0.0264278419968837</v>
      </c>
      <c r="Z15" s="20" t="n">
        <f aca="false">LOOKUP(DATE($O15,Z$25,Z$24),$A$2:$A$2943,$C$2:$C$2943)</f>
        <v>0.0275159486579053</v>
      </c>
      <c r="AA15" s="20" t="n">
        <f aca="false">LOOKUP(DATE($O15,AA$25,AA$24),$A$2:$A$2943,$C$2:$C$2943)</f>
        <v>0.0274954714187439</v>
      </c>
      <c r="AC15" s="6"/>
      <c r="AD15" s="14" t="n">
        <v>2019</v>
      </c>
      <c r="AE15" s="15" t="n">
        <f aca="false">+P16</f>
        <v>0.0284626322916966</v>
      </c>
      <c r="AF15" s="15" t="n">
        <f aca="false">+Q16</f>
        <v>0.0289653788327457</v>
      </c>
      <c r="AG15" s="15" t="n">
        <f aca="false">+R16</f>
        <v>0.0299997922800793</v>
      </c>
      <c r="AH15" s="15" t="n">
        <f aca="false">+S16</f>
        <v>0.0300051576433145</v>
      </c>
      <c r="AI15" s="15" t="n">
        <f aca="false">+T16</f>
        <v>0.0300294778414484</v>
      </c>
      <c r="AJ15" s="15" t="n">
        <f aca="false">+U16</f>
        <v>0.026651576944138</v>
      </c>
      <c r="AK15" s="15" t="n">
        <f aca="false">+V16</f>
        <v>0.0249306784307603</v>
      </c>
      <c r="AL15" s="15" t="n">
        <f aca="false">+W16</f>
        <v>0.0250265353245764</v>
      </c>
      <c r="AM15" s="15" t="n">
        <f aca="false">+X16</f>
        <v>0.0206620690392274</v>
      </c>
      <c r="AN15" s="15" t="n">
        <f aca="false">+Y16</f>
        <v>0.0194110401925957</v>
      </c>
      <c r="AO15" s="15" t="n">
        <f aca="false">+Z16</f>
        <v>0.0170565754276382</v>
      </c>
      <c r="AP15" s="15" t="n">
        <f aca="false">+AA16</f>
        <v>0.0172253091678265</v>
      </c>
      <c r="AQ15" s="16" t="n">
        <f aca="false">+(B173/B161-1)/COUNTA(AE15:AP15)*12</f>
        <v>0.0254862524454487</v>
      </c>
      <c r="AR15" s="25" t="s">
        <v>23</v>
      </c>
      <c r="AS15" s="9"/>
    </row>
    <row r="16" customFormat="false" ht="15" hidden="false" customHeight="false" outlineLevel="0" collapsed="false">
      <c r="A16" s="17" t="n">
        <v>39113</v>
      </c>
      <c r="B16" s="23" t="n">
        <v>11567.23</v>
      </c>
      <c r="C16" s="24" t="n">
        <f aca="false">(B16/B15-1)/(A16-A15)*360</f>
        <v>0.0518709363798467</v>
      </c>
      <c r="D16" s="19" t="n">
        <f aca="false">B16/$B$3*100</f>
        <v>105.60652013943</v>
      </c>
      <c r="E16" s="19"/>
      <c r="F16" s="19"/>
      <c r="O16" s="3" t="n">
        <v>2019</v>
      </c>
      <c r="P16" s="20" t="n">
        <f aca="false">LOOKUP(DATE($O16,P$25,P$24),$A$2:$A$2943,$C$2:$C$2943)</f>
        <v>0.0284626322916966</v>
      </c>
      <c r="Q16" s="20" t="n">
        <f aca="false">LOOKUP(DATE($O16,Q$25,Q$24),$A$2:$A$2943,$C$2:$C$2943)</f>
        <v>0.0289653788327457</v>
      </c>
      <c r="R16" s="20" t="n">
        <f aca="false">LOOKUP(DATE($O16,R$25,R$24),$A$2:$A$2943,$C$2:$C$2943)</f>
        <v>0.0299997922800793</v>
      </c>
      <c r="S16" s="20" t="n">
        <f aca="false">LOOKUP(DATE($O16,S$25,S$24),$A$2:$A$2943,$C$2:$C$2943)</f>
        <v>0.0300051576433145</v>
      </c>
      <c r="T16" s="20" t="n">
        <f aca="false">LOOKUP(DATE($O16,T$25,T$24),$A$2:$A$2943,$C$2:$C$2943)</f>
        <v>0.0300294778414484</v>
      </c>
      <c r="U16" s="20" t="n">
        <f aca="false">LOOKUP(DATE($O16,U$25,U$24),$A$2:$A$2943,$C$2:$C$2943)</f>
        <v>0.026651576944138</v>
      </c>
      <c r="V16" s="20" t="n">
        <f aca="false">LOOKUP(DATE($O16,V$25,V$24),$A$2:$A$2943,$C$2:$C$2943)</f>
        <v>0.0249306784307603</v>
      </c>
      <c r="W16" s="20" t="n">
        <f aca="false">LOOKUP(DATE($O16,W$25,W$24),$A$2:$A$2943,$C$2:$C$2943)</f>
        <v>0.0250265353245764</v>
      </c>
      <c r="X16" s="20" t="n">
        <f aca="false">LOOKUP(DATE($O16,X$25,X$24),$A$2:$A$2943,$C$2:$C$2943)</f>
        <v>0.0206620690392274</v>
      </c>
      <c r="Y16" s="20" t="n">
        <f aca="false">LOOKUP(DATE($O16,Y$25,Y$24),$A$2:$A$2943,$C$2:$C$2943)</f>
        <v>0.0194110401925957</v>
      </c>
      <c r="Z16" s="20" t="n">
        <f aca="false">LOOKUP(DATE($O16,Z$25,Z$24),$A$2:$A$2943,$C$2:$C$2943)</f>
        <v>0.0170565754276382</v>
      </c>
      <c r="AA16" s="20" t="n">
        <f aca="false">LOOKUP(DATE($O16,AA$25,AA$24),$A$2:$A$2943,$C$2:$C$2943)</f>
        <v>0.0172253091678265</v>
      </c>
      <c r="AC16" s="6"/>
      <c r="AD16" s="14" t="n">
        <v>2020</v>
      </c>
      <c r="AE16" s="15" t="n">
        <f aca="false">+P17</f>
        <v>0.0192287438680207</v>
      </c>
      <c r="AF16" s="15" t="n">
        <f aca="false">+Q17</f>
        <v>0.0171292793481409</v>
      </c>
      <c r="AG16" s="15" t="n">
        <f aca="false">+R17</f>
        <v>0.0128397499300714</v>
      </c>
      <c r="AH16" s="15" t="n">
        <f aca="false">+S17</f>
        <v>0.00581317557937489</v>
      </c>
      <c r="AI16" s="15" t="n">
        <f aca="false">+T17</f>
        <v>0.00448729446512788</v>
      </c>
      <c r="AJ16" s="15" t="n">
        <f aca="false">+U17</f>
        <v>0.00468580583390299</v>
      </c>
      <c r="AK16" s="15" t="n">
        <f aca="false">+V17</f>
        <v>0.00497451464277853</v>
      </c>
      <c r="AL16" s="15" t="n">
        <f aca="false">+W17</f>
        <v>0.0048742858328198</v>
      </c>
      <c r="AM16" s="15" t="n">
        <f aca="false">+X17</f>
        <v>0.00473700292737966</v>
      </c>
      <c r="AN16" s="15" t="n">
        <f aca="false">+Y17</f>
        <v>0.00432508765084043</v>
      </c>
      <c r="AO16" s="15" t="n">
        <f aca="false">+Z17</f>
        <v>0.00395502243025092</v>
      </c>
      <c r="AP16" s="15" t="n">
        <f aca="false">+AA17</f>
        <v>0.0045301971309169</v>
      </c>
      <c r="AQ16" s="16" t="n">
        <f aca="false">+(B185/B173-1)/COUNTA(AE16:AP16)*12</f>
        <v>0.00776392567873274</v>
      </c>
      <c r="AR16" s="25"/>
      <c r="AS16" s="9"/>
    </row>
    <row r="17" customFormat="false" ht="15" hidden="false" customHeight="false" outlineLevel="0" collapsed="false">
      <c r="A17" s="17" t="n">
        <v>39141</v>
      </c>
      <c r="B17" s="23" t="n">
        <v>11612.68</v>
      </c>
      <c r="C17" s="24" t="n">
        <f aca="false">(B17/B16-1)/(A17-A16)*360</f>
        <v>0.0505183300459265</v>
      </c>
      <c r="D17" s="19" t="n">
        <f aca="false">B17/$B$3*100</f>
        <v>106.021469642495</v>
      </c>
      <c r="E17" s="19"/>
      <c r="F17" s="19"/>
      <c r="O17" s="3" t="n">
        <v>2020</v>
      </c>
      <c r="P17" s="20" t="n">
        <f aca="false">LOOKUP(DATE($O17,P$25,P$24),$A$2:$A$2943,$C$2:$C$2943)</f>
        <v>0.0192287438680207</v>
      </c>
      <c r="Q17" s="20" t="n">
        <f aca="false">LOOKUP(DATE($O17,Q$25,Q$24)+1,$A$2:$A$2943,$C$2:$C$2943)</f>
        <v>0.0171292793481409</v>
      </c>
      <c r="R17" s="20" t="n">
        <f aca="false">LOOKUP(DATE($O17,R$25,R$24),$A$2:$A$2943,$C$2:$C$2943)</f>
        <v>0.0128397499300714</v>
      </c>
      <c r="S17" s="20" t="n">
        <f aca="false">LOOKUP(DATE($O17,S$25,S$24),$A:$A,$C:$C)</f>
        <v>0.00581317557937489</v>
      </c>
      <c r="T17" s="20" t="n">
        <f aca="false">LOOKUP(DATE($O17,T$25,T$24),$A:$A,$C:$C)</f>
        <v>0.00448729446512788</v>
      </c>
      <c r="U17" s="20" t="n">
        <f aca="false">LOOKUP(DATE($O17,U$25,U$24),$A:$A,$C:$C)</f>
        <v>0.00468580583390299</v>
      </c>
      <c r="V17" s="20" t="n">
        <f aca="false">LOOKUP(DATE($O17,V$25,V$24),$A:$A,$C:$C)</f>
        <v>0.00497451464277853</v>
      </c>
      <c r="W17" s="20" t="n">
        <f aca="false">LOOKUP(DATE($O17,W$25,W$24),$A:$A,$C:$C)</f>
        <v>0.0048742858328198</v>
      </c>
      <c r="X17" s="20" t="n">
        <f aca="false">LOOKUP(DATE($O17,X$25,X$24),$A:$A,$C:$C)</f>
        <v>0.00473700292737966</v>
      </c>
      <c r="Y17" s="20" t="n">
        <f aca="false">LOOKUP(DATE($O17,Y$25,Y$24),$A:$A,$C:$C)</f>
        <v>0.00432508765084043</v>
      </c>
      <c r="Z17" s="20" t="n">
        <f aca="false">LOOKUP(DATE($O17,Z$25,Z$24),$A:$A,$C:$C)</f>
        <v>0.00395502243025092</v>
      </c>
      <c r="AA17" s="20" t="n">
        <f aca="false">LOOKUP(DATE($O17,AA$25,AA$24),$A:$A,$C:$C)</f>
        <v>0.0045301971309169</v>
      </c>
      <c r="AC17" s="6"/>
      <c r="AD17" s="14" t="n">
        <v>2021</v>
      </c>
      <c r="AE17" s="15" t="n">
        <f aca="false">+P18</f>
        <v>0.00315766241052995</v>
      </c>
      <c r="AF17" s="15" t="n">
        <f aca="false">+Q18</f>
        <v>0.00307508721778316</v>
      </c>
      <c r="AG17" s="15" t="n">
        <f aca="false">+R18</f>
        <v>0.00300925621522816</v>
      </c>
      <c r="AH17" s="15" t="n">
        <f aca="false">+S18</f>
        <v>0.00353210646868263</v>
      </c>
      <c r="AI17" s="15" t="n">
        <f aca="false">+T18</f>
        <v>0.00281808865836759</v>
      </c>
      <c r="AJ17" s="15" t="n">
        <f aca="false">+U18</f>
        <v>0.00327128625333462</v>
      </c>
      <c r="AK17" s="15" t="n">
        <f aca="false">+V18</f>
        <v>0.00582878919497308</v>
      </c>
      <c r="AL17" s="15" t="n">
        <f aca="false">+W18</f>
        <v>0.0073037050391556</v>
      </c>
      <c r="AM17" s="15" t="n">
        <f aca="false">+X18</f>
        <v>0.0149713217835661</v>
      </c>
      <c r="AN17" s="15" t="n">
        <f aca="false">+Y18</f>
        <v>0.0240582827697175</v>
      </c>
      <c r="AO17" s="15" t="n">
        <f aca="false">+Z18</f>
        <v>0.0256950835420211</v>
      </c>
      <c r="AP17" s="15" t="n">
        <f aca="false">+AA18</f>
        <v>0.0369889681039943</v>
      </c>
      <c r="AQ17" s="16" t="n">
        <f aca="false">+(B197/B185-1)/COUNTA(AE17:AP17)*12</f>
        <v>0.0114102002015084</v>
      </c>
      <c r="AR17" s="25"/>
      <c r="AS17" s="9"/>
    </row>
    <row r="18" customFormat="false" ht="15" hidden="false" customHeight="false" outlineLevel="0" collapsed="false">
      <c r="A18" s="17" t="n">
        <v>39171</v>
      </c>
      <c r="B18" s="23" t="n">
        <v>11661.5</v>
      </c>
      <c r="C18" s="24" t="n">
        <f aca="false">(B18/B17-1)/(A18-A17)*360</f>
        <v>0.0504483030618248</v>
      </c>
      <c r="D18" s="19" t="n">
        <f aca="false">B18/$B$3*100</f>
        <v>106.467186578461</v>
      </c>
      <c r="E18" s="19"/>
      <c r="F18" s="19"/>
      <c r="O18" s="3" t="n">
        <v>2021</v>
      </c>
      <c r="P18" s="20" t="n">
        <f aca="false">LOOKUP(DATE($O18,P$25,P$24),$A$2:$A$2943,$C$2:$C$2943)</f>
        <v>0.00315766241052995</v>
      </c>
      <c r="Q18" s="20" t="n">
        <f aca="false">LOOKUP(DATE($O18,Q$25,Q$24)+1,$A$2:$A$2943,$C$2:$C$2943)</f>
        <v>0.00307508721778316</v>
      </c>
      <c r="R18" s="20" t="n">
        <f aca="false">LOOKUP(DATE($O18,R$25,R$24),$A$2:$A$2943,$C$2:$C$2943)</f>
        <v>0.00300925621522816</v>
      </c>
      <c r="S18" s="20" t="n">
        <f aca="false">LOOKUP(DATE($O18,S$25,S$24),$A:$A,$C:$C)</f>
        <v>0.00353210646868263</v>
      </c>
      <c r="T18" s="20" t="n">
        <f aca="false">LOOKUP(DATE($O18,T$25,T$24),$A:$A,$C:$C)</f>
        <v>0.00281808865836759</v>
      </c>
      <c r="U18" s="20" t="n">
        <f aca="false">LOOKUP(DATE($O18,U$25,U$24),$A:$A,$C:$C)</f>
        <v>0.00327128625333462</v>
      </c>
      <c r="V18" s="20" t="n">
        <f aca="false">LOOKUP(DATE($O18,V$25,V$24),$A:$A,$C:$C)</f>
        <v>0.00582878919497308</v>
      </c>
      <c r="W18" s="20" t="n">
        <f aca="false">LOOKUP(DATE($O18,W$25,W$24),$A:$A,$C:$C)</f>
        <v>0.0073037050391556</v>
      </c>
      <c r="X18" s="20" t="n">
        <f aca="false">LOOKUP(DATE($O18,X$25,X$24),$A:$A,$C:$C)</f>
        <v>0.0149713217835661</v>
      </c>
      <c r="Y18" s="20" t="n">
        <f aca="false">LOOKUP(DATE($O18,Y$25,Y$24),$A:$A,$C:$C)</f>
        <v>0.0240582827697175</v>
      </c>
      <c r="Z18" s="20" t="n">
        <f aca="false">LOOKUP(DATE($O18,Z$25,Z$24),$A:$A,$C:$C)</f>
        <v>0.0256950835420211</v>
      </c>
      <c r="AA18" s="20" t="n">
        <f aca="false">LOOKUP(DATE($O18,AA$25,AA$24),$A:$A,$C:$C)</f>
        <v>0.0369889681039943</v>
      </c>
      <c r="AC18" s="6"/>
      <c r="AD18" s="14" t="n">
        <v>2022</v>
      </c>
      <c r="AE18" s="15" t="n">
        <f aca="false">+P19</f>
        <v>0.0398967582472135</v>
      </c>
      <c r="AF18" s="15" t="n">
        <f aca="false">+Q19</f>
        <v>0.0551086689248164</v>
      </c>
      <c r="AG18" s="15" t="n">
        <f aca="false">+R19</f>
        <v>0.0561075078690079</v>
      </c>
      <c r="AH18" s="15" t="n">
        <f aca="false">+S19</f>
        <v>0.0654292307573581</v>
      </c>
      <c r="AI18" s="15" t="n">
        <f aca="false">+T19</f>
        <v>0.0826041203146517</v>
      </c>
      <c r="AJ18" s="15" t="n">
        <f aca="false">+U19</f>
        <v>0.0883156371441105</v>
      </c>
      <c r="AK18" s="15" t="n">
        <f aca="false">+V19</f>
        <v>0.0881343413800863</v>
      </c>
      <c r="AL18" s="15" t="n">
        <f aca="false">+W19</f>
        <v>0.104236742007861</v>
      </c>
      <c r="AM18" s="15" t="n">
        <f aca="false">+X19</f>
        <v>0.105598037600745</v>
      </c>
      <c r="AN18" s="15" t="n">
        <f aca="false">+Y19</f>
        <v>0.110610882231184</v>
      </c>
      <c r="AO18" s="15" t="n">
        <f aca="false">+Z19</f>
        <v>0.113031697957967</v>
      </c>
      <c r="AP18" s="15" t="n">
        <f aca="false">+AA19</f>
        <v>0.112999814668953</v>
      </c>
      <c r="AQ18" s="16" t="n">
        <f aca="false">+(B209/B197-1)/COUNTA(AE18:AP18)*12</f>
        <v>0.0896859911813484</v>
      </c>
      <c r="AR18" s="25"/>
      <c r="AS18" s="9"/>
      <c r="AV18" s="6"/>
      <c r="AW18" s="6"/>
      <c r="AX18" s="6" t="n">
        <v>-1</v>
      </c>
      <c r="AY18" s="6" t="n">
        <v>-3</v>
      </c>
      <c r="AZ18" s="6" t="n">
        <v>-6</v>
      </c>
      <c r="BA18" s="6" t="n">
        <v>-12</v>
      </c>
      <c r="BB18" s="6"/>
    </row>
    <row r="19" customFormat="false" ht="15" hidden="false" customHeight="false" outlineLevel="0" collapsed="false">
      <c r="A19" s="17" t="n">
        <v>39202</v>
      </c>
      <c r="B19" s="23" t="n">
        <v>11712.58</v>
      </c>
      <c r="C19" s="24" t="n">
        <f aca="false">(B19/B18-1)/(A19-A18)*360</f>
        <v>0.0508671351690783</v>
      </c>
      <c r="D19" s="19" t="n">
        <f aca="false">B19/$B$3*100</f>
        <v>106.933536867054</v>
      </c>
      <c r="E19" s="19"/>
      <c r="F19" s="19"/>
      <c r="O19" s="3" t="n">
        <v>2022</v>
      </c>
      <c r="P19" s="20" t="n">
        <f aca="false">LOOKUP(DATE($O19,P$25,P$24),$A$2:$A$2943,$C$2:$C$2943)</f>
        <v>0.0398967582472135</v>
      </c>
      <c r="Q19" s="20" t="n">
        <f aca="false">LOOKUP(DATE($O19,Q$25,Q$24),$A$2:$A$2943,$C$2:$C$2943)</f>
        <v>0.0551086689248164</v>
      </c>
      <c r="R19" s="20" t="n">
        <f aca="false">LOOKUP(DATE($O19,R$25,R$24),$A$2:$A$2943,$C$2:$C$2943)</f>
        <v>0.0561075078690079</v>
      </c>
      <c r="S19" s="20" t="n">
        <f aca="false">LOOKUP(DATE($O19,S$25,S$24),$A$2:$A$2943,$C$2:$C$2943)</f>
        <v>0.0654292307573581</v>
      </c>
      <c r="T19" s="20" t="n">
        <f aca="false">LOOKUP(DATE($O19,T$25,T$24),$A$2:$A$2943,$C$2:$C$2943)</f>
        <v>0.0826041203146517</v>
      </c>
      <c r="U19" s="20" t="n">
        <f aca="false">LOOKUP(DATE($O19,U$25,U$24),$A$2:$A$2943,$C$2:$C$2943)</f>
        <v>0.0883156371441105</v>
      </c>
      <c r="V19" s="20" t="n">
        <f aca="false">LOOKUP(DATE($O19,V$25,V$24),$A$2:$A$2943,$C$2:$C$2943)</f>
        <v>0.0881343413800863</v>
      </c>
      <c r="W19" s="20" t="n">
        <f aca="false">LOOKUP(DATE($O19,W$25,W$24),$A$2:$A$2943,$C$2:$C$2943)</f>
        <v>0.104236742007861</v>
      </c>
      <c r="X19" s="20" t="n">
        <f aca="false">LOOKUP(DATE($O19,X$25,X$24),$A$2:$A$2943,$C$2:$C$2943)</f>
        <v>0.105598037600745</v>
      </c>
      <c r="Y19" s="20" t="n">
        <f aca="false">LOOKUP(DATE($O19,Y$25,Y$24),$A$2:$A$2943,$C$2:$C$2943)</f>
        <v>0.110610882231184</v>
      </c>
      <c r="Z19" s="20" t="n">
        <f aca="false">LOOKUP(DATE($O19,Z$25,Z$24),$A$2:$A$2943,$C$2:$C$2943)</f>
        <v>0.113031697957967</v>
      </c>
      <c r="AA19" s="20" t="n">
        <f aca="false">LOOKUP(DATE($O19,AA$25,AA$24),$A$2:$A$2943,$C$2:$C$2943)</f>
        <v>0.112999814668953</v>
      </c>
      <c r="AC19" s="6"/>
      <c r="AD19" s="14" t="n">
        <v>2023</v>
      </c>
      <c r="AE19" s="15" t="n">
        <f aca="false">+P20</f>
        <v>0.113028268512377</v>
      </c>
      <c r="AF19" s="15" t="n">
        <f aca="false">+Q20</f>
        <v>0.112954612034372</v>
      </c>
      <c r="AG19" s="15" t="n">
        <f aca="false">+R20</f>
        <v>0.11301465802555</v>
      </c>
      <c r="AH19" s="15" t="n">
        <f aca="false">+S20</f>
        <v>0.112953136026947</v>
      </c>
      <c r="AI19" s="15" t="n">
        <f aca="false">+T20</f>
        <v>0.113036325123335</v>
      </c>
      <c r="AJ19" s="15" t="n">
        <f aca="false">+U20</f>
        <v>0.112980841570208</v>
      </c>
      <c r="AK19" s="15" t="n">
        <f aca="false">+V20</f>
        <v>0.113011307119445</v>
      </c>
      <c r="AL19" s="15" t="n">
        <f aca="false">+W20</f>
        <v>0.102929503951187</v>
      </c>
      <c r="AM19" s="15" t="n">
        <f aca="false">+X20</f>
        <v>0.0935441416961407</v>
      </c>
      <c r="AN19" s="15" t="n">
        <f aca="false">+Y20</f>
        <v>0.0982469439194987</v>
      </c>
      <c r="AO19" s="15" t="n">
        <f aca="false">+Z20</f>
        <v>0.0903193717277473</v>
      </c>
      <c r="AP19" s="15" t="n">
        <f aca="false">+AA20</f>
        <v>0.0822419993993025</v>
      </c>
      <c r="AQ19" s="16" t="n">
        <f aca="false">+(B221/B209-1)/COUNTA(AE19:AP19)*12</f>
        <v>0.111942792636216</v>
      </c>
      <c r="AR19" s="25"/>
      <c r="AS19" s="9"/>
      <c r="AV19" s="26" t="s">
        <v>24</v>
      </c>
      <c r="AW19" s="27" t="n">
        <v>46142</v>
      </c>
      <c r="AX19" s="28" t="n">
        <f aca="false">EOMONTH($AW19,AX18)</f>
        <v>46112</v>
      </c>
      <c r="AY19" s="28" t="n">
        <f aca="false">EOMONTH($AW19,AY18)</f>
        <v>46053</v>
      </c>
      <c r="AZ19" s="28" t="n">
        <f aca="false">EOMONTH($AW19,AZ18)</f>
        <v>45961</v>
      </c>
      <c r="BA19" s="28" t="n">
        <f aca="false">EOMONTH($AW19,BA18)</f>
        <v>45777</v>
      </c>
      <c r="BB19" s="28" t="n">
        <v>44926</v>
      </c>
    </row>
    <row r="20" customFormat="false" ht="15" hidden="false" customHeight="false" outlineLevel="0" collapsed="false">
      <c r="A20" s="17" t="n">
        <v>39233</v>
      </c>
      <c r="B20" s="23" t="n">
        <v>11763.78</v>
      </c>
      <c r="C20" s="24" t="n">
        <f aca="false">(B20/B19-1)/(A20-A19)*360</f>
        <v>0.050764276116902</v>
      </c>
      <c r="D20" s="19" t="n">
        <f aca="false">B20/$B$3*100</f>
        <v>107.400982731892</v>
      </c>
      <c r="E20" s="19"/>
      <c r="F20" s="19"/>
      <c r="O20" s="3" t="n">
        <v>2023</v>
      </c>
      <c r="P20" s="20" t="n">
        <f aca="false">LOOKUP(DATE($O20,P$25,P$24),$A$2:$A$2943,$C$2:$C$2943)</f>
        <v>0.113028268512377</v>
      </c>
      <c r="Q20" s="20" t="n">
        <f aca="false">LOOKUP(DATE($O20,Q$25,Q$24),$A$2:$A$2943,$C$2:$C$2943)</f>
        <v>0.112954612034372</v>
      </c>
      <c r="R20" s="20" t="n">
        <f aca="false">LOOKUP(DATE($O20,R$25,R$24),$A$2:$A$2943,$C$2:$C$2943)</f>
        <v>0.11301465802555</v>
      </c>
      <c r="S20" s="20" t="n">
        <f aca="false">LOOKUP(DATE($O20,S$25,S$24),$A$2:$A$2943,$C$2:$C$2943)</f>
        <v>0.112953136026947</v>
      </c>
      <c r="T20" s="20" t="n">
        <f aca="false">LOOKUP(DATE($O20,T$25,T$24),$A$2:$A$2943,$C$2:$C$2943)</f>
        <v>0.113036325123335</v>
      </c>
      <c r="U20" s="20" t="n">
        <f aca="false">LOOKUP(DATE($O20,U$25,U$24),$A$2:$A$2943,$C$2:$C$2943)</f>
        <v>0.112980841570208</v>
      </c>
      <c r="V20" s="20" t="n">
        <f aca="false">LOOKUP(DATE($O20,V$25,V$24),$A$2:$A$2943,$C$2:$C$2943)</f>
        <v>0.113011307119445</v>
      </c>
      <c r="W20" s="20" t="n">
        <f aca="false">LOOKUP(DATE($O20,W$25,W$24),$A$2:$A$2943,$C$2:$C$2943)</f>
        <v>0.102929503951187</v>
      </c>
      <c r="X20" s="20" t="n">
        <f aca="false">LOOKUP(DATE($O20,X$25,X$24),$A$2:$A$2943,$C$2:$C$2943)</f>
        <v>0.0935441416961407</v>
      </c>
      <c r="Y20" s="20" t="n">
        <f aca="false">LOOKUP(DATE($O20,Y$25,Y$24),$A$2:$A$2943,$C$2:$C$2943)</f>
        <v>0.0982469439194987</v>
      </c>
      <c r="Z20" s="20" t="n">
        <f aca="false">LOOKUP(DATE($O20,Z$25,Z$24),$A$2:$A$2943,$C$2:$C$2943)</f>
        <v>0.0903193717277473</v>
      </c>
      <c r="AA20" s="20" t="n">
        <f aca="false">LOOKUP(DATE($O20,AA$25,AA$24),$A$2:$A$2943,$C$2:$C$2943)</f>
        <v>0.0822419993993025</v>
      </c>
      <c r="AC20" s="6"/>
      <c r="AD20" s="14" t="n">
        <v>2024</v>
      </c>
      <c r="AE20" s="15" t="n">
        <f aca="false">+P21</f>
        <v>0.0854387456999593</v>
      </c>
      <c r="AF20" s="15" t="n">
        <f aca="false">+Q21</f>
        <v>0.0854387456999593</v>
      </c>
      <c r="AG20" s="15" t="n">
        <f aca="false">+R21</f>
        <v>0.0726088077522121</v>
      </c>
      <c r="AH20" s="15" t="n">
        <f aca="false">+S21</f>
        <v>0.0664667341290363</v>
      </c>
      <c r="AI20" s="15" t="n">
        <f aca="false">+T21</f>
        <v>0.0640349336940165</v>
      </c>
      <c r="AJ20" s="15" t="n">
        <f aca="false">+U21</f>
        <v>0.0553625887585865</v>
      </c>
      <c r="AK20" s="15" t="n">
        <f aca="false">+V21</f>
        <v>0.0613666492588274</v>
      </c>
      <c r="AL20" s="15" t="n">
        <f aca="false">+W21</f>
        <v>0.0557692494688199</v>
      </c>
      <c r="AM20" s="15" t="n">
        <f aca="false">+X21</f>
        <v>0.0573725219449663</v>
      </c>
      <c r="AN20" s="15" t="n">
        <f aca="false">+Y21</f>
        <v>0.0523793092229241</v>
      </c>
      <c r="AO20" s="15" t="n">
        <f aca="false">+Z21</f>
        <v>0.0526119065708688</v>
      </c>
      <c r="AP20" s="15" t="n">
        <f aca="false">+AA21</f>
        <v>0.0516340355606462</v>
      </c>
      <c r="AQ20" s="16" t="n">
        <f aca="false">+(B233/B221-1)/COUNTA(AE20:AP20)*12</f>
        <v>0.0654251259349719</v>
      </c>
      <c r="AR20" s="9"/>
      <c r="AS20" s="9"/>
      <c r="AV20" s="6" t="s">
        <v>25</v>
      </c>
      <c r="AW20" s="29" t="n">
        <f aca="false">LOOKUP(AW19,$F$2:$F$2974,$K$2:$K$2974)</f>
        <v>0</v>
      </c>
      <c r="AX20" s="29" t="n">
        <f aca="false">LOOKUP(AX19,$F$2:$F$2974,$K$2:$K$2974)</f>
        <v>1460.0275</v>
      </c>
      <c r="AY20" s="29" t="n">
        <f aca="false">LOOKUP(AY19,$F$2:$F$2974,$K$2:$K$2974)</f>
        <v>1452.3852</v>
      </c>
      <c r="AZ20" s="29" t="n">
        <f aca="false">LOOKUP(AZ19,$F$2:$F$2974,$K$2:$K$2974)</f>
        <v>1439.9873</v>
      </c>
      <c r="BA20" s="29" t="n">
        <f aca="false">LOOKUP(BA19,$F$2:$F$2974,$K$2:$K$2974)</f>
        <v>1414.8711</v>
      </c>
      <c r="BB20" s="29" t="n">
        <f aca="false">LOOKUP(BB19,$F$2:$F$2974,$K$2:$K$2974)</f>
        <v>1282.3101</v>
      </c>
    </row>
    <row r="21" customFormat="false" ht="15" hidden="false" customHeight="false" outlineLevel="0" collapsed="false">
      <c r="A21" s="17" t="n">
        <v>39262</v>
      </c>
      <c r="B21" s="23" t="n">
        <v>11812.23</v>
      </c>
      <c r="C21" s="24" t="n">
        <f aca="false">(B21/B20-1)/(A21-A20)*360</f>
        <v>0.0511271271531829</v>
      </c>
      <c r="D21" s="19" t="n">
        <f aca="false">B21/$B$3*100</f>
        <v>107.8433216411</v>
      </c>
      <c r="E21" s="19"/>
      <c r="F21" s="19"/>
      <c r="O21" s="3" t="n">
        <v>2024</v>
      </c>
      <c r="P21" s="20" t="n">
        <f aca="false">LOOKUP(DATE($O21,P$25,P$24),$A$2:$A$2943,$C$2:$C$2943)</f>
        <v>0.0854387456999593</v>
      </c>
      <c r="Q21" s="20" t="n">
        <f aca="false">LOOKUP(DATE($O21,Q$25,Q$24),$A$2:$A$2943,$C$2:$C$2943)</f>
        <v>0.0854387456999593</v>
      </c>
      <c r="R21" s="20" t="n">
        <f aca="false">LOOKUP(DATE($O21,R$25,R$24),$A$2:$A$2943,$C$2:$C$2943)</f>
        <v>0.0726088077522121</v>
      </c>
      <c r="S21" s="20" t="n">
        <f aca="false">LOOKUP(DATE($O21,S$25,S$24),$A$2:$A$2943,$C$2:$C$2943)</f>
        <v>0.0664667341290363</v>
      </c>
      <c r="T21" s="20" t="n">
        <f aca="false">LOOKUP(DATE($O21,T$25,T$24),$A$2:$A$2943,$C$2:$C$2943)</f>
        <v>0.0640349336940165</v>
      </c>
      <c r="U21" s="20" t="n">
        <f aca="false">LOOKUP(DATE($O21,U$25,U$24),$A$2:$A$2943,$C$2:$C$2943)</f>
        <v>0.0553625887585865</v>
      </c>
      <c r="V21" s="20" t="n">
        <f aca="false">LOOKUP(DATE($O21,V$25,V$24),$A$2:$A$2943,$C$2:$C$2943)</f>
        <v>0.0613666492588274</v>
      </c>
      <c r="W21" s="20" t="n">
        <f aca="false">LOOKUP(DATE($O21,W$25,W$24),$A$2:$A$2943,$C$2:$C$2943)</f>
        <v>0.0557692494688199</v>
      </c>
      <c r="X21" s="20" t="n">
        <f aca="false">LOOKUP(DATE($O21,X$25,X$24),$A$2:$A$2943,$C$2:$C$2943)</f>
        <v>0.0573725219449663</v>
      </c>
      <c r="Y21" s="20" t="n">
        <f aca="false">LOOKUP(DATE($O21,Y$25,Y$24),$A$2:$A$2943,$C$2:$C$2943)</f>
        <v>0.0523793092229241</v>
      </c>
      <c r="Z21" s="20" t="n">
        <f aca="false">LOOKUP(DATE($O21,Z$25,Z$24),$A$2:$A$2943,$C$2:$C$2943)</f>
        <v>0.0526119065708688</v>
      </c>
      <c r="AA21" s="20" t="n">
        <f aca="false">LOOKUP(DATE($O21,AA$25,AA$24),$A$2:$A$2943,$C$2:$C$2943)</f>
        <v>0.0516340355606462</v>
      </c>
      <c r="AC21" s="6"/>
      <c r="AD21" s="14" t="n">
        <v>2025</v>
      </c>
      <c r="AE21" s="15" t="n">
        <f aca="false">+P22</f>
        <v>0.0517288665411338</v>
      </c>
      <c r="AF21" s="15" t="n">
        <f aca="false">+Q22</f>
        <v>0.0500948106556428</v>
      </c>
      <c r="AG21" s="15" t="n">
        <f aca="false">+R22</f>
        <v>0.0500957661532424</v>
      </c>
      <c r="AH21" s="15" t="n">
        <f aca="false">+S22</f>
        <v>0.0501085973211328</v>
      </c>
      <c r="AI21" s="15" t="n">
        <f aca="false">+T22</f>
        <v>0.0484748935723063</v>
      </c>
      <c r="AJ21" s="15" t="n">
        <f aca="false">+U22</f>
        <v>0.0517747936382991</v>
      </c>
      <c r="AK21" s="15" t="n">
        <f aca="false">+V22</f>
        <v>0.0500082048400281</v>
      </c>
      <c r="AL21" s="15" t="n">
        <f aca="false">+W22</f>
        <v>0.0445154480061196</v>
      </c>
      <c r="AM21" s="15" t="n">
        <f aca="false">+X22</f>
        <v>0.0648126065367647</v>
      </c>
      <c r="AN21" s="15" t="n">
        <f aca="false">+Y22</f>
        <v>0.0324796601989129</v>
      </c>
      <c r="AO21" s="15" t="n">
        <f aca="false">+Z22</f>
        <v>0.0459892758280258</v>
      </c>
      <c r="AP21" s="15" t="n">
        <f aca="false">+AA22</f>
        <v>0.0480711720283662</v>
      </c>
      <c r="AQ21" s="16" t="n">
        <f aca="false">+(B245/B234-1)/COUNTA(AE21:AP21)*12</f>
        <v>0.0461215166375695</v>
      </c>
      <c r="AV21" s="30" t="s">
        <v>26</v>
      </c>
      <c r="AW21" s="31" t="n">
        <f aca="false">LOOKUP(AW19,$F$2:$F$2972,$H$2:$H$2972)</f>
        <v>1.1670507403797</v>
      </c>
      <c r="AX21" s="31" t="n">
        <f aca="false">LOOKUP(AX19,$F$2:$F$2972,$H$2:$H$2972)</f>
        <v>1.1623507403797</v>
      </c>
      <c r="AY21" s="31" t="n">
        <f aca="false">LOOKUP(AY19,$F$2:$F$2972,$H$2:$H$2972)</f>
        <v>1.1533507403797</v>
      </c>
      <c r="AZ21" s="31" t="n">
        <f aca="false">LOOKUP(AZ19,$F$2:$F$2972,$H$2:$H$2972)</f>
        <v>1.1389507403797</v>
      </c>
      <c r="BA21" s="31" t="n">
        <f aca="false">LOOKUP(BA19,$F$2:$F$2972,$H$2:$H$2972)</f>
        <v>1.1117507403797</v>
      </c>
      <c r="BB21" s="31" t="n">
        <f aca="false">LOOKUP(BB19,$F$2:$F$2972,$H$2:$H$2972)</f>
        <v>0</v>
      </c>
    </row>
    <row r="22" customFormat="false" ht="15" hidden="false" customHeight="false" outlineLevel="0" collapsed="false">
      <c r="A22" s="17" t="n">
        <v>39294</v>
      </c>
      <c r="B22" s="23" t="n">
        <v>11866.53</v>
      </c>
      <c r="C22" s="24" t="n">
        <f aca="false">(B22/B21-1)/(A22-A21)*360</f>
        <v>0.0517154677821216</v>
      </c>
      <c r="D22" s="19" t="n">
        <f aca="false">B22/$B$3*100</f>
        <v>108.339069892287</v>
      </c>
      <c r="E22" s="19"/>
      <c r="F22" s="19"/>
      <c r="O22" s="3" t="n">
        <v>2025</v>
      </c>
      <c r="P22" s="20" t="n">
        <f aca="false">LOOKUP(DATE($O22,P$25,P$24),$A$2:$A$2943,$C$2:$C$2943)</f>
        <v>0.0517288665411338</v>
      </c>
      <c r="Q22" s="20" t="n">
        <f aca="false">LOOKUP(DATE($O22,Q$25,Q$24),$A$2:$A$2943,$C$2:$C$2943)</f>
        <v>0.0500948106556428</v>
      </c>
      <c r="R22" s="20" t="n">
        <f aca="false">LOOKUP(DATE($O22,R$25,R$24),$A$2:$A$2943,$C$2:$C$2943)</f>
        <v>0.0500957661532424</v>
      </c>
      <c r="S22" s="20" t="n">
        <f aca="false">LOOKUP(DATE($O22,S$25,S$24),$A$2:$A$2943,$C$2:$C$2943)</f>
        <v>0.0501085973211328</v>
      </c>
      <c r="T22" s="20" t="n">
        <f aca="false">LOOKUP(DATE($O22,T$25,T$24),$A$2:$A$2943,$C$2:$C$2943)</f>
        <v>0.0484748935723063</v>
      </c>
      <c r="U22" s="20" t="n">
        <f aca="false">LOOKUP(DATE($O22,U$25,U$24),$A$2:$A$2943,$C$2:$C$2943)</f>
        <v>0.0517747936382991</v>
      </c>
      <c r="V22" s="20" t="n">
        <f aca="false">LOOKUP(DATE($O22,V$25,V$24),$A$2:$A$2943,$C$2:$C$2943)</f>
        <v>0.0500082048400281</v>
      </c>
      <c r="W22" s="20" t="n">
        <f aca="false">LOOKUP(DATE($O22,W$25,W$24),$A$2:$A$2943,$C$2:$C$2943)</f>
        <v>0.0445154480061196</v>
      </c>
      <c r="X22" s="20" t="n">
        <f aca="false">LOOKUP(DATE($O22,X$25,X$24),$A$2:$A$2943,$C$2:$C$2943)</f>
        <v>0.0648126065367647</v>
      </c>
      <c r="Y22" s="20" t="n">
        <f aca="false">LOOKUP(DATE($O22,Y$25,Y$24),$A$2:$A$2943,$C$2:$C$2943)</f>
        <v>0.0324796601989129</v>
      </c>
      <c r="Z22" s="20" t="n">
        <f aca="false">LOOKUP(DATE($O22,Z$25,Z$24),$A$2:$A$2943,$C$2:$C$2943)</f>
        <v>0.0459892758280258</v>
      </c>
      <c r="AA22" s="20" t="n">
        <f aca="false">LOOKUP(DATE($O22,AA$25,AA$24),$A$2:$A$2943,$C$2:$C$2943)</f>
        <v>0.0480711720283662</v>
      </c>
      <c r="AD22" s="14" t="n">
        <v>2026</v>
      </c>
      <c r="AE22" s="15" t="n">
        <f aca="false">+P23</f>
        <v>0.0450852808962631</v>
      </c>
      <c r="AF22" s="15" t="n">
        <f aca="false">+Q23</f>
        <v>0.0466876878501808</v>
      </c>
      <c r="AG22" s="15" t="n">
        <f aca="false">+R23</f>
        <v>0.0450804551986255</v>
      </c>
      <c r="AH22" s="15" t="n">
        <f aca="false">+S23</f>
        <v>-2.92407267431875</v>
      </c>
      <c r="AI22" s="9"/>
      <c r="AJ22" s="9"/>
      <c r="AK22" s="9"/>
      <c r="AL22" s="9"/>
      <c r="AM22" s="9"/>
      <c r="AN22" s="9"/>
      <c r="AO22" s="9"/>
      <c r="AP22" s="9"/>
      <c r="AQ22" s="16" t="n">
        <f aca="false">+(B249/B246-1)/COUNTA(AE22:AP22)*12</f>
        <v>-0.71393888658704</v>
      </c>
      <c r="AV22" s="6"/>
      <c r="AW22" s="6"/>
      <c r="AX22" s="6"/>
      <c r="AY22" s="6"/>
      <c r="AZ22" s="6"/>
      <c r="BA22" s="6"/>
      <c r="BB22" s="6"/>
    </row>
    <row r="23" customFormat="false" ht="15" hidden="false" customHeight="false" outlineLevel="0" collapsed="false">
      <c r="A23" s="17"/>
      <c r="B23" s="23"/>
      <c r="C23" s="24"/>
      <c r="D23" s="19"/>
      <c r="E23" s="19"/>
      <c r="F23" s="19"/>
      <c r="O23" s="3" t="n">
        <v>2026</v>
      </c>
      <c r="P23" s="20" t="n">
        <f aca="false">LOOKUP(DATE($O23,P$25,P$24),$A$2:$A$2943,$C$2:$C$2943)</f>
        <v>0.0450852808962631</v>
      </c>
      <c r="Q23" s="20" t="n">
        <f aca="false">LOOKUP(DATE($O23,Q$25,Q$24),$A$2:$A$2943,$C$2:$C$2943)</f>
        <v>0.0466876878501808</v>
      </c>
      <c r="R23" s="20" t="n">
        <f aca="false">LOOKUP(DATE($O23,R$25,R$24),$A$2:$A$2943,$C$2:$C$2943)</f>
        <v>0.0450804551986255</v>
      </c>
      <c r="S23" s="20" t="n">
        <f aca="false">LOOKUP(DATE($O23,S$25,S$24),$A$2:$A$2943,$C$2:$C$2943)</f>
        <v>-2.92407267431875</v>
      </c>
      <c r="T23" s="20"/>
      <c r="U23" s="20"/>
      <c r="V23" s="20"/>
      <c r="W23" s="20"/>
      <c r="X23" s="20"/>
      <c r="Y23" s="20"/>
      <c r="Z23" s="20"/>
      <c r="AA23" s="20"/>
      <c r="AD23" s="25"/>
      <c r="AE23" s="9"/>
      <c r="AF23" s="9"/>
      <c r="AG23" s="9"/>
      <c r="AH23" s="9"/>
      <c r="AI23" s="9"/>
      <c r="AJ23" s="9"/>
      <c r="AK23" s="9"/>
      <c r="AL23" s="9"/>
      <c r="AM23" s="9"/>
      <c r="AN23" s="9"/>
      <c r="AO23" s="9"/>
      <c r="AP23" s="9"/>
      <c r="AQ23" s="9"/>
      <c r="AV23" s="6"/>
      <c r="AW23" s="6"/>
      <c r="AX23" s="6"/>
      <c r="AY23" s="6"/>
      <c r="AZ23" s="6"/>
      <c r="BA23" s="6"/>
      <c r="BB23" s="6"/>
    </row>
    <row r="24" customFormat="false" ht="15" hidden="false" customHeight="false" outlineLevel="0" collapsed="false">
      <c r="A24" s="17" t="n">
        <v>39325</v>
      </c>
      <c r="B24" s="23" t="n">
        <v>11922.48</v>
      </c>
      <c r="C24" s="24" t="n">
        <f aca="false">(B24/B22-1)/(A24-A22)*360</f>
        <v>0.0547541644848031</v>
      </c>
      <c r="D24" s="19" t="n">
        <f aca="false">B24/$B$3*100</f>
        <v>108.849882316852</v>
      </c>
      <c r="E24" s="19"/>
      <c r="F24" s="19"/>
      <c r="P24" s="10" t="n">
        <v>31</v>
      </c>
      <c r="Q24" s="10" t="n">
        <v>28</v>
      </c>
      <c r="R24" s="10" t="n">
        <v>31</v>
      </c>
      <c r="S24" s="10" t="n">
        <v>30</v>
      </c>
      <c r="T24" s="10" t="n">
        <v>31</v>
      </c>
      <c r="U24" s="10" t="n">
        <v>30</v>
      </c>
      <c r="V24" s="10" t="n">
        <v>31</v>
      </c>
      <c r="W24" s="10" t="n">
        <v>31</v>
      </c>
      <c r="X24" s="10" t="n">
        <v>30</v>
      </c>
      <c r="Y24" s="10" t="n">
        <v>31</v>
      </c>
      <c r="Z24" s="10" t="n">
        <v>30</v>
      </c>
      <c r="AA24" s="10" t="n">
        <v>31</v>
      </c>
      <c r="AD24" s="25" t="s">
        <v>27</v>
      </c>
    </row>
    <row r="25" customFormat="false" ht="15" hidden="false" customHeight="false" outlineLevel="0" collapsed="false">
      <c r="A25" s="17" t="n">
        <v>39353</v>
      </c>
      <c r="B25" s="23" t="n">
        <v>11975.61</v>
      </c>
      <c r="C25" s="24" t="n">
        <f aca="false">(B25/B24-1)/(A25-A24)*360</f>
        <v>0.057295126517304</v>
      </c>
      <c r="D25" s="19" t="n">
        <f aca="false">B25/$B$3*100</f>
        <v>109.334948699642</v>
      </c>
      <c r="E25" s="19"/>
      <c r="F25" s="19"/>
      <c r="P25" s="10" t="n">
        <v>1</v>
      </c>
      <c r="Q25" s="10" t="n">
        <v>2</v>
      </c>
      <c r="R25" s="10" t="n">
        <v>3</v>
      </c>
      <c r="S25" s="10" t="n">
        <v>4</v>
      </c>
      <c r="T25" s="10" t="n">
        <v>5</v>
      </c>
      <c r="U25" s="10" t="n">
        <v>6</v>
      </c>
      <c r="V25" s="10" t="n">
        <v>7</v>
      </c>
      <c r="W25" s="10" t="n">
        <v>8</v>
      </c>
      <c r="X25" s="10" t="n">
        <v>9</v>
      </c>
      <c r="Y25" s="10" t="n">
        <v>10</v>
      </c>
      <c r="Z25" s="10" t="n">
        <v>11</v>
      </c>
      <c r="AA25" s="10" t="n">
        <v>12</v>
      </c>
      <c r="AR25" s="9"/>
      <c r="AS25" s="9"/>
    </row>
    <row r="26" customFormat="false" ht="15" hidden="false" customHeight="false" outlineLevel="0" collapsed="false">
      <c r="A26" s="17" t="n">
        <v>39386</v>
      </c>
      <c r="B26" s="23" t="n">
        <v>12038.9</v>
      </c>
      <c r="C26" s="24" t="n">
        <f aca="false">(B26/B25-1)/(A26-A25)*360</f>
        <v>0.0576535444654888</v>
      </c>
      <c r="D26" s="19" t="n">
        <f aca="false">B26/$B$3*100</f>
        <v>109.912773871237</v>
      </c>
      <c r="E26" s="19"/>
      <c r="F26" s="19"/>
      <c r="O26" s="32" t="s">
        <v>28</v>
      </c>
      <c r="P26" s="3" t="s">
        <v>4</v>
      </c>
      <c r="Q26" s="3" t="s">
        <v>5</v>
      </c>
      <c r="R26" s="3" t="s">
        <v>6</v>
      </c>
      <c r="S26" s="3" t="s">
        <v>7</v>
      </c>
      <c r="T26" s="3" t="s">
        <v>8</v>
      </c>
      <c r="U26" s="3" t="s">
        <v>9</v>
      </c>
      <c r="V26" s="3" t="s">
        <v>10</v>
      </c>
      <c r="W26" s="3" t="s">
        <v>11</v>
      </c>
      <c r="X26" s="3" t="s">
        <v>12</v>
      </c>
      <c r="Y26" s="3" t="s">
        <v>13</v>
      </c>
      <c r="Z26" s="3" t="s">
        <v>14</v>
      </c>
      <c r="AA26" s="3" t="s">
        <v>15</v>
      </c>
      <c r="AR26" s="25"/>
      <c r="AS26" s="9"/>
      <c r="AV26" s="9"/>
      <c r="AW26" s="9"/>
      <c r="AX26" s="9"/>
      <c r="AY26" s="9"/>
      <c r="AZ26" s="9"/>
      <c r="BA26" s="9"/>
      <c r="BB26" s="9"/>
    </row>
    <row r="27" customFormat="false" ht="15.75" hidden="false" customHeight="true" outlineLevel="0" collapsed="false">
      <c r="A27" s="17" t="n">
        <v>39416</v>
      </c>
      <c r="B27" s="23" t="n">
        <v>12096.85</v>
      </c>
      <c r="C27" s="24" t="n">
        <f aca="false">(B27/B26-1)/(A27-A26)*360</f>
        <v>0.0577627524109365</v>
      </c>
      <c r="D27" s="19" t="n">
        <f aca="false">B27/$B$3*100</f>
        <v>110.441845899897</v>
      </c>
      <c r="E27" s="19"/>
      <c r="F27" s="19"/>
      <c r="O27" s="3" t="n">
        <v>2017</v>
      </c>
      <c r="P27" s="20"/>
      <c r="Q27" s="20"/>
      <c r="R27" s="20"/>
      <c r="S27" s="20"/>
      <c r="T27" s="20" t="n">
        <f aca="false">LOOKUP(DATE($O27,T$25,T$24),$A$2:$A$2943,$I$2:$I$2943)</f>
        <v>0</v>
      </c>
      <c r="U27" s="20" t="n">
        <f aca="false">LOOKUP(DATE($O27,U$25,U$24),$A$2:$A$2943,$I$2:$I$2943)</f>
        <v>0</v>
      </c>
      <c r="V27" s="20" t="n">
        <f aca="false">LOOKUP(DATE($O27,V$25,V$24),$A$2:$A$2943,$I$2:$I$2943)</f>
        <v>0</v>
      </c>
      <c r="W27" s="20" t="n">
        <f aca="false">LOOKUP(DATE($O27,W$25,W$24),$A$2:$A$2943,$I$2:$I$2943)</f>
        <v>0</v>
      </c>
      <c r="X27" s="20" t="n">
        <f aca="false">LOOKUP(DATE($O27,X$25,X$24),$A$2:$A$2943,$I$2:$I$2943)</f>
        <v>0</v>
      </c>
      <c r="Y27" s="20" t="n">
        <f aca="false">LOOKUP(DATE($O27,Y$25,Y$24),$A$2:$A$2943,$I$2:$I$2943)</f>
        <v>0</v>
      </c>
      <c r="Z27" s="20" t="n">
        <f aca="false">LOOKUP(DATE($O27,Z$25,Z$24),$A$2:$A$2943,$I$2:$I$2943)</f>
        <v>0</v>
      </c>
      <c r="AA27" s="20" t="n">
        <f aca="false">LOOKUP(DATE($O27,AA$25,AA$24),$A$2:$A$2943,$I$2:$I$2943)</f>
        <v>0</v>
      </c>
      <c r="AD27" s="33" t="s">
        <v>26</v>
      </c>
      <c r="AE27" s="8" t="s">
        <v>4</v>
      </c>
      <c r="AF27" s="8" t="s">
        <v>5</v>
      </c>
      <c r="AG27" s="8" t="s">
        <v>6</v>
      </c>
      <c r="AH27" s="8" t="s">
        <v>7</v>
      </c>
      <c r="AI27" s="8" t="s">
        <v>8</v>
      </c>
      <c r="AJ27" s="8" t="s">
        <v>9</v>
      </c>
      <c r="AK27" s="8" t="s">
        <v>10</v>
      </c>
      <c r="AL27" s="8" t="s">
        <v>11</v>
      </c>
      <c r="AM27" s="8" t="s">
        <v>12</v>
      </c>
      <c r="AN27" s="8" t="s">
        <v>13</v>
      </c>
      <c r="AO27" s="8" t="s">
        <v>14</v>
      </c>
      <c r="AP27" s="8" t="s">
        <v>15</v>
      </c>
      <c r="AQ27" s="8" t="s">
        <v>16</v>
      </c>
      <c r="AV27" s="34"/>
      <c r="AW27" s="35" t="s">
        <v>29</v>
      </c>
      <c r="AX27" s="35" t="s">
        <v>30</v>
      </c>
      <c r="AY27" s="35" t="s">
        <v>31</v>
      </c>
      <c r="AZ27" s="35" t="s">
        <v>32</v>
      </c>
      <c r="BA27" s="35" t="s">
        <v>33</v>
      </c>
      <c r="BB27" s="35" t="s">
        <v>34</v>
      </c>
      <c r="BC27" s="9"/>
    </row>
    <row r="28" customFormat="false" ht="15" hidden="false" customHeight="false" outlineLevel="0" collapsed="false">
      <c r="A28" s="17" t="n">
        <v>39447</v>
      </c>
      <c r="B28" s="23" t="n">
        <v>12152.6</v>
      </c>
      <c r="C28" s="24" t="n">
        <f aca="false">(B28/B27-1)/(A28-A27)*360</f>
        <v>0.0535196646101014</v>
      </c>
      <c r="D28" s="19" t="n">
        <f aca="false">B28/$B$3*100</f>
        <v>110.950832364053</v>
      </c>
      <c r="E28" s="19"/>
      <c r="F28" s="19"/>
      <c r="O28" s="3" t="n">
        <v>2018</v>
      </c>
      <c r="P28" s="20" t="n">
        <f aca="false">LOOKUP(DATE($O28,P$25,P$24),$A$2:$A$2943,$I$2:$I$2943)</f>
        <v>0</v>
      </c>
      <c r="Q28" s="20" t="n">
        <f aca="false">LOOKUP(DATE($O28,Q$25,Q$24),$A$2:$A$2943,$I$2:$I$2943)</f>
        <v>0</v>
      </c>
      <c r="R28" s="20" t="n">
        <f aca="false">LOOKUP(DATE($O28,R$25,R$24),$A$2:$A$2943,$I$2:$I$2943)</f>
        <v>0</v>
      </c>
      <c r="S28" s="20" t="n">
        <f aca="false">LOOKUP(DATE($O28,S$25,S$24),$A$2:$A$2943,$I$2:$I$2943)</f>
        <v>0</v>
      </c>
      <c r="T28" s="20" t="n">
        <f aca="false">LOOKUP(DATE($O28,T$25,T$24),$A$2:$A$2943,$I$2:$I$2943)</f>
        <v>0</v>
      </c>
      <c r="U28" s="20" t="n">
        <f aca="false">LOOKUP(DATE($O28,U$25,U$24),$A$2:$A$2943,$I$2:$I$2943)</f>
        <v>0</v>
      </c>
      <c r="V28" s="20" t="n">
        <f aca="false">LOOKUP(DATE($O28,V$25,V$24),$A$2:$A$2943,$I$2:$I$2943)</f>
        <v>0</v>
      </c>
      <c r="W28" s="20" t="n">
        <f aca="false">LOOKUP(DATE($O28,W$25,W$24),$A$2:$A$2943,$I$2:$I$2943)</f>
        <v>0</v>
      </c>
      <c r="X28" s="20" t="n">
        <f aca="false">LOOKUP(DATE($O28,X$25,X$24),$A$2:$A$2943,$I$2:$I$2943)</f>
        <v>0</v>
      </c>
      <c r="Y28" s="20" t="n">
        <f aca="false">LOOKUP(DATE($O28,Y$25,Y$24),$A$2:$A$2943,$I$2:$I$2943)</f>
        <v>0</v>
      </c>
      <c r="Z28" s="20" t="n">
        <f aca="false">LOOKUP(DATE($O28,Z$25,Z$24),$A$2:$A$2943,$I$2:$I$2943)</f>
        <v>0</v>
      </c>
      <c r="AA28" s="20" t="n">
        <f aca="false">LOOKUP(DATE($O28,AA$25,AA$24),$A$2:$A$2943,$I$2:$I$2943)</f>
        <v>0</v>
      </c>
      <c r="AD28" s="21" t="n">
        <v>2017</v>
      </c>
      <c r="AE28" s="36"/>
      <c r="AF28" s="36"/>
      <c r="AG28" s="36"/>
      <c r="AH28" s="36"/>
      <c r="AI28" s="36"/>
      <c r="AJ28" s="36"/>
      <c r="AK28" s="36"/>
      <c r="AL28" s="36"/>
      <c r="AM28" s="36"/>
      <c r="AN28" s="36"/>
      <c r="AO28" s="36"/>
      <c r="AP28" s="36"/>
      <c r="AQ28" s="37"/>
      <c r="AR28" s="25" t="s">
        <v>23</v>
      </c>
      <c r="AV28" s="38"/>
      <c r="AW28" s="35" t="s">
        <v>25</v>
      </c>
      <c r="AX28" s="39" t="n">
        <f aca="false">($AW20/AX20-1)/(AW19-AX19)*360</f>
        <v>-12</v>
      </c>
      <c r="AY28" s="39" t="n">
        <f aca="false">($AW20/AY20-1)/(AW19-AY19)*360</f>
        <v>-4.04494382022472</v>
      </c>
      <c r="AZ28" s="39" t="n">
        <f aca="false">($AX20/AZ20-1)/(AX19-AZ19)*360</f>
        <v>0.0331794316970022</v>
      </c>
      <c r="BA28" s="39" t="n">
        <f aca="false">($AX20/BA20-1)/(AY19-BA19)*360</f>
        <v>0.0416289880922107</v>
      </c>
      <c r="BB28" s="39" t="n">
        <f aca="false">+AQ80</f>
        <v>-3</v>
      </c>
      <c r="BC28" s="40"/>
      <c r="BD28" s="41"/>
    </row>
    <row r="29" customFormat="false" ht="15" hidden="false" customHeight="false" outlineLevel="0" collapsed="false">
      <c r="A29" s="17" t="n">
        <v>39478</v>
      </c>
      <c r="B29" s="23" t="n">
        <v>12223.14</v>
      </c>
      <c r="C29" s="24" t="n">
        <f aca="false">(B29/B28-1)/(A29-A28)*360</f>
        <v>0.0674073197133445</v>
      </c>
      <c r="D29" s="19" t="n">
        <f aca="false">B29/$B$3*100</f>
        <v>111.594848600493</v>
      </c>
      <c r="E29" s="19"/>
      <c r="F29" s="19"/>
      <c r="O29" s="3" t="n">
        <v>2019</v>
      </c>
      <c r="P29" s="20" t="n">
        <f aca="false">LOOKUP(DATE($O29,P$25,P$24),$A$2:$A$2943,$I$2:$I$2943)</f>
        <v>0</v>
      </c>
      <c r="Q29" s="20" t="n">
        <f aca="false">LOOKUP(DATE($O29,Q$25,Q$24),$A$2:$A$2943,$I$2:$I$2943)</f>
        <v>0</v>
      </c>
      <c r="R29" s="20" t="n">
        <f aca="false">LOOKUP(DATE($O29,R$25,R$24),$A$2:$A$2943,$I$2:$I$2943)</f>
        <v>0</v>
      </c>
      <c r="S29" s="20" t="n">
        <f aca="false">LOOKUP(DATE($O29,S$25,S$24),$A$2:$A$2943,$I$2:$I$2943)</f>
        <v>0</v>
      </c>
      <c r="T29" s="20" t="n">
        <f aca="false">LOOKUP(DATE($O29,T$25,T$24),$A$2:$A$2943,$I$2:$I$2943)</f>
        <v>0</v>
      </c>
      <c r="U29" s="20" t="n">
        <f aca="false">LOOKUP(DATE($O29,U$25,U$24),$A$2:$A$2943,$I$2:$I$2943)</f>
        <v>0</v>
      </c>
      <c r="V29" s="20" t="n">
        <f aca="false">LOOKUP(DATE($O29,V$25,V$24),$A$2:$A$2943,$I$2:$I$2943)</f>
        <v>0</v>
      </c>
      <c r="W29" s="20" t="n">
        <f aca="false">LOOKUP(DATE($O29,W$25,W$24),$A$2:$A$2943,$I$2:$I$2943)</f>
        <v>0</v>
      </c>
      <c r="X29" s="20" t="n">
        <f aca="false">LOOKUP(DATE($O29,X$25,X$24),$A$2:$A$2943,$I$2:$I$2943)</f>
        <v>0</v>
      </c>
      <c r="Y29" s="20" t="n">
        <f aca="false">LOOKUP(DATE($O29,Y$25,Y$24),$A$2:$A$2943,$I$2:$I$2943)</f>
        <v>0</v>
      </c>
      <c r="Z29" s="20" t="n">
        <f aca="false">LOOKUP(DATE($O29,Z$25,Z$24),$A$2:$A$2943,$I$2:$I$2943)</f>
        <v>0</v>
      </c>
      <c r="AA29" s="20" t="n">
        <f aca="false">LOOKUP(DATE($O29,AA$25,AA$24),$A$2:$A$2943,$I$2:$I$2943)</f>
        <v>0</v>
      </c>
      <c r="AD29" s="14" t="n">
        <v>2018</v>
      </c>
      <c r="AE29" s="36"/>
      <c r="AF29" s="36"/>
      <c r="AG29" s="36"/>
      <c r="AH29" s="36"/>
      <c r="AI29" s="36"/>
      <c r="AJ29" s="36"/>
      <c r="AK29" s="36"/>
      <c r="AL29" s="36"/>
      <c r="AM29" s="36"/>
      <c r="AN29" s="36"/>
      <c r="AO29" s="36"/>
      <c r="AP29" s="36"/>
      <c r="AQ29" s="16"/>
      <c r="AR29" s="25"/>
      <c r="AV29" s="38"/>
      <c r="AW29" s="35" t="s">
        <v>35</v>
      </c>
      <c r="AX29" s="39" t="n">
        <f aca="false">($AW21/AX21-1)/(AW19-AX19)*360</f>
        <v>0.0485223590786186</v>
      </c>
      <c r="AY29" s="39" t="n">
        <f aca="false">($AW21/AY21-1)/(AW19-AY19)*360</f>
        <v>0.0480475959280484</v>
      </c>
      <c r="AZ29" s="39" t="n">
        <f aca="false">($AX21/AZ21-1)/(AX19-AZ19)*360</f>
        <v>0.0489819949997132</v>
      </c>
      <c r="BA29" s="39" t="n">
        <f aca="false">($AX21/BA21-1)/(AY19-BA19)*360</f>
        <v>0.0593658250926451</v>
      </c>
      <c r="BB29" s="39" t="n">
        <f aca="false">+AQ81</f>
        <v>0.0356353003133025</v>
      </c>
      <c r="BC29" s="42"/>
      <c r="BD29" s="43"/>
    </row>
    <row r="30" customFormat="false" ht="15" hidden="false" customHeight="false" outlineLevel="0" collapsed="false">
      <c r="A30" s="17" t="n">
        <v>39507</v>
      </c>
      <c r="B30" s="23" t="n">
        <v>12284.88</v>
      </c>
      <c r="C30" s="24" t="n">
        <f aca="false">(B30/B29-1)/(A30-A29)*360</f>
        <v>0.0627030031732343</v>
      </c>
      <c r="D30" s="19" t="n">
        <f aca="false">B30/$B$3*100</f>
        <v>112.158522578913</v>
      </c>
      <c r="E30" s="19"/>
      <c r="F30" s="19"/>
      <c r="O30" s="3" t="n">
        <v>2020</v>
      </c>
      <c r="P30" s="20" t="n">
        <f aca="false">LOOKUP(DATE($O30,P$25,P$24),$A$2:$A$2943,$I$2:$I$2943)</f>
        <v>0</v>
      </c>
      <c r="Q30" s="20" t="n">
        <f aca="false">LOOKUP(DATE($O30,Q$25,Q$24)+1,$A$2:$A$2943,$I$2:$I$2943)</f>
        <v>0</v>
      </c>
      <c r="R30" s="20" t="n">
        <f aca="false">LOOKUP(DATE($O30,R$25,R$24),$A:$A,$I:$I)</f>
        <v>0</v>
      </c>
      <c r="S30" s="20" t="n">
        <f aca="false">LOOKUP(DATE($O30,S$25,S$24),$A:$A,$I:$I)</f>
        <v>0</v>
      </c>
      <c r="T30" s="20" t="n">
        <f aca="false">LOOKUP(DATE($O30,T$25,T$24),$A:$A,$I:$I)</f>
        <v>0</v>
      </c>
      <c r="U30" s="20" t="n">
        <f aca="false">LOOKUP(DATE($O30,U$25,U$24),$A:$A,$I:$I)</f>
        <v>0</v>
      </c>
      <c r="V30" s="20" t="n">
        <f aca="false">LOOKUP(DATE($O30,V$25,V$24),$A:$A,$I:$I)</f>
        <v>0</v>
      </c>
      <c r="W30" s="20" t="n">
        <f aca="false">LOOKUP(DATE($O30,W$25,W$24),$A:$A,$I:$I)</f>
        <v>0</v>
      </c>
      <c r="X30" s="20" t="n">
        <f aca="false">LOOKUP(DATE($O30,X$25,X$24),$A:$A,$I:$I)</f>
        <v>0</v>
      </c>
      <c r="Y30" s="20" t="n">
        <f aca="false">+I183</f>
        <v>0</v>
      </c>
      <c r="Z30" s="20" t="n">
        <f aca="false">+I184</f>
        <v>0</v>
      </c>
      <c r="AA30" s="20" t="n">
        <f aca="false">+I185</f>
        <v>0</v>
      </c>
      <c r="AD30" s="21" t="n">
        <v>2019</v>
      </c>
      <c r="AE30" s="36"/>
      <c r="AF30" s="36"/>
      <c r="AG30" s="36"/>
      <c r="AH30" s="36"/>
      <c r="AI30" s="36"/>
      <c r="AJ30" s="36"/>
      <c r="AK30" s="36"/>
      <c r="AL30" s="36"/>
      <c r="AM30" s="36"/>
      <c r="AN30" s="36"/>
      <c r="AO30" s="36"/>
      <c r="AP30" s="36"/>
      <c r="AQ30" s="37"/>
      <c r="AR30" s="25"/>
      <c r="AV30" s="9"/>
      <c r="AW30" s="44"/>
      <c r="AX30" s="9"/>
      <c r="AY30" s="9"/>
      <c r="AZ30" s="9"/>
      <c r="BA30" s="9"/>
      <c r="BB30" s="9"/>
      <c r="BC30" s="42"/>
      <c r="BD30" s="43"/>
    </row>
    <row r="31" customFormat="false" ht="15" hidden="false" customHeight="false" outlineLevel="0" collapsed="false">
      <c r="A31" s="17" t="n">
        <v>39538</v>
      </c>
      <c r="B31" s="23" t="n">
        <v>12351.45</v>
      </c>
      <c r="C31" s="24" t="n">
        <f aca="false">(B31/B30-1)/(A31-A30)*360</f>
        <v>0.0629286543899455</v>
      </c>
      <c r="D31" s="19" t="n">
        <f aca="false">B31/$B$3*100</f>
        <v>112.766293501224</v>
      </c>
      <c r="E31" s="19"/>
      <c r="F31" s="19"/>
      <c r="O31" s="3" t="n">
        <v>2021</v>
      </c>
      <c r="P31" s="20" t="n">
        <f aca="false">+I186</f>
        <v>0</v>
      </c>
      <c r="Q31" s="20" t="n">
        <f aca="false">+I187</f>
        <v>0</v>
      </c>
      <c r="R31" s="20" t="n">
        <f aca="false">+I188</f>
        <v>0</v>
      </c>
      <c r="S31" s="20" t="n">
        <f aca="false">+I189</f>
        <v>0</v>
      </c>
      <c r="T31" s="20" t="n">
        <f aca="false">+I190</f>
        <v>0</v>
      </c>
      <c r="U31" s="20" t="n">
        <f aca="false">+I191</f>
        <v>0</v>
      </c>
      <c r="V31" s="20" t="n">
        <f aca="false">+I192</f>
        <v>0</v>
      </c>
      <c r="W31" s="20" t="n">
        <f aca="false">+I193</f>
        <v>0</v>
      </c>
      <c r="X31" s="20" t="n">
        <f aca="false">+I194</f>
        <v>0</v>
      </c>
      <c r="Y31" s="20" t="n">
        <f aca="false">+I195</f>
        <v>0</v>
      </c>
      <c r="Z31" s="20" t="n">
        <f aca="false">+I196</f>
        <v>0</v>
      </c>
      <c r="AA31" s="20" t="n">
        <f aca="false">+I197</f>
        <v>0</v>
      </c>
      <c r="AD31" s="21" t="n">
        <v>2020</v>
      </c>
      <c r="AE31" s="36"/>
      <c r="AF31" s="36"/>
      <c r="AG31" s="36"/>
      <c r="AH31" s="36"/>
      <c r="AI31" s="36"/>
      <c r="AJ31" s="36"/>
      <c r="AK31" s="36"/>
      <c r="AL31" s="36"/>
      <c r="AM31" s="36"/>
      <c r="AN31" s="36"/>
      <c r="AO31" s="36"/>
      <c r="AP31" s="36"/>
      <c r="AQ31" s="37"/>
      <c r="AR31" s="25"/>
      <c r="AV31" s="9"/>
      <c r="BC31" s="9"/>
      <c r="BD31" s="43"/>
    </row>
    <row r="32" customFormat="false" ht="15" hidden="false" customHeight="false" outlineLevel="0" collapsed="false">
      <c r="A32" s="17" t="n">
        <v>39568</v>
      </c>
      <c r="B32" s="23" t="n">
        <v>12416.18</v>
      </c>
      <c r="C32" s="24" t="n">
        <f aca="false">(B32/B31-1)/(A32-A31)*360</f>
        <v>0.062888162928239</v>
      </c>
      <c r="D32" s="19" t="n">
        <f aca="false">B32/$B$3*100</f>
        <v>113.357265587768</v>
      </c>
      <c r="E32" s="19"/>
      <c r="F32" s="19"/>
      <c r="O32" s="3" t="n">
        <v>2022</v>
      </c>
      <c r="P32" s="20" t="n">
        <f aca="false">+I198</f>
        <v>0</v>
      </c>
      <c r="Q32" s="20" t="n">
        <f aca="false">+I199</f>
        <v>0</v>
      </c>
      <c r="R32" s="20" t="n">
        <f aca="false">+I200</f>
        <v>0</v>
      </c>
      <c r="S32" s="20" t="n">
        <f aca="false">+I201</f>
        <v>0</v>
      </c>
      <c r="T32" s="20" t="n">
        <f aca="false">+I202</f>
        <v>0</v>
      </c>
      <c r="U32" s="20" t="n">
        <f aca="false">+I203</f>
        <v>0</v>
      </c>
      <c r="V32" s="20" t="n">
        <f aca="false">+I204</f>
        <v>0</v>
      </c>
      <c r="W32" s="20" t="n">
        <f aca="false">+I205</f>
        <v>0</v>
      </c>
      <c r="X32" s="20" t="n">
        <f aca="false">+I206</f>
        <v>0</v>
      </c>
      <c r="Y32" s="20" t="n">
        <f aca="false">+I207</f>
        <v>0</v>
      </c>
      <c r="Z32" s="20" t="n">
        <f aca="false">+I208</f>
        <v>0</v>
      </c>
      <c r="AA32" s="20" t="n">
        <f aca="false">+I209</f>
        <v>0</v>
      </c>
      <c r="AD32" s="21" t="n">
        <v>2021</v>
      </c>
      <c r="AE32" s="36"/>
      <c r="AF32" s="36"/>
      <c r="AG32" s="36"/>
      <c r="AH32" s="36"/>
      <c r="AI32" s="36"/>
      <c r="AJ32" s="36"/>
      <c r="AK32" s="36"/>
      <c r="AL32" s="36"/>
      <c r="AM32" s="36"/>
      <c r="AN32" s="36"/>
      <c r="AO32" s="36"/>
      <c r="AP32" s="36"/>
      <c r="AQ32" s="37"/>
      <c r="AR32" s="25"/>
      <c r="BC32" s="9"/>
      <c r="BD32" s="43"/>
    </row>
    <row r="33" customFormat="false" ht="15" hidden="false" customHeight="false" outlineLevel="0" collapsed="false">
      <c r="A33" s="17" t="n">
        <v>39598</v>
      </c>
      <c r="B33" s="23" t="n">
        <v>12481.48</v>
      </c>
      <c r="C33" s="24" t="n">
        <f aca="false">(B33/B32-1)/(A33-A32)*360</f>
        <v>0.0631111984523418</v>
      </c>
      <c r="D33" s="19" t="n">
        <f aca="false">B33/$B$3*100</f>
        <v>113.953441661478</v>
      </c>
      <c r="E33" s="19"/>
      <c r="F33" s="19"/>
      <c r="O33" s="3" t="n">
        <v>2023</v>
      </c>
      <c r="P33" s="20" t="n">
        <f aca="false">+I210</f>
        <v>0</v>
      </c>
      <c r="Q33" s="20" t="n">
        <f aca="false">+I211</f>
        <v>0.019285714285715</v>
      </c>
      <c r="R33" s="20" t="n">
        <f aca="false">+I212</f>
        <v>0.0394247338669394</v>
      </c>
      <c r="S33" s="20" t="n">
        <f aca="false">+I213</f>
        <v>0.0498983552023662</v>
      </c>
      <c r="T33" s="20" t="n">
        <f aca="false">+I214</f>
        <v>0.0519068560305696</v>
      </c>
      <c r="U33" s="20" t="n">
        <f aca="false">+I215</f>
        <v>0.0449881610102612</v>
      </c>
      <c r="V33" s="20" t="n">
        <f aca="false">+I216</f>
        <v>0.0547886136071062</v>
      </c>
      <c r="W33" s="20" t="n">
        <f aca="false">+I217</f>
        <v>0.0568034788975063</v>
      </c>
      <c r="X33" s="20" t="n">
        <f aca="false">+I218</f>
        <v>0.0572429906542062</v>
      </c>
      <c r="Y33" s="20" t="n">
        <f aca="false">+I219</f>
        <v>0.0607593037683908</v>
      </c>
      <c r="Z33" s="20" t="n">
        <f aca="false">+I220</f>
        <v>0.0543614457831323</v>
      </c>
      <c r="AA33" s="20" t="n">
        <f aca="false">+I221</f>
        <v>0.0523706056047676</v>
      </c>
      <c r="AD33" s="21" t="n">
        <v>2022</v>
      </c>
      <c r="AE33" s="36"/>
      <c r="AF33" s="36"/>
      <c r="AG33" s="36"/>
      <c r="AH33" s="36"/>
      <c r="AI33" s="36"/>
      <c r="AJ33" s="36"/>
      <c r="AK33" s="36"/>
      <c r="AL33" s="36"/>
      <c r="AM33" s="36"/>
      <c r="AN33" s="36"/>
      <c r="AO33" s="36"/>
      <c r="AP33" s="36"/>
      <c r="AQ33" s="37"/>
      <c r="AR33" s="9"/>
      <c r="AS33" s="9"/>
      <c r="BD33" s="43"/>
    </row>
    <row r="34" customFormat="false" ht="15" hidden="false" customHeight="false" outlineLevel="0" collapsed="false">
      <c r="A34" s="17" t="n">
        <v>39629</v>
      </c>
      <c r="B34" s="23" t="n">
        <v>12552.23</v>
      </c>
      <c r="C34" s="24" t="n">
        <f aca="false">(B34/B33-1)/(A34-A33)*360</f>
        <v>0.0658265608906796</v>
      </c>
      <c r="D34" s="19" t="n">
        <f aca="false">B34/$B$3*100</f>
        <v>114.599375156348</v>
      </c>
      <c r="E34" s="19"/>
      <c r="F34" s="19"/>
      <c r="O34" s="3" t="n">
        <v>2024</v>
      </c>
      <c r="P34" s="20" t="n">
        <f aca="false">+I222</f>
        <v>0.0532447564083218</v>
      </c>
      <c r="Q34" s="20" t="n">
        <f aca="false">+I223</f>
        <v>0.0483945533176177</v>
      </c>
      <c r="R34" s="20" t="n">
        <f aca="false">+I224</f>
        <v>0.0439966024845872</v>
      </c>
      <c r="S34" s="20" t="n">
        <f aca="false">+I225</f>
        <v>0.055482166446498</v>
      </c>
      <c r="T34" s="20" t="n">
        <f aca="false">+I226</f>
        <v>0.0469009898290282</v>
      </c>
      <c r="U34" s="20" t="n">
        <f aca="false">+I227</f>
        <v>0.0550046772684771</v>
      </c>
      <c r="V34" s="20" t="n">
        <f aca="false">+I228</f>
        <v>0.035685427549268</v>
      </c>
      <c r="W34" s="20" t="n">
        <f aca="false">+I229</f>
        <v>0.0388102967071142</v>
      </c>
      <c r="X34" s="20" t="n">
        <f aca="false">+I230</f>
        <v>0.0388601036269431</v>
      </c>
      <c r="Y34" s="20" t="n">
        <f aca="false">+I231</f>
        <v>0.0406981760196111</v>
      </c>
      <c r="Z34" s="20" t="n">
        <f aca="false">+I232</f>
        <v>0.0441135925006888</v>
      </c>
      <c r="AA34" s="20" t="n">
        <f aca="false">+I233</f>
        <v>0.043073762496416</v>
      </c>
      <c r="AD34" s="21" t="n">
        <v>2023</v>
      </c>
      <c r="AE34" s="36" t="n">
        <f aca="false">+P33</f>
        <v>0</v>
      </c>
      <c r="AF34" s="36" t="n">
        <f aca="false">+Q33</f>
        <v>0.019285714285715</v>
      </c>
      <c r="AG34" s="36" t="n">
        <f aca="false">+R33</f>
        <v>0.0394247338669394</v>
      </c>
      <c r="AH34" s="36" t="n">
        <f aca="false">+S33</f>
        <v>0.0498983552023662</v>
      </c>
      <c r="AI34" s="36" t="n">
        <f aca="false">+T33</f>
        <v>0.0519068560305696</v>
      </c>
      <c r="AJ34" s="36" t="n">
        <f aca="false">+U33</f>
        <v>0.0449881610102612</v>
      </c>
      <c r="AK34" s="36" t="n">
        <f aca="false">+V33</f>
        <v>0.0547886136071062</v>
      </c>
      <c r="AL34" s="36" t="n">
        <f aca="false">+W33</f>
        <v>0.0568034788975063</v>
      </c>
      <c r="AM34" s="36" t="n">
        <f aca="false">+X33</f>
        <v>0.0572429906542062</v>
      </c>
      <c r="AN34" s="36" t="n">
        <f aca="false">+Y33</f>
        <v>0.0607593037683908</v>
      </c>
      <c r="AO34" s="36" t="n">
        <f aca="false">+Z33</f>
        <v>0.0543614457831323</v>
      </c>
      <c r="AP34" s="36" t="n">
        <f aca="false">+AA33</f>
        <v>0.0523706056047676</v>
      </c>
      <c r="AQ34" s="37" t="n">
        <f aca="false">+(H221/H210-1)/COUNTA(AE34:AP34)*12</f>
        <v>0.0468999999999999</v>
      </c>
    </row>
    <row r="35" customFormat="false" ht="15" hidden="false" customHeight="false" outlineLevel="0" collapsed="false">
      <c r="A35" s="17" t="n">
        <v>39660</v>
      </c>
      <c r="B35" s="23" t="n">
        <v>12628.9</v>
      </c>
      <c r="C35" s="24" t="n">
        <f aca="false">(B35/B34-1)/(A35-A34)*360</f>
        <v>0.0709325187892965</v>
      </c>
      <c r="D35" s="19" t="n">
        <f aca="false">B35/$B$3*100</f>
        <v>115.29935707934</v>
      </c>
      <c r="E35" s="19"/>
      <c r="F35" s="19"/>
      <c r="O35" s="3" t="n">
        <v>2025</v>
      </c>
      <c r="P35" s="20" t="n">
        <f aca="false">+I234</f>
        <v>0.0402581785811478</v>
      </c>
      <c r="Q35" s="20" t="n">
        <f aca="false">+I235</f>
        <v>0.0409109229604843</v>
      </c>
      <c r="R35" s="20" t="n">
        <f aca="false">+I236</f>
        <v>0.0431490971762111</v>
      </c>
      <c r="S35" s="20" t="n">
        <f aca="false">+I237</f>
        <v>0.0455058158172701</v>
      </c>
      <c r="T35" s="20" t="n">
        <f aca="false">+I238</f>
        <v>0.0417823988921854</v>
      </c>
      <c r="U35" s="20" t="n">
        <f aca="false">+I239</f>
        <v>0.0451713793914665</v>
      </c>
      <c r="V35" s="20" t="n">
        <f aca="false">+I240</f>
        <v>0.0476979503764599</v>
      </c>
      <c r="W35" s="20" t="n">
        <f aca="false">+I241</f>
        <v>0.0516335226540568</v>
      </c>
      <c r="X35" s="20" t="n">
        <f aca="false">+I242</f>
        <v>0.0488689866038641</v>
      </c>
      <c r="Y35" s="20" t="n">
        <f aca="false">+I243</f>
        <v>0.0491486127013515</v>
      </c>
      <c r="Z35" s="20" t="n">
        <f aca="false">+I244</f>
        <v>0.047412059262542</v>
      </c>
      <c r="AA35" s="20" t="n">
        <f aca="false">+I245</f>
        <v>0.0517956780822437</v>
      </c>
      <c r="AD35" s="21" t="n">
        <v>2024</v>
      </c>
      <c r="AE35" s="36" t="n">
        <f aca="false">+P34</f>
        <v>0.0532447564083218</v>
      </c>
      <c r="AF35" s="36" t="n">
        <f aca="false">+Q34</f>
        <v>0.0483945533176177</v>
      </c>
      <c r="AG35" s="36" t="n">
        <f aca="false">+R34</f>
        <v>0.0439966024845872</v>
      </c>
      <c r="AH35" s="36" t="n">
        <f aca="false">+S34</f>
        <v>0.055482166446498</v>
      </c>
      <c r="AI35" s="36" t="n">
        <f aca="false">+T34</f>
        <v>0.0469009898290282</v>
      </c>
      <c r="AJ35" s="36" t="n">
        <f aca="false">+U34</f>
        <v>0.0550046772684771</v>
      </c>
      <c r="AK35" s="36" t="n">
        <f aca="false">+V34</f>
        <v>0.035685427549268</v>
      </c>
      <c r="AL35" s="36" t="n">
        <f aca="false">+W34</f>
        <v>0.0388102967071142</v>
      </c>
      <c r="AM35" s="36" t="n">
        <f aca="false">+X34</f>
        <v>0.0388601036269431</v>
      </c>
      <c r="AN35" s="36" t="n">
        <f aca="false">+Y34</f>
        <v>0.0406981760196111</v>
      </c>
      <c r="AO35" s="36" t="n">
        <f aca="false">+Z34</f>
        <v>0.0441135925006888</v>
      </c>
      <c r="AP35" s="36" t="n">
        <f aca="false">+AA34</f>
        <v>0.043073762496416</v>
      </c>
      <c r="AQ35" s="37" t="n">
        <f aca="false">+(H233/H221-1)/COUNTA(AE35:AP35)*12</f>
        <v>0.0470443599003738</v>
      </c>
      <c r="AR35" s="9"/>
      <c r="AS35" s="9"/>
    </row>
    <row r="36" customFormat="false" ht="15" hidden="false" customHeight="false" outlineLevel="0" collapsed="false">
      <c r="A36" s="17"/>
      <c r="B36" s="23"/>
      <c r="C36" s="24"/>
      <c r="D36" s="19"/>
      <c r="E36" s="19"/>
      <c r="F36" s="19"/>
      <c r="O36" s="3" t="n">
        <v>2026</v>
      </c>
      <c r="P36" s="20" t="n">
        <f aca="false">+I246</f>
        <v>0.0485324100400162</v>
      </c>
      <c r="Q36" s="20" t="n">
        <f aca="false">+I247</f>
        <v>0.0390167521678486</v>
      </c>
      <c r="R36" s="20" t="n">
        <f aca="false">+I248</f>
        <v>0.055211070462702</v>
      </c>
      <c r="S36" s="20" t="n">
        <f aca="false">+I249</f>
        <v>0.0485223590786186</v>
      </c>
      <c r="T36" s="20"/>
      <c r="U36" s="20"/>
      <c r="V36" s="20"/>
      <c r="W36" s="20"/>
      <c r="X36" s="20"/>
      <c r="Y36" s="20"/>
      <c r="Z36" s="20"/>
      <c r="AA36" s="20"/>
      <c r="AD36" s="21" t="n">
        <v>2025</v>
      </c>
      <c r="AE36" s="36" t="n">
        <f aca="false">+P35</f>
        <v>0.0402581785811478</v>
      </c>
      <c r="AF36" s="36" t="n">
        <f aca="false">+Q35</f>
        <v>0.0409109229604843</v>
      </c>
      <c r="AG36" s="36" t="n">
        <f aca="false">+R35</f>
        <v>0.0431490971762111</v>
      </c>
      <c r="AH36" s="36" t="n">
        <f aca="false">+S35</f>
        <v>0.0455058158172701</v>
      </c>
      <c r="AI36" s="36" t="n">
        <f aca="false">+T35</f>
        <v>0.0417823988921854</v>
      </c>
      <c r="AJ36" s="36" t="n">
        <f aca="false">+U35</f>
        <v>0.0451713793914665</v>
      </c>
      <c r="AK36" s="36" t="n">
        <f aca="false">+V35</f>
        <v>0.0476979503764599</v>
      </c>
      <c r="AL36" s="36" t="n">
        <f aca="false">+W35</f>
        <v>0.0516335226540568</v>
      </c>
      <c r="AM36" s="36" t="n">
        <f aca="false">+X35</f>
        <v>0.0488689866038641</v>
      </c>
      <c r="AN36" s="36" t="n">
        <f aca="false">+Y35</f>
        <v>0.0491486127013515</v>
      </c>
      <c r="AO36" s="36" t="n">
        <f aca="false">+Z35</f>
        <v>0.047412059262542</v>
      </c>
      <c r="AP36" s="36" t="n">
        <f aca="false">+AA35</f>
        <v>0.0517956780822437</v>
      </c>
      <c r="AQ36" s="37" t="n">
        <f aca="false">+(H245/H234-1)/COUNTA(AE36:AP36)*12</f>
        <v>0.0441837967973213</v>
      </c>
      <c r="AR36" s="9"/>
      <c r="AS36" s="9"/>
    </row>
    <row r="37" customFormat="false" ht="15" hidden="false" customHeight="false" outlineLevel="0" collapsed="false">
      <c r="A37" s="17" t="n">
        <v>39689</v>
      </c>
      <c r="B37" s="23" t="n">
        <v>12704.63</v>
      </c>
      <c r="C37" s="24" t="n">
        <f aca="false">(B37/B35-1)/(A37-A35)*360</f>
        <v>0.0744400978489139</v>
      </c>
      <c r="D37" s="19" t="n">
        <f aca="false">B37/$B$3*100</f>
        <v>115.990756988407</v>
      </c>
      <c r="E37" s="19"/>
      <c r="F37" s="19"/>
      <c r="P37" s="10" t="n">
        <v>31</v>
      </c>
      <c r="Q37" s="10" t="n">
        <v>28</v>
      </c>
      <c r="R37" s="10"/>
      <c r="S37" s="10" t="n">
        <v>30</v>
      </c>
      <c r="T37" s="10" t="n">
        <v>31</v>
      </c>
      <c r="U37" s="10" t="n">
        <v>30</v>
      </c>
      <c r="V37" s="10" t="n">
        <v>31</v>
      </c>
      <c r="W37" s="10" t="n">
        <v>31</v>
      </c>
      <c r="X37" s="10" t="n">
        <v>30</v>
      </c>
      <c r="Y37" s="10" t="n">
        <v>31</v>
      </c>
      <c r="Z37" s="10" t="n">
        <v>30</v>
      </c>
      <c r="AA37" s="10" t="n">
        <v>31</v>
      </c>
      <c r="AD37" s="21" t="n">
        <v>2026</v>
      </c>
      <c r="AE37" s="36" t="n">
        <f aca="false">+P36</f>
        <v>0.0485324100400162</v>
      </c>
      <c r="AF37" s="36" t="n">
        <f aca="false">+Q36</f>
        <v>0.0390167521678486</v>
      </c>
      <c r="AG37" s="36" t="n">
        <f aca="false">+R36</f>
        <v>0.055211070462702</v>
      </c>
      <c r="AH37" s="36" t="n">
        <f aca="false">+S36</f>
        <v>0.0485223590786186</v>
      </c>
      <c r="AQ37" s="37" t="n">
        <f aca="false">+(H249/H246-1)/COUNTA(AE37:AP37)*12</f>
        <v>0.0356353003133025</v>
      </c>
      <c r="AR37" s="25"/>
      <c r="AS37" s="9"/>
    </row>
    <row r="38" customFormat="false" ht="15" hidden="false" customHeight="false" outlineLevel="0" collapsed="false">
      <c r="A38" s="17" t="n">
        <v>39721</v>
      </c>
      <c r="B38" s="23" t="n">
        <v>12796.95</v>
      </c>
      <c r="C38" s="24" t="n">
        <f aca="false">(B38/B37-1)/(A38-A37)*360</f>
        <v>0.0817497243131052</v>
      </c>
      <c r="D38" s="19" t="n">
        <f aca="false">B38/$B$3*100</f>
        <v>116.833620313444</v>
      </c>
      <c r="E38" s="19"/>
      <c r="F38" s="19"/>
      <c r="P38" s="10" t="n">
        <v>1</v>
      </c>
      <c r="Q38" s="10" t="n">
        <v>2</v>
      </c>
      <c r="R38" s="10" t="n">
        <v>3</v>
      </c>
      <c r="S38" s="10" t="n">
        <v>4</v>
      </c>
      <c r="T38" s="10" t="n">
        <v>4</v>
      </c>
      <c r="U38" s="10" t="n">
        <v>6</v>
      </c>
      <c r="V38" s="10" t="n">
        <v>7</v>
      </c>
      <c r="W38" s="10" t="n">
        <v>8</v>
      </c>
      <c r="X38" s="10" t="n">
        <v>9</v>
      </c>
      <c r="Y38" s="10" t="n">
        <v>10</v>
      </c>
      <c r="Z38" s="10" t="n">
        <v>11</v>
      </c>
      <c r="AA38" s="10" t="n">
        <v>12</v>
      </c>
      <c r="AD38" s="25" t="s">
        <v>27</v>
      </c>
      <c r="AR38" s="25" t="s">
        <v>23</v>
      </c>
    </row>
    <row r="39" customFormat="false" ht="15.75" hidden="false" customHeight="true" outlineLevel="0" collapsed="false">
      <c r="A39" s="17" t="n">
        <v>39752</v>
      </c>
      <c r="B39" s="23" t="n">
        <v>12885.37</v>
      </c>
      <c r="C39" s="24" t="n">
        <f aca="false">(B39/B38-1)/(A39-A38)*360</f>
        <v>0.080238877484542</v>
      </c>
      <c r="D39" s="19" t="n">
        <f aca="false">B39/$B$3*100</f>
        <v>117.640877410496</v>
      </c>
      <c r="E39" s="19"/>
      <c r="F39" s="19"/>
      <c r="O39" s="32" t="s">
        <v>25</v>
      </c>
      <c r="P39" s="3" t="s">
        <v>4</v>
      </c>
      <c r="Q39" s="3" t="s">
        <v>5</v>
      </c>
      <c r="R39" s="3" t="s">
        <v>6</v>
      </c>
      <c r="S39" s="3" t="s">
        <v>7</v>
      </c>
      <c r="T39" s="3" t="s">
        <v>8</v>
      </c>
      <c r="U39" s="3" t="s">
        <v>9</v>
      </c>
      <c r="V39" s="3" t="s">
        <v>10</v>
      </c>
      <c r="W39" s="3" t="s">
        <v>11</v>
      </c>
      <c r="X39" s="3" t="s">
        <v>12</v>
      </c>
      <c r="Y39" s="3" t="s">
        <v>13</v>
      </c>
      <c r="Z39" s="3" t="s">
        <v>14</v>
      </c>
      <c r="AA39" s="3" t="s">
        <v>15</v>
      </c>
      <c r="AD39" s="33" t="s">
        <v>25</v>
      </c>
      <c r="AE39" s="8" t="s">
        <v>4</v>
      </c>
      <c r="AF39" s="8" t="s">
        <v>5</v>
      </c>
      <c r="AG39" s="8" t="s">
        <v>6</v>
      </c>
      <c r="AH39" s="8" t="s">
        <v>7</v>
      </c>
      <c r="AI39" s="8" t="s">
        <v>8</v>
      </c>
      <c r="AJ39" s="8" t="s">
        <v>9</v>
      </c>
      <c r="AK39" s="8" t="s">
        <v>10</v>
      </c>
      <c r="AL39" s="8" t="s">
        <v>11</v>
      </c>
      <c r="AM39" s="8" t="s">
        <v>12</v>
      </c>
      <c r="AN39" s="8" t="s">
        <v>13</v>
      </c>
      <c r="AO39" s="8" t="s">
        <v>14</v>
      </c>
      <c r="AP39" s="8" t="s">
        <v>15</v>
      </c>
      <c r="AQ39" s="8" t="s">
        <v>16</v>
      </c>
      <c r="AR39" s="25"/>
    </row>
    <row r="40" customFormat="false" ht="15" hidden="false" customHeight="false" outlineLevel="0" collapsed="false">
      <c r="A40" s="17" t="n">
        <v>39780</v>
      </c>
      <c r="B40" s="23" t="n">
        <v>12970.93</v>
      </c>
      <c r="C40" s="24" t="n">
        <f aca="false">(B40/B39-1)/(A40-A39)*360</f>
        <v>0.0853725692670948</v>
      </c>
      <c r="D40" s="19" t="n">
        <f aca="false">B40/$B$3*100</f>
        <v>118.422023273691</v>
      </c>
      <c r="E40" s="19"/>
      <c r="F40" s="19"/>
      <c r="O40" s="3" t="n">
        <v>2017</v>
      </c>
      <c r="P40" s="20"/>
      <c r="Q40" s="20"/>
      <c r="R40" s="20"/>
      <c r="S40" s="20"/>
      <c r="T40" s="20" t="n">
        <f aca="false">LOOKUP(DATE($O40,T$25,T$24),$A$2:$A$2943,$L$2:$L$2943)</f>
        <v>0.00461976415837619</v>
      </c>
      <c r="U40" s="20" t="n">
        <f aca="false">LOOKUP(DATE($O40,U$25,U$24),$A$2:$A$2943,$L$2:$L$2943)</f>
        <v>0.00499805452867808</v>
      </c>
      <c r="V40" s="20" t="n">
        <f aca="false">LOOKUP(DATE($O40,V$25,V$24),$A$2:$A$2943,$L$2:$L$2943)</f>
        <v>0.00475072953300128</v>
      </c>
      <c r="W40" s="20" t="n">
        <f aca="false">LOOKUP(DATE($O40,W$25,W$24),$A$2:$A$2943,$L$2:$L$2943)</f>
        <v>0.00608975562125598</v>
      </c>
      <c r="X40" s="20" t="n">
        <f aca="false">LOOKUP(DATE($O40,X$25,X$24),$A$2:$A$2943,$L$2:$L$2943)</f>
        <v>0.00677871638909089</v>
      </c>
      <c r="Y40" s="20" t="n">
        <f aca="false">LOOKUP(DATE($O40,Y$25,Y$24),$A$2:$A$2943,$L$2:$L$2943)</f>
        <v>0.00727284837170217</v>
      </c>
      <c r="Z40" s="20" t="n">
        <f aca="false">LOOKUP(DATE($O40,Z$25,Z$24),$A$2:$A$2943,$L$2:$L$2943)</f>
        <v>0.00785836679767815</v>
      </c>
      <c r="AA40" s="20" t="n">
        <f aca="false">LOOKUP(DATE($O40,AA$25,AA$24),$A$2:$A$2943,$L$2:$L$2943)</f>
        <v>0.00960372788658366</v>
      </c>
      <c r="AD40" s="21" t="n">
        <v>2017</v>
      </c>
      <c r="AE40" s="36"/>
      <c r="AF40" s="36"/>
      <c r="AG40" s="36"/>
      <c r="AH40" s="36"/>
      <c r="AI40" s="36" t="n">
        <f aca="false">+T40</f>
        <v>0.00461976415837619</v>
      </c>
      <c r="AJ40" s="36" t="n">
        <f aca="false">+U40</f>
        <v>0.00499805452867808</v>
      </c>
      <c r="AK40" s="36" t="n">
        <f aca="false">+V40</f>
        <v>0.00475072953300128</v>
      </c>
      <c r="AL40" s="36" t="n">
        <f aca="false">+W40</f>
        <v>0.00608975562125598</v>
      </c>
      <c r="AM40" s="36" t="n">
        <f aca="false">+X40</f>
        <v>0.00677871638909089</v>
      </c>
      <c r="AN40" s="36" t="n">
        <f aca="false">+Y40</f>
        <v>0.00727284837170217</v>
      </c>
      <c r="AO40" s="36" t="n">
        <f aca="false">+Z40</f>
        <v>0.00785836679767815</v>
      </c>
      <c r="AP40" s="36" t="n">
        <f aca="false">+AA40</f>
        <v>0.00960372788658366</v>
      </c>
      <c r="AQ40" s="37" t="n">
        <f aca="false">+(K149/K141-1)/8*12</f>
        <v>0.0066439551195101</v>
      </c>
      <c r="AR40" s="25"/>
      <c r="BE40" s="41"/>
      <c r="BF40" s="41"/>
      <c r="BG40" s="41"/>
      <c r="BH40" s="41"/>
      <c r="BI40" s="41"/>
      <c r="BJ40" s="41"/>
    </row>
    <row r="41" customFormat="false" ht="15" hidden="false" customHeight="true" outlineLevel="0" collapsed="false">
      <c r="A41" s="17" t="n">
        <v>39813</v>
      </c>
      <c r="B41" s="23" t="n">
        <v>13066.33</v>
      </c>
      <c r="C41" s="24" t="n">
        <f aca="false">(B41/B40-1)/(A41-A40)*360</f>
        <v>0.0802353626707769</v>
      </c>
      <c r="D41" s="19" t="n">
        <f aca="false">B41/$B$3*100</f>
        <v>119.293006389035</v>
      </c>
      <c r="E41" s="19"/>
      <c r="F41" s="19"/>
      <c r="O41" s="3" t="n">
        <v>2018</v>
      </c>
      <c r="P41" s="20" t="n">
        <f aca="false">LOOKUP(DATE($O41,P$25,P$24),$A$2:$A$2943,$L$2:$L$2943)</f>
        <v>0.0109677078200737</v>
      </c>
      <c r="Q41" s="20" t="n">
        <f aca="false">LOOKUP(DATE($O41,Q$25,Q$24),$A$2:$A$2943,$L$2:$L$2943)</f>
        <v>0.01062231324644</v>
      </c>
      <c r="R41" s="20" t="n">
        <f aca="false">LOOKUP(DATE($O41,R$25,R$24),$A$2:$A$2943,$L$2:$L$2943)</f>
        <v>0.010902695983241</v>
      </c>
      <c r="S41" s="20" t="n">
        <f aca="false">LOOKUP(DATE($O41,S$25,S$24),$A$2:$A$2943,$L$2:$L$2943)</f>
        <v>0.0122877033683277</v>
      </c>
      <c r="T41" s="20" t="n">
        <f aca="false">LOOKUP(DATE($O41,T$25,T$24),$A$2:$A$2943,$L$2:$L$2943)</f>
        <v>0.0135760494951163</v>
      </c>
      <c r="U41" s="20" t="n">
        <f aca="false">LOOKUP(DATE($O41,U$25,U$24),$A$2:$A$2943,$L$2:$L$2943)</f>
        <v>0.014993145885561</v>
      </c>
      <c r="V41" s="20" t="n">
        <f aca="false">LOOKUP(DATE($O41,V$25,V$24),$A$2:$A$2943,$L$2:$L$2943)</f>
        <v>0.0160176461573164</v>
      </c>
      <c r="W41" s="20" t="n">
        <f aca="false">LOOKUP(DATE($O41,W$25,W$24),$A$2:$A$2943,$L$2:$L$2943)</f>
        <v>0.0157735276011957</v>
      </c>
      <c r="X41" s="20" t="n">
        <f aca="false">LOOKUP(DATE($O41,X$25,X$24),$A$2:$A$2943,$L$2:$L$2943)</f>
        <v>0.0167052681026343</v>
      </c>
      <c r="Y41" s="20" t="n">
        <f aca="false">LOOKUP(DATE($O41,Y$25,Y$24),$A$2:$A$2943,$L$2:$L$2943)</f>
        <v>0.0169646796562127</v>
      </c>
      <c r="Z41" s="20" t="n">
        <f aca="false">LOOKUP(DATE($O41,Z$25,Z$24),$A$2:$A$2943,$L$2:$L$2943)</f>
        <v>0.0151749292964531</v>
      </c>
      <c r="AA41" s="20" t="n">
        <f aca="false">LOOKUP(DATE($O41,AA$25,AA$24),$A$2:$A$2943,$L$2:$L$2943)</f>
        <v>0.0181007589965598</v>
      </c>
      <c r="AD41" s="14" t="n">
        <v>2018</v>
      </c>
      <c r="AE41" s="36" t="n">
        <f aca="false">+P41</f>
        <v>0.0109677078200737</v>
      </c>
      <c r="AF41" s="36" t="n">
        <f aca="false">+Q41</f>
        <v>0.01062231324644</v>
      </c>
      <c r="AG41" s="36" t="n">
        <f aca="false">+R41</f>
        <v>0.010902695983241</v>
      </c>
      <c r="AH41" s="36" t="n">
        <f aca="false">+S41</f>
        <v>0.0122877033683277</v>
      </c>
      <c r="AI41" s="36" t="n">
        <f aca="false">+T41</f>
        <v>0.0135760494951163</v>
      </c>
      <c r="AJ41" s="36" t="n">
        <f aca="false">+U41</f>
        <v>0.014993145885561</v>
      </c>
      <c r="AK41" s="36" t="n">
        <f aca="false">+V41</f>
        <v>0.0160176461573164</v>
      </c>
      <c r="AL41" s="36" t="n">
        <f aca="false">+W41</f>
        <v>0.0157735276011957</v>
      </c>
      <c r="AM41" s="36" t="n">
        <f aca="false">+X41</f>
        <v>0.0167052681026343</v>
      </c>
      <c r="AN41" s="36" t="n">
        <f aca="false">+Y41</f>
        <v>0.0169646796562127</v>
      </c>
      <c r="AO41" s="36" t="n">
        <f aca="false">+Z41</f>
        <v>0.0151749292964531</v>
      </c>
      <c r="AP41" s="36" t="n">
        <f aca="false">+AA41</f>
        <v>0.0181007589965598</v>
      </c>
      <c r="AQ41" s="16" t="n">
        <f aca="false">+K161/K149-1</f>
        <v>0.0146630282713482</v>
      </c>
      <c r="AR41" s="25"/>
      <c r="BE41" s="43"/>
      <c r="BF41" s="43"/>
      <c r="BG41" s="43"/>
      <c r="BH41" s="43"/>
      <c r="BI41" s="43"/>
      <c r="BJ41" s="45"/>
    </row>
    <row r="42" customFormat="false" ht="15" hidden="false" customHeight="true" outlineLevel="0" collapsed="false">
      <c r="A42" s="17" t="n">
        <v>39843</v>
      </c>
      <c r="B42" s="23" t="n">
        <v>13151.16</v>
      </c>
      <c r="C42" s="24" t="n">
        <f aca="false">(B42/B41-1)/(A42-A41)*360</f>
        <v>0.0779071093413384</v>
      </c>
      <c r="D42" s="19" t="n">
        <f aca="false">B42/$B$3*100</f>
        <v>120.067487496736</v>
      </c>
      <c r="E42" s="19"/>
      <c r="F42" s="19"/>
      <c r="O42" s="3" t="n">
        <v>2019</v>
      </c>
      <c r="P42" s="20" t="n">
        <f aca="false">LOOKUP(DATE($O42,P$25,P$24),$A$2:$A$2943,$L$2:$L$2943)</f>
        <v>0.0198713101170534</v>
      </c>
      <c r="Q42" s="20" t="n">
        <f aca="false">LOOKUP(DATE($O42,Q$25,Q$24),$A$2:$A$2943,$L$2:$L$2943)</f>
        <v>0.01927474533159</v>
      </c>
      <c r="R42" s="20" t="n">
        <f aca="false">LOOKUP(DATE($O42,R$25,R$24),$A$2:$A$2943,$L$2:$L$2943)</f>
        <v>0.0196973062141103</v>
      </c>
      <c r="S42" s="20" t="n">
        <f aca="false">LOOKUP(DATE($O42,S$25,S$24),$A$2:$A$2943,$L$2:$L$2943)</f>
        <v>0.0197704272384396</v>
      </c>
      <c r="T42" s="20" t="n">
        <f aca="false">LOOKUP(DATE($O42,T$25,T$24),$A$2:$A$2943,$L$2:$L$2943)</f>
        <v>0.0191403529689097</v>
      </c>
      <c r="U42" s="20" t="n">
        <f aca="false">LOOKUP(DATE($O42,U$25,U$24),$A$2:$A$2943,$L$2:$L$2943)</f>
        <v>0.0189832212301777</v>
      </c>
      <c r="V42" s="20" t="n">
        <f aca="false">LOOKUP(DATE($O42,V$25,V$24),$A$2:$A$2943,$L$2:$L$2943)</f>
        <v>0.018142071795383</v>
      </c>
      <c r="W42" s="20" t="n">
        <f aca="false">LOOKUP(DATE($O42,W$25,W$24),$A$2:$A$2943,$L$2:$L$2943)</f>
        <v>0.0175719841411174</v>
      </c>
      <c r="X42" s="20" t="n">
        <f aca="false">LOOKUP(DATE($O42,X$25,X$24),$A$2:$A$2943,$L$2:$L$2943)</f>
        <v>0.0172142449536121</v>
      </c>
      <c r="Y42" s="20" t="n">
        <f aca="false">LOOKUP(DATE($O42,Y$25,Y$24),$A$2:$A$2943,$L$2:$L$2943)</f>
        <v>0.0169273813131973</v>
      </c>
      <c r="Z42" s="20" t="n">
        <f aca="false">LOOKUP(DATE($O42,Z$25,Z$24),$A$2:$A$2943,$L$2:$L$2943)</f>
        <v>0.0169355019590594</v>
      </c>
      <c r="AA42" s="20" t="n">
        <f aca="false">LOOKUP(DATE($O42,AA$25,AA$24),$A$2:$A$2943,$L$2:$L$2943)</f>
        <v>0.0159787130043181</v>
      </c>
      <c r="AD42" s="21" t="n">
        <v>2019</v>
      </c>
      <c r="AE42" s="36" t="n">
        <f aca="false">+P42</f>
        <v>0.0198713101170534</v>
      </c>
      <c r="AF42" s="36" t="n">
        <f aca="false">+Q42</f>
        <v>0.01927474533159</v>
      </c>
      <c r="AG42" s="36" t="n">
        <f aca="false">+R42</f>
        <v>0.0196973062141103</v>
      </c>
      <c r="AH42" s="36" t="n">
        <f aca="false">+S42</f>
        <v>0.0197704272384396</v>
      </c>
      <c r="AI42" s="36" t="n">
        <f aca="false">+T42</f>
        <v>0.0191403529689097</v>
      </c>
      <c r="AJ42" s="36" t="n">
        <f aca="false">+U42</f>
        <v>0.0189832212301777</v>
      </c>
      <c r="AK42" s="36" t="n">
        <f aca="false">+V42</f>
        <v>0.018142071795383</v>
      </c>
      <c r="AL42" s="36" t="n">
        <f aca="false">+W42</f>
        <v>0.0175719841411174</v>
      </c>
      <c r="AM42" s="36" t="n">
        <f aca="false">+X42</f>
        <v>0.0172142449536121</v>
      </c>
      <c r="AN42" s="36" t="n">
        <f aca="false">+Y42</f>
        <v>0.0169273813131973</v>
      </c>
      <c r="AO42" s="36" t="n">
        <f aca="false">+Z42</f>
        <v>0.0169355019590594</v>
      </c>
      <c r="AP42" s="36" t="n">
        <f aca="false">+AA42</f>
        <v>0.0159787130043181</v>
      </c>
      <c r="AQ42" s="37" t="n">
        <f aca="false">+(K173/K161-1)/COUNTA(AE42:AP42)*12</f>
        <v>0.0186971479912803</v>
      </c>
      <c r="AR42" s="25"/>
      <c r="BE42" s="43"/>
      <c r="BF42" s="43"/>
      <c r="BG42" s="43"/>
      <c r="BH42" s="43"/>
      <c r="BI42" s="43"/>
      <c r="BJ42" s="45"/>
    </row>
    <row r="43" customFormat="false" ht="15" hidden="false" customHeight="true" outlineLevel="0" collapsed="false">
      <c r="A43" s="17" t="n">
        <v>39871</v>
      </c>
      <c r="B43" s="23" t="n">
        <v>13212.09</v>
      </c>
      <c r="C43" s="24" t="n">
        <f aca="false">(B43/B42-1)/(A43-A42)*360</f>
        <v>0.0595678034702428</v>
      </c>
      <c r="D43" s="19" t="n">
        <f aca="false">B43/$B$3*100</f>
        <v>120.623766335498</v>
      </c>
      <c r="E43" s="19"/>
      <c r="F43" s="19"/>
      <c r="O43" s="3" t="n">
        <v>2020</v>
      </c>
      <c r="P43" s="20" t="n">
        <f aca="false">LOOKUP(DATE($O43,P$25,P$24),$A$2:$A$2943,$L$2:$L$2943)</f>
        <v>0.0164025591991872</v>
      </c>
      <c r="Q43" s="20" t="n">
        <f aca="false">LOOKUP(DATE($O43,Q$25,Q$24)+1,$A$2:$A$2943,$L$2:$L$2943)</f>
        <v>0.0145977488716231</v>
      </c>
      <c r="R43" s="20" t="n">
        <f aca="false">LOOKUP(DATE($O43,R$25,R$24),$A:$A,$L:$L)</f>
        <v>0.0131447404561574</v>
      </c>
      <c r="S43" s="20" t="n">
        <f aca="false">LOOKUP(DATE($O43,S$25,S$24),$A:$A,$L:$L)</f>
        <v>0.0114662223173632</v>
      </c>
      <c r="T43" s="20" t="n">
        <f aca="false">LOOKUP(DATE($O43,T$25,T$24),$A:$A,$L:$L)</f>
        <v>0.01192552563636</v>
      </c>
      <c r="U43" s="20" t="n">
        <f aca="false">LOOKUP(DATE($O43,U$25,U$24),$A:$A,$L:$L)</f>
        <v>0.00127665524527654</v>
      </c>
      <c r="V43" s="20" t="n">
        <f aca="false">LOOKUP(DATE($O43,V$25,V$24),$A:$A,$L:$L)</f>
        <v>0.000178570475577957</v>
      </c>
      <c r="W43" s="20" t="n">
        <f aca="false">LOOKUP(DATE($O43,W$25,W$24),$A:$A,$L:$L)</f>
        <v>0.000209702615976486</v>
      </c>
      <c r="X43" s="20" t="n">
        <f aca="false">LOOKUP(DATE($O43,X$25,X$24),$A:$A,$L:$L)</f>
        <v>0.000175054262877339</v>
      </c>
      <c r="Y43" s="20" t="n">
        <f aca="false">LOOKUP(DATE($O43,Y$25,Y$24),$A:$A,$L:$L)</f>
        <v>0.000138271010097152</v>
      </c>
      <c r="Z43" s="20" t="n">
        <f aca="false">LOOKUP(DATE($O43,Z$25,Z$24),$A:$A,$L:$L)</f>
        <v>0.000527041303351794</v>
      </c>
      <c r="AA43" s="20" t="n">
        <f aca="false">LOOKUP(DATE($O43,AA$25,AA$24),$A:$A,$L:$L)</f>
        <v>0.000283851789943802</v>
      </c>
      <c r="AD43" s="21" t="n">
        <v>2020</v>
      </c>
      <c r="AE43" s="36" t="n">
        <f aca="false">+P43</f>
        <v>0.0164025591991872</v>
      </c>
      <c r="AF43" s="36" t="n">
        <f aca="false">+Q43</f>
        <v>0.0145977488716231</v>
      </c>
      <c r="AG43" s="36" t="n">
        <f aca="false">+R43</f>
        <v>0.0131447404561574</v>
      </c>
      <c r="AH43" s="36" t="n">
        <f aca="false">+S43</f>
        <v>0.0114662223173632</v>
      </c>
      <c r="AI43" s="36" t="n">
        <f aca="false">+T43</f>
        <v>0.01192552563636</v>
      </c>
      <c r="AJ43" s="36" t="n">
        <f aca="false">+U43</f>
        <v>0.00127665524527654</v>
      </c>
      <c r="AK43" s="36" t="n">
        <f aca="false">+V43</f>
        <v>0.000178570475577957</v>
      </c>
      <c r="AL43" s="36" t="n">
        <f aca="false">+W43</f>
        <v>0.000209702615976486</v>
      </c>
      <c r="AM43" s="36" t="n">
        <f aca="false">+X43</f>
        <v>0.000175054262877339</v>
      </c>
      <c r="AN43" s="36" t="n">
        <f aca="false">+Y43</f>
        <v>0.000138271010097152</v>
      </c>
      <c r="AO43" s="36" t="n">
        <f aca="false">+Z43</f>
        <v>0.000527041303351794</v>
      </c>
      <c r="AP43" s="36" t="n">
        <f aca="false">+AA43</f>
        <v>0.000283851789943802</v>
      </c>
      <c r="AQ43" s="37" t="n">
        <f aca="false">+(K185/K173-1)/COUNTA(AE43:AP43)*12</f>
        <v>0.00595172282622425</v>
      </c>
      <c r="AR43" s="9"/>
      <c r="AS43" s="9"/>
      <c r="BE43" s="43"/>
      <c r="BF43" s="43"/>
      <c r="BG43" s="43"/>
      <c r="BH43" s="43"/>
      <c r="BI43" s="43"/>
      <c r="BJ43" s="45"/>
    </row>
    <row r="44" customFormat="false" ht="15" hidden="false" customHeight="false" outlineLevel="0" collapsed="false">
      <c r="A44" s="17" t="n">
        <v>39903</v>
      </c>
      <c r="B44" s="23" t="n">
        <v>13251.18</v>
      </c>
      <c r="C44" s="24" t="n">
        <f aca="false">(B44/B43-1)/(A44-A43)*360</f>
        <v>0.0332848550078005</v>
      </c>
      <c r="D44" s="19" t="n">
        <f aca="false">B44/$B$3*100</f>
        <v>120.98065029754</v>
      </c>
      <c r="E44" s="19"/>
      <c r="F44" s="19"/>
      <c r="O44" s="3" t="n">
        <v>2021</v>
      </c>
      <c r="P44" s="46" t="n">
        <f aca="false">+L186</f>
        <v>0.00105297283799363</v>
      </c>
      <c r="Q44" s="46" t="n">
        <f aca="false">+L187</f>
        <v>0.000442960550999239</v>
      </c>
      <c r="R44" s="46" t="n">
        <f aca="false">+L188</f>
        <v>0.000266414573444698</v>
      </c>
      <c r="S44" s="46" t="n">
        <f aca="false">+L189</f>
        <v>0.000776673740979561</v>
      </c>
      <c r="T44" s="46" t="n">
        <f aca="false">+L190</f>
        <v>0.000144020614102569</v>
      </c>
      <c r="U44" s="46" t="n">
        <f aca="false">+L191</f>
        <v>0.000124322631686523</v>
      </c>
      <c r="V44" s="46" t="n">
        <f aca="false">+L192</f>
        <v>0.000162943417625779</v>
      </c>
      <c r="W44" s="46" t="n">
        <f aca="false">+L193</f>
        <v>0.000189487720177909</v>
      </c>
      <c r="X44" s="46" t="n">
        <f aca="false">+L194</f>
        <v>0.000166477960113376</v>
      </c>
      <c r="Y44" s="46" t="n">
        <f aca="false">+L195</f>
        <v>0.000170259188084883</v>
      </c>
      <c r="Z44" s="46" t="n">
        <f aca="false">+L196</f>
        <v>0.00044172152846933</v>
      </c>
      <c r="AA44" s="20" t="n">
        <f aca="false">+L197</f>
        <v>0.000351484748338829</v>
      </c>
      <c r="AD44" s="21" t="n">
        <v>2021</v>
      </c>
      <c r="AE44" s="36" t="n">
        <f aca="false">+P44</f>
        <v>0.00105297283799363</v>
      </c>
      <c r="AF44" s="36" t="n">
        <f aca="false">+Q44</f>
        <v>0.000442960550999239</v>
      </c>
      <c r="AG44" s="36" t="n">
        <f aca="false">+R44</f>
        <v>0.000266414573444698</v>
      </c>
      <c r="AH44" s="36" t="n">
        <f aca="false">+S44</f>
        <v>0.000776673740979561</v>
      </c>
      <c r="AI44" s="36" t="n">
        <f aca="false">+T44</f>
        <v>0.000144020614102569</v>
      </c>
      <c r="AJ44" s="36" t="n">
        <f aca="false">+U44</f>
        <v>0.000124322631686523</v>
      </c>
      <c r="AK44" s="36" t="n">
        <f aca="false">+V44</f>
        <v>0.000162943417625779</v>
      </c>
      <c r="AL44" s="36" t="n">
        <f aca="false">+W44</f>
        <v>0.000189487720177909</v>
      </c>
      <c r="AM44" s="36" t="n">
        <f aca="false">+X44</f>
        <v>0.000166477960113376</v>
      </c>
      <c r="AN44" s="36" t="n">
        <f aca="false">+Y44</f>
        <v>0.000170259188084883</v>
      </c>
      <c r="AO44" s="36" t="n">
        <f aca="false">+Z44</f>
        <v>0.00044172152846933</v>
      </c>
      <c r="AP44" s="36" t="n">
        <f aca="false">+AA44</f>
        <v>0.000351484748338829</v>
      </c>
      <c r="AQ44" s="37" t="n">
        <f aca="false">+(K196/K185-1)/COUNTA(AE44:AP44)*12</f>
        <v>0.000331783093648674</v>
      </c>
      <c r="AR44" s="9"/>
      <c r="AS44" s="9"/>
      <c r="BE44" s="43"/>
      <c r="BF44" s="43"/>
      <c r="BG44" s="43"/>
      <c r="BH44" s="43"/>
      <c r="BI44" s="43"/>
      <c r="BJ44" s="45"/>
    </row>
    <row r="45" customFormat="false" ht="15" hidden="false" customHeight="false" outlineLevel="0" collapsed="false">
      <c r="A45" s="17" t="n">
        <v>39933</v>
      </c>
      <c r="B45" s="23" t="n">
        <v>13272.62</v>
      </c>
      <c r="C45" s="24" t="n">
        <f aca="false">(B45/B44-1)/(A45-A44)*360</f>
        <v>0.0194156294005516</v>
      </c>
      <c r="D45" s="19" t="n">
        <f aca="false">B45/$B$3*100</f>
        <v>121.176393253441</v>
      </c>
      <c r="E45" s="19"/>
      <c r="F45" s="19"/>
      <c r="O45" s="3" t="n">
        <v>2022</v>
      </c>
      <c r="P45" s="46" t="n">
        <f aca="false">+L198</f>
        <v>0.000447580312410076</v>
      </c>
      <c r="Q45" s="46" t="n">
        <f aca="false">+L199</f>
        <v>0.000568475695417181</v>
      </c>
      <c r="R45" s="46" t="n">
        <f aca="false">+L200</f>
        <v>0.00060496135888121</v>
      </c>
      <c r="S45" s="46" t="n">
        <f aca="false">+L201</f>
        <v>0.00110549937868765</v>
      </c>
      <c r="T45" s="46" t="n">
        <f aca="false">+L202</f>
        <v>0.00386167744888149</v>
      </c>
      <c r="U45" s="46" t="n">
        <f aca="false">+L203</f>
        <v>0.00483698797535404</v>
      </c>
      <c r="V45" s="46" t="n">
        <f aca="false">+L204</f>
        <v>0.00702729204035357</v>
      </c>
      <c r="W45" s="46" t="n">
        <f aca="false">+L205</f>
        <v>0.0121278845874681</v>
      </c>
      <c r="X45" s="46" t="n">
        <f aca="false">+L206</f>
        <v>0.01681504628265</v>
      </c>
      <c r="Y45" s="46" t="n">
        <f aca="false">+L207</f>
        <v>0.0210289276020714</v>
      </c>
      <c r="Z45" s="46" t="n">
        <f aca="false">+L208</f>
        <v>0.0253690841076949</v>
      </c>
      <c r="AA45" s="20" t="n">
        <f aca="false">+L209</f>
        <v>0.0319200392960157</v>
      </c>
      <c r="AD45" s="21" t="n">
        <v>2022</v>
      </c>
      <c r="AE45" s="36" t="n">
        <f aca="false">+P45</f>
        <v>0.000447580312410076</v>
      </c>
      <c r="AF45" s="36" t="n">
        <f aca="false">+Q45</f>
        <v>0.000568475695417181</v>
      </c>
      <c r="AG45" s="36" t="n">
        <f aca="false">+R45</f>
        <v>0.00060496135888121</v>
      </c>
      <c r="AH45" s="36" t="n">
        <f aca="false">+S45</f>
        <v>0.00110549937868765</v>
      </c>
      <c r="AI45" s="36" t="n">
        <f aca="false">+T45</f>
        <v>0.00386167744888149</v>
      </c>
      <c r="AJ45" s="36" t="n">
        <f aca="false">+U45</f>
        <v>0.00483698797535404</v>
      </c>
      <c r="AK45" s="36" t="n">
        <f aca="false">+V45</f>
        <v>0.00702729204035357</v>
      </c>
      <c r="AL45" s="36" t="n">
        <f aca="false">+W45</f>
        <v>0.0121278845874681</v>
      </c>
      <c r="AM45" s="36" t="n">
        <f aca="false">+X45</f>
        <v>0.01681504628265</v>
      </c>
      <c r="AN45" s="36" t="n">
        <f aca="false">+Y45</f>
        <v>0.0210289276020714</v>
      </c>
      <c r="AO45" s="36" t="n">
        <f aca="false">+Z45</f>
        <v>0.0253690841076949</v>
      </c>
      <c r="AP45" s="36" t="n">
        <f aca="false">+AA45</f>
        <v>0.0319200392960157</v>
      </c>
      <c r="AQ45" s="37" t="n">
        <f aca="false">+(K209/K197-1)/COUNTA(AE45:AP45)*12</f>
        <v>0.010681629754838</v>
      </c>
      <c r="AR45" s="9"/>
      <c r="AS45" s="9"/>
      <c r="BE45" s="43"/>
      <c r="BF45" s="43"/>
      <c r="BG45" s="43"/>
      <c r="BH45" s="43"/>
      <c r="BI45" s="43"/>
      <c r="BJ45" s="45"/>
    </row>
    <row r="46" customFormat="false" ht="15" hidden="false" customHeight="false" outlineLevel="0" collapsed="false">
      <c r="A46" s="17" t="n">
        <v>39962</v>
      </c>
      <c r="B46" s="23" t="n">
        <v>13286.96</v>
      </c>
      <c r="C46" s="24" t="n">
        <f aca="false">(B46/B45-1)/(A46-A45)*360</f>
        <v>0.0134121065097501</v>
      </c>
      <c r="D46" s="19" t="n">
        <f aca="false">B46/$B$3*100</f>
        <v>121.307314614805</v>
      </c>
      <c r="E46" s="19"/>
      <c r="F46" s="19"/>
      <c r="O46" s="3" t="n">
        <v>2023</v>
      </c>
      <c r="P46" s="46" t="n">
        <f aca="false">+L210</f>
        <v>0.0383276049997572</v>
      </c>
      <c r="Q46" s="46" t="n">
        <f aca="false">+L211</f>
        <v>0.0411241495768592</v>
      </c>
      <c r="R46" s="46" t="n">
        <f aca="false">+L212</f>
        <v>0.0417672306314064</v>
      </c>
      <c r="S46" s="46" t="n">
        <f aca="false">+L213</f>
        <v>0.0427507209482243</v>
      </c>
      <c r="T46" s="46" t="n">
        <f aca="false">+L214</f>
        <v>0.044054542704353</v>
      </c>
      <c r="U46" s="46" t="n">
        <f aca="false">+L215</f>
        <v>0.0452305874437649</v>
      </c>
      <c r="V46" s="46" t="n">
        <f aca="false">+L216</f>
        <v>0.0457898349807127</v>
      </c>
      <c r="W46" s="46" t="n">
        <f aca="false">+L217</f>
        <v>0.0475288812275132</v>
      </c>
      <c r="X46" s="46" t="n">
        <f aca="false">+L218</f>
        <v>0.0467510125834263</v>
      </c>
      <c r="Y46" s="46" t="n">
        <f aca="false">+L219</f>
        <v>0.0457015944423733</v>
      </c>
      <c r="Z46" s="46" t="n">
        <f aca="false">+L220</f>
        <v>0.0421787975431398</v>
      </c>
      <c r="AA46" s="46" t="n">
        <f aca="false">+L221</f>
        <v>0.0455960393462514</v>
      </c>
      <c r="AD46" s="21" t="n">
        <v>2023</v>
      </c>
      <c r="AE46" s="36" t="n">
        <v>0</v>
      </c>
      <c r="AF46" s="36" t="n">
        <f aca="false">+Q46</f>
        <v>0.0411241495768592</v>
      </c>
      <c r="AG46" s="36" t="n">
        <f aca="false">+R46</f>
        <v>0.0417672306314064</v>
      </c>
      <c r="AH46" s="36" t="n">
        <f aca="false">+S46</f>
        <v>0.0427507209482243</v>
      </c>
      <c r="AI46" s="36" t="n">
        <f aca="false">+T46</f>
        <v>0.044054542704353</v>
      </c>
      <c r="AJ46" s="36" t="n">
        <f aca="false">+U46</f>
        <v>0.0452305874437649</v>
      </c>
      <c r="AK46" s="36" t="n">
        <f aca="false">+V46</f>
        <v>0.0457898349807127</v>
      </c>
      <c r="AL46" s="36" t="n">
        <f aca="false">+W46</f>
        <v>0.0475288812275132</v>
      </c>
      <c r="AM46" s="36" t="n">
        <f aca="false">+X46</f>
        <v>0.0467510125834263</v>
      </c>
      <c r="AN46" s="36" t="n">
        <f aca="false">+Y46</f>
        <v>0.0457015944423733</v>
      </c>
      <c r="AO46" s="36" t="n">
        <f aca="false">+Z46</f>
        <v>0.0421787975431398</v>
      </c>
      <c r="AP46" s="36" t="n">
        <f aca="false">+AA46</f>
        <v>0.0455960393462514</v>
      </c>
      <c r="AQ46" s="37" t="n">
        <f aca="false">+(K221/K209-1)/COUNTA(AE46:AP46)*12</f>
        <v>0.0455673709502875</v>
      </c>
      <c r="AR46" s="9"/>
      <c r="AS46" s="9"/>
      <c r="BD46" s="43"/>
      <c r="BE46" s="43"/>
      <c r="BF46" s="43"/>
      <c r="BG46" s="43"/>
      <c r="BH46" s="43"/>
      <c r="BI46" s="43"/>
      <c r="BJ46" s="45"/>
    </row>
    <row r="47" customFormat="false" ht="15.75" hidden="false" customHeight="true" outlineLevel="0" collapsed="false">
      <c r="A47" s="17" t="n">
        <v>39994</v>
      </c>
      <c r="B47" s="23" t="n">
        <v>13299.08</v>
      </c>
      <c r="C47" s="24" t="n">
        <f aca="false">(B47/B46-1)/(A47-A46)*360</f>
        <v>0.0102619410309063</v>
      </c>
      <c r="D47" s="19" t="n">
        <f aca="false">B47/$B$3*100</f>
        <v>121.417967815622</v>
      </c>
      <c r="E47" s="19"/>
      <c r="F47" s="19"/>
      <c r="O47" s="3" t="n">
        <v>2024</v>
      </c>
      <c r="P47" s="46" t="n">
        <f aca="false">+L222</f>
        <v>0.0445454963133814</v>
      </c>
      <c r="Q47" s="46" t="n">
        <f aca="false">+L223</f>
        <v>0.0436862818876143</v>
      </c>
      <c r="R47" s="46" t="n">
        <f aca="false">+L224</f>
        <v>0.038884481610189</v>
      </c>
      <c r="S47" s="46" t="n">
        <f aca="false">+L225</f>
        <v>0.0470863856243113</v>
      </c>
      <c r="T47" s="46" t="n">
        <f aca="false">+L226</f>
        <v>0.0425443167654457</v>
      </c>
      <c r="U47" s="46" t="n">
        <f aca="false">+L227</f>
        <v>0.0425188920123318</v>
      </c>
      <c r="V47" s="46" t="n">
        <f aca="false">+L228</f>
        <v>0.0422105443312281</v>
      </c>
      <c r="W47" s="46" t="n">
        <f aca="false">+L229</f>
        <v>0.0424908570489727</v>
      </c>
      <c r="X47" s="46" t="n">
        <f aca="false">+L230</f>
        <v>0.0408356007220485</v>
      </c>
      <c r="Y47" s="46" t="n">
        <f aca="false">+L231</f>
        <v>0.0394715018609717</v>
      </c>
      <c r="Z47" s="46" t="n">
        <f aca="false">+L232</f>
        <v>0.0376414999436587</v>
      </c>
      <c r="AA47" s="46" t="n">
        <f aca="false">+L233</f>
        <v>0.0368823086249106</v>
      </c>
      <c r="AD47" s="21" t="n">
        <v>2024</v>
      </c>
      <c r="AE47" s="36" t="n">
        <f aca="false">+P47</f>
        <v>0.0445454963133814</v>
      </c>
      <c r="AF47" s="36" t="n">
        <f aca="false">+Q47</f>
        <v>0.0436862818876143</v>
      </c>
      <c r="AG47" s="36" t="n">
        <f aca="false">+R47</f>
        <v>0.038884481610189</v>
      </c>
      <c r="AH47" s="36" t="n">
        <f aca="false">+S47</f>
        <v>0.0470863856243113</v>
      </c>
      <c r="AI47" s="36" t="n">
        <f aca="false">+T47</f>
        <v>0.0425443167654457</v>
      </c>
      <c r="AJ47" s="36" t="n">
        <f aca="false">+U47</f>
        <v>0.0425188920123318</v>
      </c>
      <c r="AK47" s="36" t="n">
        <f aca="false">+V47</f>
        <v>0.0422105443312281</v>
      </c>
      <c r="AL47" s="36" t="n">
        <f aca="false">+W47</f>
        <v>0.0424908570489727</v>
      </c>
      <c r="AM47" s="36" t="n">
        <f aca="false">+X47</f>
        <v>0.0408356007220485</v>
      </c>
      <c r="AN47" s="36" t="n">
        <f aca="false">+Y47</f>
        <v>0.0394715018609717</v>
      </c>
      <c r="AO47" s="36" t="n">
        <f aca="false">+Z47</f>
        <v>0.0376414999436587</v>
      </c>
      <c r="AP47" s="36" t="n">
        <f aca="false">+AA47</f>
        <v>0.0368823086249106</v>
      </c>
      <c r="AQ47" s="37" t="n">
        <f aca="false">+(K233/K221-1)/COUNTA(AE47:AP47)*12</f>
        <v>0.0430696712923655</v>
      </c>
      <c r="AR47" s="9"/>
      <c r="AS47" s="9"/>
      <c r="BD47" s="43"/>
      <c r="BE47" s="43"/>
      <c r="BF47" s="43"/>
      <c r="BG47" s="43"/>
      <c r="BH47" s="43"/>
      <c r="BI47" s="43"/>
      <c r="BJ47" s="45"/>
    </row>
    <row r="48" customFormat="false" ht="15" hidden="false" customHeight="false" outlineLevel="0" collapsed="false">
      <c r="A48" s="17" t="n">
        <v>40025</v>
      </c>
      <c r="B48" s="23" t="n">
        <v>13305.34</v>
      </c>
      <c r="C48" s="24" t="n">
        <f aca="false">(B48/B47-1)/(A48-A47)*360</f>
        <v>0.00546630099176441</v>
      </c>
      <c r="D48" s="19" t="n">
        <f aca="false">B48/$B$3*100</f>
        <v>121.47512037644</v>
      </c>
      <c r="E48" s="19"/>
      <c r="F48" s="19"/>
      <c r="O48" s="3" t="n">
        <v>2025</v>
      </c>
      <c r="P48" s="46" t="n">
        <f aca="false">+L234</f>
        <v>0.03582387922722</v>
      </c>
      <c r="Q48" s="46" t="n">
        <f aca="false">+L235</f>
        <v>0.0354634355529712</v>
      </c>
      <c r="R48" s="46" t="n">
        <f aca="false">+L236</f>
        <v>0.0344324443149157</v>
      </c>
      <c r="S48" s="46" t="n">
        <f aca="false">+L237</f>
        <v>0.0342774250055511</v>
      </c>
      <c r="T48" s="46" t="n">
        <f aca="false">+L238</f>
        <v>0.0339513431248578</v>
      </c>
      <c r="U48" s="46" t="n">
        <f aca="false">+L239</f>
        <v>0.034181635108931</v>
      </c>
      <c r="V48" s="46" t="n">
        <f aca="false">+L240</f>
        <v>0.0345951263014041</v>
      </c>
      <c r="W48" s="46" t="n">
        <f aca="false">+L241</f>
        <v>0.0349366166592406</v>
      </c>
      <c r="X48" s="46" t="n">
        <f aca="false">+L242</f>
        <v>0.0349182736758227</v>
      </c>
      <c r="Y48" s="46" t="n">
        <f aca="false">+L243</f>
        <v>0.034285095330797</v>
      </c>
      <c r="Z48" s="46" t="n">
        <f aca="false">+L244</f>
        <v>0.0336844637449225</v>
      </c>
      <c r="AA48" s="46" t="n">
        <f aca="false">+L245</f>
        <v>0.0336220480043213</v>
      </c>
      <c r="AD48" s="21" t="n">
        <v>2025</v>
      </c>
      <c r="AE48" s="36" t="n">
        <f aca="false">+P48</f>
        <v>0.03582387922722</v>
      </c>
      <c r="AF48" s="36" t="n">
        <f aca="false">+Q48</f>
        <v>0.0354634355529712</v>
      </c>
      <c r="AG48" s="36" t="n">
        <f aca="false">+R48</f>
        <v>0.0344324443149157</v>
      </c>
      <c r="AH48" s="36" t="n">
        <f aca="false">+S48</f>
        <v>0.0342774250055511</v>
      </c>
      <c r="AI48" s="36" t="n">
        <f aca="false">+T48</f>
        <v>0.0339513431248578</v>
      </c>
      <c r="AJ48" s="36" t="n">
        <f aca="false">+U48</f>
        <v>0.034181635108931</v>
      </c>
      <c r="AK48" s="36" t="n">
        <f aca="false">+V48</f>
        <v>0.0345951263014041</v>
      </c>
      <c r="AL48" s="36" t="n">
        <f aca="false">+W48</f>
        <v>0.0349366166592406</v>
      </c>
      <c r="AM48" s="36" t="n">
        <f aca="false">+X48</f>
        <v>0.0349182736758227</v>
      </c>
      <c r="AN48" s="36" t="n">
        <f aca="false">+Y48</f>
        <v>0.034285095330797</v>
      </c>
      <c r="AO48" s="36" t="n">
        <f aca="false">+Z48</f>
        <v>0.0336844637449225</v>
      </c>
      <c r="AP48" s="36" t="n">
        <f aca="false">+AA48</f>
        <v>0.0336220480043213</v>
      </c>
      <c r="AQ48" s="37" t="n">
        <f aca="false">+(K245/K234-1)/COUNTA(AE48:AP48)*12</f>
        <v>0.0323703789774887</v>
      </c>
      <c r="AR48" s="9"/>
      <c r="AS48" s="9"/>
      <c r="BD48" s="43"/>
      <c r="BE48" s="43"/>
      <c r="BF48" s="43"/>
      <c r="BG48" s="43"/>
      <c r="BH48" s="43"/>
      <c r="BI48" s="43"/>
      <c r="BJ48" s="45"/>
    </row>
    <row r="49" customFormat="false" ht="15" hidden="false" customHeight="false" outlineLevel="0" collapsed="false">
      <c r="A49" s="17" t="n">
        <v>40056</v>
      </c>
      <c r="B49" s="23" t="n">
        <v>13310.07</v>
      </c>
      <c r="C49" s="24" t="n">
        <f aca="false">(B49/B48-1)/(A49-A48)*360</f>
        <v>0.00412834487942919</v>
      </c>
      <c r="D49" s="19" t="n">
        <f aca="false">B49/$B$3*100</f>
        <v>121.518304340125</v>
      </c>
      <c r="E49" s="19"/>
      <c r="F49" s="19"/>
      <c r="O49" s="3" t="n">
        <v>2026</v>
      </c>
      <c r="P49" s="46" t="n">
        <f aca="false">+L246</f>
        <v>0.0334784763756968</v>
      </c>
      <c r="Q49" s="46" t="n">
        <f aca="false">+L247</f>
        <v>0.0325052491977638</v>
      </c>
      <c r="R49" s="46" t="n">
        <f aca="false">+L248</f>
        <v>0.0316662519400793</v>
      </c>
      <c r="S49" s="46" t="n">
        <f aca="false">+L249</f>
        <v>-12</v>
      </c>
      <c r="AD49" s="21" t="n">
        <v>2026</v>
      </c>
      <c r="AE49" s="36" t="n">
        <f aca="false">+P49</f>
        <v>0.0334784763756968</v>
      </c>
      <c r="AF49" s="36" t="n">
        <f aca="false">+Q49</f>
        <v>0.0325052491977638</v>
      </c>
      <c r="AG49" s="36" t="n">
        <f aca="false">+R49</f>
        <v>0.0316662519400793</v>
      </c>
      <c r="AH49" s="36" t="n">
        <f aca="false">+S49</f>
        <v>-12</v>
      </c>
      <c r="AI49" s="9"/>
      <c r="AJ49" s="9"/>
      <c r="AK49" s="9"/>
      <c r="AL49" s="9"/>
      <c r="AM49" s="9"/>
      <c r="AN49" s="9"/>
      <c r="AO49" s="9"/>
      <c r="AP49" s="9"/>
      <c r="AQ49" s="37" t="n">
        <f aca="false">+(K249/K246-1)/COUNTA(AE49:AP49)*12</f>
        <v>-3</v>
      </c>
      <c r="AR49" s="9"/>
      <c r="AS49" s="9"/>
      <c r="BD49" s="43"/>
      <c r="BE49" s="43"/>
      <c r="BF49" s="43"/>
      <c r="BG49" s="43"/>
      <c r="BH49" s="43"/>
      <c r="BI49" s="43"/>
      <c r="BJ49" s="45"/>
    </row>
    <row r="50" customFormat="false" ht="15" hidden="false" customHeight="false" outlineLevel="0" collapsed="false">
      <c r="A50" s="17" t="n">
        <v>40086</v>
      </c>
      <c r="B50" s="23" t="n">
        <v>13315.05</v>
      </c>
      <c r="C50" s="24" t="n">
        <f aca="false">(B50/B49-1)/(A50-A49)*360</f>
        <v>0.00448983363723787</v>
      </c>
      <c r="D50" s="19" t="n">
        <f aca="false">B50/$B$3*100</f>
        <v>121.563770754322</v>
      </c>
      <c r="E50" s="19"/>
      <c r="F50" s="19"/>
      <c r="AD50" s="25"/>
      <c r="AE50" s="9"/>
      <c r="AF50" s="9"/>
      <c r="AG50" s="9"/>
      <c r="AH50" s="9"/>
      <c r="AI50" s="9"/>
      <c r="AJ50" s="9"/>
      <c r="AK50" s="9"/>
      <c r="AL50" s="9"/>
      <c r="AM50" s="9"/>
      <c r="AN50" s="9"/>
      <c r="AO50" s="9"/>
      <c r="AP50" s="9"/>
      <c r="AQ50" s="9"/>
      <c r="AR50" s="9"/>
      <c r="AS50" s="9"/>
      <c r="BD50" s="43"/>
      <c r="BE50" s="43"/>
      <c r="BF50" s="43"/>
      <c r="BG50" s="43"/>
      <c r="BH50" s="43"/>
      <c r="BI50" s="43"/>
      <c r="BJ50" s="45"/>
    </row>
    <row r="51" customFormat="false" ht="15" hidden="false" customHeight="false" outlineLevel="0" collapsed="false">
      <c r="A51" s="17" t="n">
        <v>40116</v>
      </c>
      <c r="B51" s="23" t="n">
        <v>13319.74</v>
      </c>
      <c r="C51" s="24" t="n">
        <f aca="false">(B51/B50-1)/(A51-A50)*360</f>
        <v>0.00422679599400855</v>
      </c>
      <c r="D51" s="19" t="n">
        <f aca="false">B51/$B$3*100</f>
        <v>121.606589525926</v>
      </c>
      <c r="E51" s="19"/>
      <c r="F51" s="19"/>
      <c r="AD51" s="25" t="s">
        <v>27</v>
      </c>
      <c r="AE51" s="9"/>
      <c r="AF51" s="9"/>
      <c r="AG51" s="9"/>
      <c r="AH51" s="9"/>
      <c r="AI51" s="9"/>
      <c r="AJ51" s="9"/>
      <c r="AK51" s="9"/>
      <c r="AL51" s="9"/>
      <c r="AM51" s="9"/>
      <c r="AN51" s="9"/>
      <c r="AO51" s="9"/>
      <c r="AP51" s="9"/>
      <c r="AQ51" s="9"/>
      <c r="AR51" s="9"/>
      <c r="AS51" s="9"/>
      <c r="BD51" s="43"/>
      <c r="BE51" s="43"/>
      <c r="BF51" s="43"/>
      <c r="BG51" s="43"/>
      <c r="BH51" s="43"/>
      <c r="BI51" s="43"/>
      <c r="BJ51" s="45"/>
      <c r="BK51" s="47"/>
    </row>
    <row r="52" customFormat="false" ht="15" hidden="false" customHeight="false" outlineLevel="0" collapsed="false">
      <c r="A52" s="17" t="n">
        <v>40147</v>
      </c>
      <c r="B52" s="23" t="n">
        <v>13324.51</v>
      </c>
      <c r="C52" s="24" t="n">
        <f aca="false">(B52/B51-1)/(A52-A51)*360</f>
        <v>0.00415875598075411</v>
      </c>
      <c r="D52" s="19" t="n">
        <f aca="false">B52/$B$3*100</f>
        <v>121.650138681693</v>
      </c>
      <c r="E52" s="19"/>
      <c r="F52" s="19"/>
      <c r="AD52" s="25"/>
      <c r="AE52" s="9"/>
      <c r="AF52" s="9"/>
      <c r="AG52" s="9"/>
      <c r="AH52" s="9"/>
      <c r="AI52" s="9"/>
      <c r="AJ52" s="9"/>
      <c r="AK52" s="9"/>
      <c r="AL52" s="9"/>
      <c r="AM52" s="9"/>
      <c r="AN52" s="9"/>
      <c r="AO52" s="9"/>
      <c r="AP52" s="9"/>
      <c r="AQ52" s="9"/>
      <c r="AR52" s="9"/>
      <c r="AS52" s="9"/>
      <c r="BD52" s="43"/>
      <c r="BE52" s="43"/>
      <c r="BF52" s="43"/>
      <c r="BG52" s="43"/>
      <c r="BH52" s="43"/>
      <c r="BI52" s="43"/>
      <c r="BJ52" s="45"/>
      <c r="BK52" s="47"/>
    </row>
    <row r="53" customFormat="false" ht="15" hidden="false" customHeight="false" outlineLevel="0" collapsed="false">
      <c r="A53" s="17" t="n">
        <v>40178</v>
      </c>
      <c r="B53" s="23" t="n">
        <v>13329.5</v>
      </c>
      <c r="C53" s="24" t="n">
        <f aca="false">(B53/B52-1)/(A53-A52)*360</f>
        <v>0.00434900698763296</v>
      </c>
      <c r="D53" s="19" t="n">
        <f aca="false">B53/$B$3*100</f>
        <v>121.695696393911</v>
      </c>
      <c r="E53" s="19"/>
      <c r="F53" s="19"/>
      <c r="AC53" s="48" t="s">
        <v>36</v>
      </c>
      <c r="AD53" s="49" t="s">
        <v>37</v>
      </c>
      <c r="AE53" s="49" t="s">
        <v>4</v>
      </c>
      <c r="AF53" s="49" t="s">
        <v>5</v>
      </c>
      <c r="AG53" s="49" t="s">
        <v>6</v>
      </c>
      <c r="AH53" s="49" t="s">
        <v>7</v>
      </c>
      <c r="AI53" s="49" t="s">
        <v>8</v>
      </c>
      <c r="AJ53" s="49" t="s">
        <v>9</v>
      </c>
      <c r="AK53" s="49" t="s">
        <v>10</v>
      </c>
      <c r="AL53" s="49" t="s">
        <v>11</v>
      </c>
      <c r="AM53" s="49" t="s">
        <v>12</v>
      </c>
      <c r="AN53" s="49" t="s">
        <v>13</v>
      </c>
      <c r="AO53" s="49" t="s">
        <v>14</v>
      </c>
      <c r="AP53" s="49" t="s">
        <v>15</v>
      </c>
      <c r="AQ53" s="49" t="s">
        <v>16</v>
      </c>
      <c r="AR53" s="9"/>
      <c r="AS53" s="9"/>
    </row>
    <row r="54" customFormat="false" ht="15" hidden="false" customHeight="false" outlineLevel="0" collapsed="false">
      <c r="A54" s="17" t="n">
        <v>40207</v>
      </c>
      <c r="B54" s="23" t="n">
        <v>13334.25</v>
      </c>
      <c r="C54" s="24" t="n">
        <f aca="false">(B54/B53-1)/(A54-A53)*360</f>
        <v>0.00442368560271352</v>
      </c>
      <c r="D54" s="19" t="n">
        <f aca="false">B54/$B$3*100</f>
        <v>121.739062953637</v>
      </c>
      <c r="E54" s="19"/>
      <c r="F54" s="19"/>
      <c r="AC54" s="30" t="n">
        <f aca="false">+AD12</f>
        <v>2016</v>
      </c>
      <c r="AD54" s="30" t="s">
        <v>3</v>
      </c>
      <c r="AE54" s="50"/>
      <c r="AF54" s="50"/>
      <c r="AG54" s="50"/>
      <c r="AH54" s="50"/>
      <c r="AI54" s="50"/>
      <c r="AJ54" s="50"/>
      <c r="AK54" s="50"/>
      <c r="AL54" s="50"/>
      <c r="AM54" s="50"/>
      <c r="AN54" s="50"/>
      <c r="AO54" s="50"/>
      <c r="AP54" s="50"/>
      <c r="AQ54" s="51"/>
      <c r="AR54" s="9"/>
      <c r="AS54" s="9"/>
    </row>
    <row r="55" customFormat="false" ht="15" hidden="false" customHeight="false" outlineLevel="0" collapsed="false">
      <c r="A55" s="17" t="n">
        <v>40235</v>
      </c>
      <c r="B55" s="23" t="n">
        <v>13338.53</v>
      </c>
      <c r="C55" s="24" t="n">
        <f aca="false">(B55/B54-1)/(A55-A54)*360</f>
        <v>0.00412685913557682</v>
      </c>
      <c r="D55" s="19" t="n">
        <f aca="false">B55/$B$3*100</f>
        <v>121.778138506401</v>
      </c>
      <c r="E55" s="19"/>
      <c r="F55" s="19"/>
      <c r="AC55" s="30" t="n">
        <f aca="false">+AD13</f>
        <v>2017</v>
      </c>
      <c r="AD55" s="52" t="s">
        <v>3</v>
      </c>
      <c r="AE55" s="53"/>
      <c r="AF55" s="53"/>
      <c r="AG55" s="53"/>
      <c r="AH55" s="53"/>
      <c r="AI55" s="53"/>
      <c r="AJ55" s="53"/>
      <c r="AK55" s="53"/>
      <c r="AL55" s="53"/>
      <c r="AM55" s="53"/>
      <c r="AN55" s="53"/>
      <c r="AO55" s="53"/>
      <c r="AP55" s="53"/>
      <c r="AQ55" s="54"/>
      <c r="AR55" s="9"/>
      <c r="AS55" s="9"/>
    </row>
    <row r="56" customFormat="false" ht="15" hidden="false" customHeight="false" outlineLevel="0" collapsed="false">
      <c r="A56" s="17" t="n">
        <v>40268</v>
      </c>
      <c r="B56" s="23" t="n">
        <v>13343.79</v>
      </c>
      <c r="C56" s="24" t="n">
        <f aca="false">(B56/B55-1)/(A56-A55)*360</f>
        <v>0.00430195967485422</v>
      </c>
      <c r="D56" s="19" t="n">
        <f aca="false">B56/$B$3*100</f>
        <v>121.826161265171</v>
      </c>
      <c r="E56" s="19"/>
      <c r="F56" s="19"/>
      <c r="AC56" s="30" t="n">
        <f aca="false">+AD14</f>
        <v>2018</v>
      </c>
      <c r="AD56" s="30" t="s">
        <v>3</v>
      </c>
      <c r="AE56" s="50"/>
      <c r="AF56" s="50"/>
      <c r="AG56" s="50"/>
      <c r="AH56" s="50"/>
      <c r="AI56" s="50"/>
      <c r="AJ56" s="50"/>
      <c r="AK56" s="50"/>
      <c r="AL56" s="50"/>
      <c r="AM56" s="50"/>
      <c r="AN56" s="50"/>
      <c r="AO56" s="50"/>
      <c r="AP56" s="50"/>
      <c r="AQ56" s="51"/>
      <c r="AR56" s="9"/>
      <c r="AS56" s="9"/>
    </row>
    <row r="57" customFormat="false" ht="15" hidden="false" customHeight="false" outlineLevel="0" collapsed="false">
      <c r="A57" s="17" t="n">
        <v>40298</v>
      </c>
      <c r="B57" s="23" t="n">
        <v>13348.63</v>
      </c>
      <c r="C57" s="24" t="n">
        <f aca="false">(B57/B56-1)/(A57-A56)*360</f>
        <v>0.00435258648404879</v>
      </c>
      <c r="D57" s="19" t="n">
        <f aca="false">B57/$B$3*100</f>
        <v>121.870349507082</v>
      </c>
      <c r="E57" s="19"/>
      <c r="F57" s="19"/>
      <c r="AC57" s="30" t="n">
        <f aca="false">+AD15</f>
        <v>2019</v>
      </c>
      <c r="AD57" s="52" t="s">
        <v>3</v>
      </c>
      <c r="AE57" s="53"/>
      <c r="AF57" s="53"/>
      <c r="AG57" s="53"/>
      <c r="AH57" s="53"/>
      <c r="AI57" s="53"/>
      <c r="AJ57" s="53"/>
      <c r="AK57" s="53"/>
      <c r="AL57" s="53"/>
      <c r="AM57" s="53"/>
      <c r="AN57" s="53"/>
      <c r="AO57" s="53"/>
      <c r="AP57" s="53"/>
      <c r="AQ57" s="54"/>
      <c r="AR57" s="9"/>
      <c r="AS57" s="9"/>
    </row>
    <row r="58" customFormat="false" ht="15" hidden="false" customHeight="false" outlineLevel="0" collapsed="false">
      <c r="A58" s="17" t="n">
        <v>40329</v>
      </c>
      <c r="B58" s="23" t="n">
        <v>13353.5</v>
      </c>
      <c r="C58" s="24" t="n">
        <f aca="false">(B58/B57-1)/(A58-A57)*360</f>
        <v>0.00423675228916212</v>
      </c>
      <c r="D58" s="19" t="n">
        <f aca="false">B58/$B$3*100</f>
        <v>121.914811643054</v>
      </c>
      <c r="E58" s="19"/>
      <c r="F58" s="19"/>
      <c r="AC58" s="30" t="n">
        <v>2020</v>
      </c>
      <c r="AD58" s="52" t="s">
        <v>3</v>
      </c>
      <c r="AE58" s="53"/>
      <c r="AF58" s="53"/>
      <c r="AG58" s="53"/>
      <c r="AH58" s="53"/>
      <c r="AI58" s="53"/>
      <c r="AJ58" s="53"/>
      <c r="AK58" s="53"/>
      <c r="AL58" s="53"/>
      <c r="AM58" s="53"/>
      <c r="AN58" s="53"/>
      <c r="AO58" s="53"/>
      <c r="AP58" s="53"/>
      <c r="AQ58" s="54"/>
      <c r="AR58" s="9"/>
      <c r="AS58" s="9"/>
    </row>
    <row r="59" customFormat="false" ht="15" hidden="false" customHeight="false" outlineLevel="0" collapsed="false">
      <c r="A59" s="17" t="n">
        <v>40359</v>
      </c>
      <c r="B59" s="23" t="n">
        <v>13360.9</v>
      </c>
      <c r="C59" s="24" t="n">
        <f aca="false">(B59/B58-1)/(A59-A58)*360</f>
        <v>0.0066499419627819</v>
      </c>
      <c r="D59" s="19" t="n">
        <f aca="false">B59/$B$3*100</f>
        <v>121.982372178206</v>
      </c>
      <c r="E59" s="19"/>
      <c r="F59" s="19"/>
      <c r="AC59" s="55" t="n">
        <v>2017</v>
      </c>
      <c r="AD59" s="30" t="s">
        <v>25</v>
      </c>
      <c r="AE59" s="56"/>
      <c r="AF59" s="56"/>
      <c r="AG59" s="56"/>
      <c r="AH59" s="56"/>
      <c r="AI59" s="57"/>
      <c r="AJ59" s="57"/>
      <c r="AK59" s="57"/>
      <c r="AL59" s="57"/>
      <c r="AM59" s="57"/>
      <c r="AN59" s="57"/>
      <c r="AO59" s="57"/>
      <c r="AP59" s="57"/>
      <c r="AQ59" s="58"/>
      <c r="AR59" s="9"/>
      <c r="AS59" s="9"/>
    </row>
    <row r="60" customFormat="false" ht="15" hidden="false" customHeight="false" outlineLevel="0" collapsed="false">
      <c r="A60" s="17" t="n">
        <v>40389</v>
      </c>
      <c r="B60" s="23" t="n">
        <v>13373.99</v>
      </c>
      <c r="C60" s="24" t="n">
        <f aca="false">(B60/B59-1)/(A60-A59)*360</f>
        <v>0.0117566930371469</v>
      </c>
      <c r="D60" s="19" t="n">
        <f aca="false">B60/$B$3*100</f>
        <v>122.10188128701</v>
      </c>
      <c r="E60" s="19"/>
      <c r="F60" s="19"/>
      <c r="AC60" s="55"/>
      <c r="AD60" s="30" t="s">
        <v>26</v>
      </c>
      <c r="AE60" s="56"/>
      <c r="AF60" s="56"/>
      <c r="AG60" s="56"/>
      <c r="AH60" s="56"/>
      <c r="AI60" s="57"/>
      <c r="AJ60" s="57"/>
      <c r="AK60" s="57"/>
      <c r="AL60" s="57"/>
      <c r="AM60" s="57"/>
      <c r="AN60" s="57"/>
      <c r="AO60" s="57"/>
      <c r="AP60" s="57"/>
      <c r="AQ60" s="58"/>
      <c r="AR60" s="59"/>
      <c r="AS60" s="9"/>
    </row>
    <row r="61" customFormat="false" ht="15" hidden="false" customHeight="false" outlineLevel="0" collapsed="false">
      <c r="A61" s="17" t="n">
        <v>40421</v>
      </c>
      <c r="B61" s="23" t="n">
        <v>13395.21</v>
      </c>
      <c r="C61" s="24" t="n">
        <f aca="false">(B61/B60-1)/(A61-A60)*360</f>
        <v>0.017849946052001</v>
      </c>
      <c r="D61" s="19" t="n">
        <f aca="false">B61/$B$3*100</f>
        <v>122.295615686461</v>
      </c>
      <c r="E61" s="19"/>
      <c r="F61" s="19"/>
      <c r="AC61" s="60" t="n">
        <v>2018</v>
      </c>
      <c r="AD61" s="52" t="s">
        <v>25</v>
      </c>
      <c r="AE61" s="61"/>
      <c r="AF61" s="61"/>
      <c r="AG61" s="61"/>
      <c r="AH61" s="61"/>
      <c r="AI61" s="61"/>
      <c r="AJ61" s="61"/>
      <c r="AK61" s="61"/>
      <c r="AL61" s="61"/>
      <c r="AM61" s="61"/>
      <c r="AN61" s="61"/>
      <c r="AO61" s="61"/>
      <c r="AP61" s="61"/>
      <c r="AQ61" s="62"/>
      <c r="AR61" s="59"/>
      <c r="AS61" s="9"/>
    </row>
    <row r="62" customFormat="false" ht="15" hidden="false" customHeight="false" outlineLevel="0" collapsed="false">
      <c r="A62" s="17" t="n">
        <v>40451</v>
      </c>
      <c r="B62" s="23" t="n">
        <v>13419.79</v>
      </c>
      <c r="C62" s="24" t="n">
        <f aca="false">(B62/B61-1)/(A62-A61)*360</f>
        <v>0.0220198115595078</v>
      </c>
      <c r="D62" s="19" t="n">
        <f aca="false">B62/$B$3*100</f>
        <v>122.520026220792</v>
      </c>
      <c r="E62" s="19"/>
      <c r="F62" s="19"/>
      <c r="AC62" s="60"/>
      <c r="AD62" s="30" t="s">
        <v>26</v>
      </c>
      <c r="AE62" s="61"/>
      <c r="AF62" s="61"/>
      <c r="AG62" s="61"/>
      <c r="AH62" s="61"/>
      <c r="AI62" s="61"/>
      <c r="AJ62" s="61"/>
      <c r="AK62" s="61"/>
      <c r="AL62" s="61"/>
      <c r="AM62" s="61"/>
      <c r="AN62" s="61"/>
      <c r="AO62" s="61"/>
      <c r="AP62" s="61"/>
      <c r="AQ62" s="62"/>
      <c r="AR62" s="59"/>
      <c r="AS62" s="9"/>
    </row>
    <row r="63" customFormat="false" ht="15" hidden="false" customHeight="false" outlineLevel="0" collapsed="false">
      <c r="A63" s="17" t="n">
        <v>40480</v>
      </c>
      <c r="B63" s="23" t="n">
        <v>13448.69</v>
      </c>
      <c r="C63" s="24" t="n">
        <f aca="false">(B63/B62-1)/(A63-A62)*360</f>
        <v>0.0267335495331625</v>
      </c>
      <c r="D63" s="19" t="n">
        <f aca="false">B63/$B$3*100</f>
        <v>122.783877499968</v>
      </c>
      <c r="E63" s="19"/>
      <c r="F63" s="19"/>
      <c r="AC63" s="55" t="n">
        <v>2019</v>
      </c>
      <c r="AD63" s="30" t="s">
        <v>25</v>
      </c>
      <c r="AE63" s="56"/>
      <c r="AF63" s="56"/>
      <c r="AG63" s="56"/>
      <c r="AH63" s="56"/>
      <c r="AI63" s="56"/>
      <c r="AJ63" s="56"/>
      <c r="AK63" s="56"/>
      <c r="AL63" s="56"/>
      <c r="AM63" s="56"/>
      <c r="AN63" s="56"/>
      <c r="AO63" s="56"/>
      <c r="AP63" s="56"/>
      <c r="AQ63" s="51"/>
      <c r="AR63" s="9"/>
      <c r="AS63" s="9"/>
    </row>
    <row r="64" customFormat="false" ht="15" hidden="false" customHeight="false" outlineLevel="0" collapsed="false">
      <c r="A64" s="17" t="n">
        <v>40512</v>
      </c>
      <c r="B64" s="23" t="n">
        <v>13483.02</v>
      </c>
      <c r="C64" s="24" t="n">
        <f aca="false">(B64/B63-1)/(A64-A63)*360</f>
        <v>0.0287174810334689</v>
      </c>
      <c r="D64" s="19" t="n">
        <f aca="false">B64/$B$3*100</f>
        <v>123.097303604263</v>
      </c>
      <c r="E64" s="19"/>
      <c r="F64" s="19"/>
      <c r="AC64" s="55"/>
      <c r="AD64" s="30" t="s">
        <v>26</v>
      </c>
      <c r="AE64" s="56"/>
      <c r="AF64" s="56"/>
      <c r="AG64" s="56"/>
      <c r="AH64" s="56"/>
      <c r="AI64" s="56"/>
      <c r="AJ64" s="56"/>
      <c r="AK64" s="56"/>
      <c r="AL64" s="56"/>
      <c r="AM64" s="56"/>
      <c r="AN64" s="56"/>
      <c r="AO64" s="56"/>
      <c r="AP64" s="56"/>
      <c r="AQ64" s="58"/>
      <c r="AR64" s="9"/>
      <c r="AS64" s="9"/>
    </row>
    <row r="65" customFormat="false" ht="15" hidden="false" customHeight="false" outlineLevel="0" collapsed="false">
      <c r="A65" s="17" t="n">
        <v>40543</v>
      </c>
      <c r="B65" s="23" t="n">
        <v>13522.93</v>
      </c>
      <c r="C65" s="24" t="n">
        <f aca="false">(B65/B64-1)/(A65-A64)*360</f>
        <v>0.0343744181750046</v>
      </c>
      <c r="D65" s="19" t="n">
        <f aca="false">B65/$B$3*100</f>
        <v>123.461674003984</v>
      </c>
      <c r="E65" s="19"/>
      <c r="F65" s="19"/>
      <c r="AC65" s="55" t="n">
        <v>2020</v>
      </c>
      <c r="AD65" s="30" t="s">
        <v>25</v>
      </c>
      <c r="AE65" s="56"/>
      <c r="AF65" s="56"/>
      <c r="AG65" s="56"/>
      <c r="AH65" s="56"/>
      <c r="AI65" s="56"/>
      <c r="AJ65" s="56"/>
      <c r="AK65" s="56"/>
      <c r="AL65" s="56"/>
      <c r="AM65" s="56"/>
      <c r="AN65" s="56"/>
      <c r="AO65" s="56"/>
      <c r="AP65" s="56"/>
      <c r="AQ65" s="51"/>
      <c r="AR65" s="9"/>
      <c r="AS65" s="9"/>
      <c r="AW65" s="4"/>
      <c r="AX65" s="4"/>
      <c r="AY65" s="4"/>
      <c r="AZ65" s="4"/>
      <c r="BA65" s="4"/>
      <c r="BB65" s="4"/>
    </row>
    <row r="66" customFormat="false" ht="15" hidden="false" customHeight="false" outlineLevel="0" collapsed="false">
      <c r="A66" s="17" t="n">
        <v>40574</v>
      </c>
      <c r="B66" s="23" t="n">
        <v>13557.12</v>
      </c>
      <c r="C66" s="24" t="n">
        <f aca="false">(B66/B65-1)/(A66-A65)*360</f>
        <v>0.0293608826852106</v>
      </c>
      <c r="D66" s="19" t="n">
        <f aca="false">B66/$B$3*100</f>
        <v>123.773821935993</v>
      </c>
      <c r="E66" s="19"/>
      <c r="F66" s="19"/>
      <c r="AC66" s="55"/>
      <c r="AD66" s="30" t="s">
        <v>26</v>
      </c>
      <c r="AE66" s="56"/>
      <c r="AF66" s="56"/>
      <c r="AG66" s="56"/>
      <c r="AH66" s="56"/>
      <c r="AI66" s="56"/>
      <c r="AJ66" s="56"/>
      <c r="AK66" s="56"/>
      <c r="AL66" s="56"/>
      <c r="AM66" s="56"/>
      <c r="AN66" s="56"/>
      <c r="AO66" s="56"/>
      <c r="AP66" s="56"/>
      <c r="AQ66" s="58"/>
      <c r="AR66" s="59"/>
      <c r="AS66" s="9"/>
      <c r="AV66" s="4"/>
      <c r="AW66" s="4"/>
      <c r="AX66" s="4"/>
      <c r="AY66" s="4"/>
      <c r="AZ66" s="4"/>
      <c r="BA66" s="4"/>
      <c r="BB66" s="4"/>
    </row>
    <row r="67" s="4" customFormat="true" ht="15" hidden="false" customHeight="false" outlineLevel="0" collapsed="false">
      <c r="A67" s="17" t="n">
        <v>40602</v>
      </c>
      <c r="B67" s="23" t="n">
        <v>13592.3</v>
      </c>
      <c r="C67" s="24" t="n">
        <f aca="false">(B67/B66-1)/(A67-A66)*360</f>
        <v>0.0333635968195518</v>
      </c>
      <c r="D67" s="19" t="n">
        <f aca="false">B67/$B$3*100</f>
        <v>124.095008372028</v>
      </c>
      <c r="E67" s="19"/>
      <c r="F67" s="19"/>
      <c r="I67" s="5"/>
      <c r="N67" s="3"/>
      <c r="O67" s="3"/>
      <c r="P67" s="3"/>
      <c r="Q67" s="3"/>
      <c r="R67" s="3"/>
      <c r="S67" s="3"/>
      <c r="T67" s="3"/>
      <c r="U67" s="3"/>
      <c r="V67" s="3"/>
      <c r="W67" s="3"/>
      <c r="X67" s="3"/>
      <c r="Y67" s="3"/>
      <c r="Z67" s="3"/>
      <c r="AA67" s="3"/>
      <c r="AB67" s="3"/>
      <c r="AC67" s="3"/>
      <c r="AD67" s="3" t="s">
        <v>3</v>
      </c>
      <c r="AE67" s="46"/>
      <c r="AF67" s="46"/>
      <c r="AG67" s="46"/>
      <c r="AH67" s="46"/>
      <c r="AI67" s="46"/>
      <c r="AJ67" s="46"/>
      <c r="AK67" s="46"/>
      <c r="AL67" s="46"/>
      <c r="AM67" s="46"/>
      <c r="AN67" s="46"/>
      <c r="AO67" s="46"/>
      <c r="AP67" s="46"/>
      <c r="AQ67" s="46"/>
      <c r="AR67" s="59"/>
      <c r="AS67" s="9"/>
      <c r="AT67" s="3"/>
    </row>
    <row r="68" s="4" customFormat="true" ht="15" hidden="false" customHeight="false" outlineLevel="0" collapsed="false">
      <c r="A68" s="17" t="n">
        <v>40633</v>
      </c>
      <c r="B68" s="23" t="n">
        <v>13635.91</v>
      </c>
      <c r="C68" s="24" t="n">
        <f aca="false">(B68/B67-1)/(A68-A67)*360</f>
        <v>0.0372592357200336</v>
      </c>
      <c r="D68" s="19" t="n">
        <f aca="false">B68/$B$3*100</f>
        <v>124.493159039326</v>
      </c>
      <c r="E68" s="19"/>
      <c r="F68" s="19"/>
      <c r="I68" s="5"/>
      <c r="N68" s="3"/>
      <c r="O68" s="3"/>
      <c r="P68" s="3"/>
      <c r="Q68" s="3"/>
      <c r="R68" s="3"/>
      <c r="S68" s="3"/>
      <c r="T68" s="3"/>
      <c r="U68" s="3"/>
      <c r="V68" s="3"/>
      <c r="W68" s="3"/>
      <c r="X68" s="3"/>
      <c r="Y68" s="3"/>
      <c r="Z68" s="3"/>
      <c r="AA68" s="3"/>
      <c r="AB68" s="3"/>
      <c r="AC68" s="55" t="n">
        <v>2021</v>
      </c>
      <c r="AD68" s="30" t="s">
        <v>25</v>
      </c>
      <c r="AE68" s="46"/>
      <c r="AF68" s="46"/>
      <c r="AG68" s="46"/>
      <c r="AH68" s="46"/>
      <c r="AI68" s="46"/>
      <c r="AJ68" s="46"/>
      <c r="AK68" s="46"/>
      <c r="AL68" s="46"/>
      <c r="AM68" s="46"/>
      <c r="AN68" s="46"/>
      <c r="AO68" s="46"/>
      <c r="AP68" s="46"/>
      <c r="AQ68" s="46"/>
      <c r="AR68" s="59"/>
      <c r="AS68" s="9"/>
    </row>
    <row r="69" s="4" customFormat="true" ht="15" hidden="false" customHeight="false" outlineLevel="0" collapsed="false">
      <c r="A69" s="17" t="n">
        <v>40662</v>
      </c>
      <c r="B69" s="23" t="n">
        <v>13682.94</v>
      </c>
      <c r="C69" s="24" t="n">
        <f aca="false">(B69/B68-1)/(A69-A68)*360</f>
        <v>0.0428149415517689</v>
      </c>
      <c r="D69" s="19" t="n">
        <f aca="false">B69/$B$3*100</f>
        <v>124.922533629626</v>
      </c>
      <c r="E69" s="19"/>
      <c r="F69" s="19"/>
      <c r="I69" s="5"/>
      <c r="N69" s="3"/>
      <c r="O69" s="3"/>
      <c r="P69" s="3"/>
      <c r="Q69" s="3"/>
      <c r="R69" s="3"/>
      <c r="S69" s="3"/>
      <c r="T69" s="3"/>
      <c r="U69" s="3"/>
      <c r="V69" s="3"/>
      <c r="W69" s="3"/>
      <c r="X69" s="3"/>
      <c r="Y69" s="3"/>
      <c r="Z69" s="3"/>
      <c r="AA69" s="3"/>
      <c r="AB69" s="3"/>
      <c r="AC69" s="55"/>
      <c r="AD69" s="30" t="s">
        <v>26</v>
      </c>
      <c r="AE69" s="46"/>
      <c r="AF69" s="46"/>
      <c r="AG69" s="46"/>
      <c r="AH69" s="46"/>
      <c r="AI69" s="46"/>
      <c r="AJ69" s="46"/>
      <c r="AK69" s="46"/>
      <c r="AL69" s="46"/>
      <c r="AM69" s="46"/>
      <c r="AN69" s="46"/>
      <c r="AO69" s="46"/>
      <c r="AP69" s="46"/>
      <c r="AQ69" s="46"/>
      <c r="AR69" s="59"/>
      <c r="AS69" s="9"/>
    </row>
    <row r="70" s="4" customFormat="true" ht="15" hidden="false" customHeight="false" outlineLevel="0" collapsed="false">
      <c r="A70" s="17" t="n">
        <v>40694</v>
      </c>
      <c r="B70" s="23" t="n">
        <v>13741.06</v>
      </c>
      <c r="C70" s="24" t="n">
        <f aca="false">(B70/B69-1)/(A70-A69)*360</f>
        <v>0.0477857828799946</v>
      </c>
      <c r="D70" s="19" t="n">
        <f aca="false">B70/$B$3*100</f>
        <v>125.453157724634</v>
      </c>
      <c r="E70" s="19"/>
      <c r="F70" s="19"/>
      <c r="I70" s="5"/>
      <c r="O70" s="3"/>
      <c r="P70" s="3"/>
      <c r="Q70" s="3"/>
      <c r="R70" s="3"/>
      <c r="S70" s="3"/>
      <c r="T70" s="3"/>
      <c r="U70" s="3"/>
      <c r="V70" s="3"/>
      <c r="W70" s="3"/>
      <c r="X70" s="3"/>
      <c r="Y70" s="3"/>
      <c r="Z70" s="3"/>
      <c r="AA70" s="3"/>
      <c r="AB70" s="3"/>
      <c r="AC70" s="3"/>
      <c r="AD70" s="3" t="s">
        <v>3</v>
      </c>
      <c r="AE70" s="46"/>
      <c r="AF70" s="46"/>
      <c r="AG70" s="46"/>
      <c r="AH70" s="46"/>
      <c r="AI70" s="46"/>
      <c r="AJ70" s="46"/>
      <c r="AK70" s="46"/>
      <c r="AL70" s="46"/>
      <c r="AM70" s="46"/>
      <c r="AN70" s="46"/>
      <c r="AO70" s="46"/>
      <c r="AP70" s="46"/>
      <c r="AQ70" s="46"/>
      <c r="AR70" s="59"/>
      <c r="AS70" s="9"/>
    </row>
    <row r="71" s="4" customFormat="true" ht="15" hidden="false" customHeight="false" outlineLevel="0" collapsed="false">
      <c r="A71" s="17" t="n">
        <v>40724</v>
      </c>
      <c r="B71" s="23" t="n">
        <v>13799.74</v>
      </c>
      <c r="C71" s="24" t="n">
        <f aca="false">(B71/B70-1)/(A71-A70)*360</f>
        <v>0.0512449549015877</v>
      </c>
      <c r="D71" s="19" t="n">
        <f aca="false">B71/$B$3*100</f>
        <v>125.988894508789</v>
      </c>
      <c r="E71" s="19"/>
      <c r="F71" s="19"/>
      <c r="I71" s="5"/>
      <c r="O71" s="3"/>
      <c r="P71" s="3"/>
      <c r="Q71" s="3"/>
      <c r="R71" s="3"/>
      <c r="S71" s="3"/>
      <c r="T71" s="3"/>
      <c r="U71" s="3"/>
      <c r="V71" s="3"/>
      <c r="W71" s="3"/>
      <c r="X71" s="3"/>
      <c r="Y71" s="3"/>
      <c r="Z71" s="3"/>
      <c r="AA71" s="3"/>
      <c r="AB71" s="3"/>
      <c r="AC71" s="55" t="n">
        <v>2022</v>
      </c>
      <c r="AD71" s="30" t="s">
        <v>25</v>
      </c>
      <c r="AE71" s="46"/>
      <c r="AF71" s="46"/>
      <c r="AG71" s="46"/>
      <c r="AH71" s="46"/>
      <c r="AI71" s="46"/>
      <c r="AJ71" s="46"/>
      <c r="AK71" s="46"/>
      <c r="AL71" s="46"/>
      <c r="AM71" s="46"/>
      <c r="AN71" s="46"/>
      <c r="AO71" s="46"/>
      <c r="AP71" s="46"/>
      <c r="AQ71" s="46"/>
      <c r="AR71" s="59" t="s">
        <v>23</v>
      </c>
      <c r="AS71" s="9"/>
    </row>
    <row r="72" s="4" customFormat="true" ht="15" hidden="false" customHeight="false" outlineLevel="0" collapsed="false">
      <c r="A72" s="17" t="n">
        <v>40753</v>
      </c>
      <c r="B72" s="23" t="n">
        <v>13858.14</v>
      </c>
      <c r="C72" s="24" t="n">
        <f aca="false">(B72/B71-1)/(A72-A71)*360</f>
        <v>0.0525347229180671</v>
      </c>
      <c r="D72" s="19" t="n">
        <f aca="false">B72/$B$3*100</f>
        <v>126.522074948371</v>
      </c>
      <c r="E72" s="19"/>
      <c r="F72" s="19"/>
      <c r="I72" s="5"/>
      <c r="O72" s="3"/>
      <c r="P72" s="3"/>
      <c r="Q72" s="3"/>
      <c r="R72" s="3"/>
      <c r="S72" s="3"/>
      <c r="T72" s="3"/>
      <c r="U72" s="3"/>
      <c r="V72" s="3"/>
      <c r="W72" s="3"/>
      <c r="X72" s="3"/>
      <c r="Y72" s="3"/>
      <c r="Z72" s="3"/>
      <c r="AA72" s="3"/>
      <c r="AB72" s="3"/>
      <c r="AC72" s="55"/>
      <c r="AD72" s="30" t="s">
        <v>26</v>
      </c>
      <c r="AE72" s="46"/>
      <c r="AF72" s="46"/>
      <c r="AG72" s="46"/>
      <c r="AH72" s="46"/>
      <c r="AI72" s="46"/>
      <c r="AJ72" s="46"/>
      <c r="AK72" s="46"/>
      <c r="AL72" s="46"/>
      <c r="AM72" s="46"/>
      <c r="AN72" s="46"/>
      <c r="AO72" s="46"/>
      <c r="AP72" s="46"/>
      <c r="AQ72" s="46"/>
      <c r="AR72" s="59"/>
      <c r="AS72" s="9"/>
    </row>
    <row r="73" s="4" customFormat="true" ht="15" hidden="false" customHeight="false" outlineLevel="0" collapsed="false">
      <c r="A73" s="17" t="n">
        <v>40786</v>
      </c>
      <c r="B73" s="23" t="n">
        <v>13925.03</v>
      </c>
      <c r="C73" s="24" t="n">
        <f aca="false">(B73/B72-1)/(A73-A72)*360</f>
        <v>0.0526556298975982</v>
      </c>
      <c r="D73" s="19" t="n">
        <f aca="false">B73/$B$3*100</f>
        <v>127.132767407337</v>
      </c>
      <c r="E73" s="19"/>
      <c r="F73" s="19"/>
      <c r="I73" s="5"/>
      <c r="O73" s="3"/>
      <c r="P73" s="3"/>
      <c r="Q73" s="3"/>
      <c r="R73" s="3"/>
      <c r="S73" s="3"/>
      <c r="T73" s="3"/>
      <c r="U73" s="3"/>
      <c r="V73" s="3"/>
      <c r="W73" s="3"/>
      <c r="X73" s="3"/>
      <c r="Y73" s="3"/>
      <c r="Z73" s="3"/>
      <c r="AA73" s="3"/>
      <c r="AB73" s="3"/>
      <c r="AC73" s="3"/>
      <c r="AD73" s="3" t="s">
        <v>3</v>
      </c>
      <c r="AE73" s="46"/>
      <c r="AF73" s="46"/>
      <c r="AG73" s="46"/>
      <c r="AH73" s="46"/>
      <c r="AI73" s="46"/>
      <c r="AJ73" s="46"/>
      <c r="AK73" s="46"/>
      <c r="AL73" s="46"/>
      <c r="AM73" s="46"/>
      <c r="AN73" s="46"/>
      <c r="AO73" s="46"/>
      <c r="AP73" s="46"/>
      <c r="AQ73" s="46"/>
      <c r="AR73" s="9"/>
      <c r="AS73" s="3"/>
    </row>
    <row r="74" s="4" customFormat="true" ht="15" hidden="false" customHeight="false" outlineLevel="0" collapsed="false">
      <c r="A74" s="17" t="n">
        <v>40816</v>
      </c>
      <c r="B74" s="23" t="n">
        <v>13985.97</v>
      </c>
      <c r="C74" s="24" t="n">
        <f aca="false">(B74/B73-1)/(A74-A73)*360</f>
        <v>0.0525155062502547</v>
      </c>
      <c r="D74" s="19" t="n">
        <f aca="false">B74/$B$3*100</f>
        <v>127.68913754412</v>
      </c>
      <c r="E74" s="19"/>
      <c r="F74" s="19"/>
      <c r="I74" s="5"/>
      <c r="O74" s="3"/>
      <c r="P74" s="3"/>
      <c r="Q74" s="3"/>
      <c r="R74" s="3"/>
      <c r="S74" s="3"/>
      <c r="T74" s="3"/>
      <c r="U74" s="3"/>
      <c r="V74" s="3"/>
      <c r="W74" s="3"/>
      <c r="X74" s="3"/>
      <c r="Y74" s="3"/>
      <c r="Z74" s="3"/>
      <c r="AA74" s="3"/>
      <c r="AC74" s="55" t="n">
        <v>2023</v>
      </c>
      <c r="AD74" s="30" t="s">
        <v>25</v>
      </c>
      <c r="AE74" s="46"/>
      <c r="AF74" s="46"/>
      <c r="AG74" s="46"/>
      <c r="AH74" s="46"/>
      <c r="AI74" s="46"/>
      <c r="AJ74" s="46"/>
      <c r="AK74" s="46"/>
      <c r="AL74" s="46"/>
      <c r="AM74" s="46"/>
      <c r="AN74" s="46"/>
      <c r="AO74" s="46"/>
      <c r="AP74" s="46"/>
      <c r="AQ74" s="46"/>
      <c r="AR74" s="9"/>
      <c r="AS74" s="3"/>
    </row>
    <row r="75" s="4" customFormat="true" ht="15" hidden="false" customHeight="false" outlineLevel="0" collapsed="false">
      <c r="A75" s="17" t="n">
        <v>40847</v>
      </c>
      <c r="B75" s="23" t="n">
        <v>14043.21</v>
      </c>
      <c r="C75" s="24" t="n">
        <f aca="false">(B75/B74-1)/(A75-A74)*360</f>
        <v>0.047527813991103</v>
      </c>
      <c r="D75" s="19" t="n">
        <f aca="false">B75/$B$3*100</f>
        <v>128.211727413326</v>
      </c>
      <c r="E75" s="19"/>
      <c r="F75" s="19"/>
      <c r="I75" s="5"/>
      <c r="O75" s="3"/>
      <c r="P75" s="3"/>
      <c r="Q75" s="3"/>
      <c r="R75" s="3"/>
      <c r="S75" s="3"/>
      <c r="T75" s="3"/>
      <c r="U75" s="3"/>
      <c r="V75" s="3"/>
      <c r="W75" s="3"/>
      <c r="X75" s="3"/>
      <c r="Y75" s="3"/>
      <c r="Z75" s="3"/>
      <c r="AA75" s="3"/>
      <c r="AC75" s="55"/>
      <c r="AD75" s="30" t="s">
        <v>26</v>
      </c>
      <c r="AE75" s="46"/>
      <c r="AF75" s="46" t="n">
        <f aca="false">+AF34</f>
        <v>0.019285714285715</v>
      </c>
      <c r="AG75" s="46" t="n">
        <f aca="false">+AG34</f>
        <v>0.0394247338669394</v>
      </c>
      <c r="AH75" s="46" t="n">
        <f aca="false">+AH34</f>
        <v>0.0498983552023662</v>
      </c>
      <c r="AI75" s="46" t="n">
        <f aca="false">+AI34</f>
        <v>0.0519068560305696</v>
      </c>
      <c r="AJ75" s="46" t="n">
        <f aca="false">+AJ34</f>
        <v>0.0449881610102612</v>
      </c>
      <c r="AK75" s="46" t="n">
        <f aca="false">+AK34</f>
        <v>0.0547886136071062</v>
      </c>
      <c r="AL75" s="46" t="n">
        <f aca="false">+AL34</f>
        <v>0.0568034788975063</v>
      </c>
      <c r="AM75" s="46" t="n">
        <f aca="false">+AM34</f>
        <v>0.0572429906542062</v>
      </c>
      <c r="AN75" s="46" t="n">
        <f aca="false">+AN34</f>
        <v>0.0607593037683908</v>
      </c>
      <c r="AO75" s="46" t="n">
        <f aca="false">+AO34</f>
        <v>0.0543614457831323</v>
      </c>
      <c r="AP75" s="46" t="n">
        <f aca="false">+AP34</f>
        <v>0.0523706056047676</v>
      </c>
      <c r="AQ75" s="46" t="n">
        <f aca="false">+AQ34</f>
        <v>0.0468999999999999</v>
      </c>
      <c r="AR75" s="3"/>
      <c r="AS75" s="3"/>
    </row>
    <row r="76" s="4" customFormat="true" ht="15" hidden="false" customHeight="false" outlineLevel="0" collapsed="false">
      <c r="A76" s="17" t="n">
        <v>40877</v>
      </c>
      <c r="B76" s="23" t="n">
        <v>14110.87</v>
      </c>
      <c r="C76" s="24" t="n">
        <f aca="false">(B76/B75-1)/(A76-A75)*360</f>
        <v>0.0578158412499707</v>
      </c>
      <c r="D76" s="19" t="n">
        <f aca="false">B76/$B$3*100</f>
        <v>128.829449819869</v>
      </c>
      <c r="E76" s="19"/>
      <c r="F76" s="19"/>
      <c r="I76" s="5"/>
      <c r="AC76" s="55" t="n">
        <v>2024</v>
      </c>
      <c r="AD76" s="30" t="s">
        <v>25</v>
      </c>
      <c r="AE76" s="46" t="n">
        <f aca="false">+AE47</f>
        <v>0.0445454963133814</v>
      </c>
      <c r="AF76" s="46" t="n">
        <f aca="false">+AF47</f>
        <v>0.0436862818876143</v>
      </c>
      <c r="AG76" s="46" t="n">
        <f aca="false">+AG47</f>
        <v>0.038884481610189</v>
      </c>
      <c r="AH76" s="46" t="n">
        <f aca="false">+AH47</f>
        <v>0.0470863856243113</v>
      </c>
      <c r="AI76" s="46" t="n">
        <f aca="false">+AI47</f>
        <v>0.0425443167654457</v>
      </c>
      <c r="AJ76" s="46" t="n">
        <f aca="false">+AJ47</f>
        <v>0.0425188920123318</v>
      </c>
      <c r="AK76" s="46" t="n">
        <f aca="false">+AK47</f>
        <v>0.0422105443312281</v>
      </c>
      <c r="AL76" s="46" t="n">
        <f aca="false">+AL47</f>
        <v>0.0424908570489727</v>
      </c>
      <c r="AM76" s="46" t="n">
        <f aca="false">+AM47</f>
        <v>0.0408356007220485</v>
      </c>
      <c r="AN76" s="46" t="n">
        <f aca="false">+AN47</f>
        <v>0.0394715018609717</v>
      </c>
      <c r="AO76" s="46" t="n">
        <f aca="false">+AO47</f>
        <v>0.0376414999436587</v>
      </c>
      <c r="AP76" s="46" t="n">
        <f aca="false">+AP47</f>
        <v>0.0368823086249106</v>
      </c>
      <c r="AQ76" s="46" t="n">
        <f aca="false">+AQ47</f>
        <v>0.0430696712923655</v>
      </c>
      <c r="AR76" s="3"/>
      <c r="AS76" s="3"/>
    </row>
    <row r="77" s="4" customFormat="true" ht="15" hidden="false" customHeight="false" outlineLevel="0" collapsed="false">
      <c r="A77" s="17" t="n">
        <v>40907</v>
      </c>
      <c r="B77" s="23" t="n">
        <v>14172.63</v>
      </c>
      <c r="C77" s="24" t="n">
        <f aca="false">(B77/B76-1)/(A77-A76)*360</f>
        <v>0.0525212123703192</v>
      </c>
      <c r="D77" s="19" t="n">
        <f aca="false">B77/$B$3*100</f>
        <v>129.393306394331</v>
      </c>
      <c r="E77" s="19"/>
      <c r="F77" s="19"/>
      <c r="I77" s="5"/>
      <c r="AC77" s="55"/>
      <c r="AD77" s="30" t="s">
        <v>26</v>
      </c>
      <c r="AE77" s="46" t="n">
        <f aca="false">+AE35</f>
        <v>0.0532447564083218</v>
      </c>
      <c r="AF77" s="46" t="n">
        <f aca="false">+AF35</f>
        <v>0.0483945533176177</v>
      </c>
      <c r="AG77" s="46" t="n">
        <f aca="false">+AG35</f>
        <v>0.0439966024845872</v>
      </c>
      <c r="AH77" s="46" t="n">
        <f aca="false">+AH35</f>
        <v>0.055482166446498</v>
      </c>
      <c r="AI77" s="46" t="n">
        <f aca="false">+AI35</f>
        <v>0.0469009898290282</v>
      </c>
      <c r="AJ77" s="46" t="n">
        <f aca="false">+AJ35</f>
        <v>0.0550046772684771</v>
      </c>
      <c r="AK77" s="46" t="n">
        <f aca="false">+AK35</f>
        <v>0.035685427549268</v>
      </c>
      <c r="AL77" s="46" t="n">
        <f aca="false">+AL35</f>
        <v>0.0388102967071142</v>
      </c>
      <c r="AM77" s="46" t="n">
        <f aca="false">+AM35</f>
        <v>0.0388601036269431</v>
      </c>
      <c r="AN77" s="46" t="n">
        <f aca="false">+AN35</f>
        <v>0.0406981760196111</v>
      </c>
      <c r="AO77" s="46" t="n">
        <f aca="false">+AO35</f>
        <v>0.0441135925006888</v>
      </c>
      <c r="AP77" s="46" t="n">
        <f aca="false">+AP35</f>
        <v>0.043073762496416</v>
      </c>
      <c r="AQ77" s="46" t="n">
        <f aca="false">+AQ35</f>
        <v>0.0470443599003738</v>
      </c>
      <c r="AR77" s="3"/>
      <c r="AS77" s="3"/>
    </row>
    <row r="78" s="4" customFormat="true" ht="15" hidden="false" customHeight="false" outlineLevel="0" collapsed="false">
      <c r="A78" s="17" t="n">
        <v>40939</v>
      </c>
      <c r="B78" s="23" t="n">
        <v>14236.38</v>
      </c>
      <c r="C78" s="24" t="n">
        <f aca="false">(B78/B77-1)/(A78-A77)*360</f>
        <v>0.050603698819485</v>
      </c>
      <c r="D78" s="19" t="n">
        <f aca="false">B78/$B$3*100</f>
        <v>129.975331274867</v>
      </c>
      <c r="E78" s="19"/>
      <c r="F78" s="19"/>
      <c r="I78" s="5"/>
      <c r="AC78" s="55" t="n">
        <v>2025</v>
      </c>
      <c r="AD78" s="30" t="s">
        <v>25</v>
      </c>
      <c r="AE78" s="46" t="n">
        <f aca="false">+AE48</f>
        <v>0.03582387922722</v>
      </c>
      <c r="AF78" s="46" t="n">
        <f aca="false">+AF48</f>
        <v>0.0354634355529712</v>
      </c>
      <c r="AG78" s="46" t="n">
        <f aca="false">+AG48</f>
        <v>0.0344324443149157</v>
      </c>
      <c r="AH78" s="46" t="n">
        <f aca="false">+AH48</f>
        <v>0.0342774250055511</v>
      </c>
      <c r="AI78" s="46" t="n">
        <f aca="false">+AI48</f>
        <v>0.0339513431248578</v>
      </c>
      <c r="AJ78" s="46" t="n">
        <f aca="false">+AJ48</f>
        <v>0.034181635108931</v>
      </c>
      <c r="AK78" s="46" t="n">
        <f aca="false">+AK48</f>
        <v>0.0345951263014041</v>
      </c>
      <c r="AL78" s="46" t="n">
        <f aca="false">+AL48</f>
        <v>0.0349366166592406</v>
      </c>
      <c r="AM78" s="46" t="n">
        <f aca="false">+AM48</f>
        <v>0.0349182736758227</v>
      </c>
      <c r="AN78" s="46" t="n">
        <f aca="false">+AN48</f>
        <v>0.034285095330797</v>
      </c>
      <c r="AO78" s="46" t="n">
        <f aca="false">+AO48</f>
        <v>0.0336844637449225</v>
      </c>
      <c r="AP78" s="46" t="n">
        <f aca="false">+AP48</f>
        <v>0.0336220480043213</v>
      </c>
      <c r="AQ78" s="46" t="n">
        <f aca="false">+AQ48</f>
        <v>0.0323703789774887</v>
      </c>
      <c r="AR78" s="3"/>
      <c r="AS78" s="3"/>
    </row>
    <row r="79" s="4" customFormat="true" ht="15" hidden="false" customHeight="false" outlineLevel="0" collapsed="false">
      <c r="A79" s="17" t="n">
        <v>40968</v>
      </c>
      <c r="B79" s="23" t="n">
        <v>14293.67</v>
      </c>
      <c r="C79" s="24" t="n">
        <f aca="false">(B79/B78-1)/(A79-A78)*360</f>
        <v>0.0499555509825232</v>
      </c>
      <c r="D79" s="19" t="n">
        <f aca="false">B79/$B$3*100</f>
        <v>130.498377634176</v>
      </c>
      <c r="E79" s="19"/>
      <c r="F79" s="19"/>
      <c r="I79" s="5"/>
      <c r="AC79" s="55"/>
      <c r="AD79" s="30" t="s">
        <v>26</v>
      </c>
      <c r="AE79" s="46" t="n">
        <f aca="false">+AE36</f>
        <v>0.0402581785811478</v>
      </c>
      <c r="AF79" s="46" t="n">
        <f aca="false">+AF36</f>
        <v>0.0409109229604843</v>
      </c>
      <c r="AG79" s="46" t="n">
        <f aca="false">+AG36</f>
        <v>0.0431490971762111</v>
      </c>
      <c r="AH79" s="46" t="n">
        <f aca="false">+AH36</f>
        <v>0.0455058158172701</v>
      </c>
      <c r="AI79" s="46" t="n">
        <f aca="false">+AI36</f>
        <v>0.0417823988921854</v>
      </c>
      <c r="AJ79" s="46" t="n">
        <f aca="false">+AJ36</f>
        <v>0.0451713793914665</v>
      </c>
      <c r="AK79" s="46" t="n">
        <f aca="false">+AK36</f>
        <v>0.0476979503764599</v>
      </c>
      <c r="AL79" s="46" t="n">
        <f aca="false">+AL36</f>
        <v>0.0516335226540568</v>
      </c>
      <c r="AM79" s="46" t="n">
        <f aca="false">+AM36</f>
        <v>0.0488689866038641</v>
      </c>
      <c r="AN79" s="46" t="n">
        <f aca="false">+AN36</f>
        <v>0.0491486127013515</v>
      </c>
      <c r="AO79" s="46" t="n">
        <f aca="false">+AO36</f>
        <v>0.047412059262542</v>
      </c>
      <c r="AP79" s="46" t="n">
        <f aca="false">+AP36</f>
        <v>0.0517956780822437</v>
      </c>
      <c r="AQ79" s="46" t="n">
        <f aca="false">+AQ36</f>
        <v>0.0441837967973213</v>
      </c>
      <c r="AR79" s="3"/>
      <c r="AS79" s="3"/>
    </row>
    <row r="80" s="4" customFormat="true" ht="15" hidden="false" customHeight="false" outlineLevel="0" collapsed="false">
      <c r="A80" s="17" t="n">
        <v>40998</v>
      </c>
      <c r="B80" s="23" t="n">
        <v>14353.34</v>
      </c>
      <c r="C80" s="24" t="n">
        <f aca="false">(B80/B79-1)/(A80-A79)*360</f>
        <v>0.0500949021489925</v>
      </c>
      <c r="D80" s="19" t="n">
        <f aca="false">B80/$B$3*100</f>
        <v>131.043152922358</v>
      </c>
      <c r="E80" s="19"/>
      <c r="F80" s="19"/>
      <c r="I80" s="5"/>
      <c r="AC80" s="55" t="n">
        <v>2026</v>
      </c>
      <c r="AD80" s="30" t="s">
        <v>25</v>
      </c>
      <c r="AE80" s="46" t="n">
        <f aca="false">+AE49</f>
        <v>0.0334784763756968</v>
      </c>
      <c r="AF80" s="46" t="n">
        <f aca="false">+AF49</f>
        <v>0.0325052491977638</v>
      </c>
      <c r="AG80" s="46" t="n">
        <f aca="false">+AG49</f>
        <v>0.0316662519400793</v>
      </c>
      <c r="AH80" s="46" t="n">
        <f aca="false">+AH49</f>
        <v>-12</v>
      </c>
      <c r="AI80" s="46"/>
      <c r="AJ80" s="46"/>
      <c r="AK80" s="46"/>
      <c r="AL80" s="46"/>
      <c r="AM80" s="46"/>
      <c r="AN80" s="46"/>
      <c r="AO80" s="46"/>
      <c r="AP80" s="46"/>
      <c r="AQ80" s="46" t="n">
        <f aca="false">+AQ49</f>
        <v>-3</v>
      </c>
      <c r="AR80" s="3"/>
      <c r="AS80" s="3"/>
    </row>
    <row r="81" s="4" customFormat="true" ht="15" hidden="false" customHeight="false" outlineLevel="0" collapsed="false">
      <c r="A81" s="17" t="n">
        <v>41029</v>
      </c>
      <c r="B81" s="23" t="n">
        <v>14415.21</v>
      </c>
      <c r="C81" s="24" t="n">
        <f aca="false">(B81/B80-1)/(A81-A80)*360</f>
        <v>0.0500573610449308</v>
      </c>
      <c r="D81" s="19" t="n">
        <f aca="false">B81/$B$3*100</f>
        <v>131.608013775045</v>
      </c>
      <c r="E81" s="19"/>
      <c r="F81" s="19"/>
      <c r="I81" s="5"/>
      <c r="AC81" s="55"/>
      <c r="AD81" s="30" t="s">
        <v>26</v>
      </c>
      <c r="AE81" s="46" t="n">
        <f aca="false">+AE37</f>
        <v>0.0485324100400162</v>
      </c>
      <c r="AF81" s="46" t="n">
        <f aca="false">+AF37</f>
        <v>0.0390167521678486</v>
      </c>
      <c r="AG81" s="46" t="n">
        <f aca="false">+AG37</f>
        <v>0.055211070462702</v>
      </c>
      <c r="AH81" s="46" t="n">
        <f aca="false">+AH37</f>
        <v>0.0485223590786186</v>
      </c>
      <c r="AI81" s="46"/>
      <c r="AJ81" s="46"/>
      <c r="AK81" s="46"/>
      <c r="AL81" s="46"/>
      <c r="AM81" s="46"/>
      <c r="AN81" s="46"/>
      <c r="AO81" s="46"/>
      <c r="AP81" s="46"/>
      <c r="AQ81" s="46" t="n">
        <f aca="false">+AQ37</f>
        <v>0.0356353003133025</v>
      </c>
      <c r="AR81" s="3"/>
      <c r="AS81" s="3"/>
    </row>
    <row r="82" s="4" customFormat="true" ht="15" hidden="false" customHeight="false" outlineLevel="0" collapsed="false">
      <c r="A82" s="17" t="n">
        <v>41060</v>
      </c>
      <c r="B82" s="23" t="n">
        <v>14477.55</v>
      </c>
      <c r="C82" s="24" t="n">
        <f aca="false">(B82/B81-1)/(A82-A81)*360</f>
        <v>0.0502211474613809</v>
      </c>
      <c r="D82" s="19" t="n">
        <f aca="false">B82/$B$3*100</f>
        <v>132.177165634695</v>
      </c>
      <c r="E82" s="19"/>
      <c r="F82" s="19"/>
      <c r="I82" s="5"/>
      <c r="AC82" s="3"/>
      <c r="AD82" s="3"/>
      <c r="AE82" s="3"/>
      <c r="AF82" s="3"/>
      <c r="AG82" s="3"/>
      <c r="AH82" s="3"/>
      <c r="AI82" s="3"/>
      <c r="AJ82" s="3"/>
      <c r="AK82" s="3"/>
      <c r="AL82" s="3"/>
      <c r="AM82" s="3"/>
      <c r="AN82" s="3"/>
      <c r="AO82" s="3"/>
      <c r="AP82" s="3"/>
      <c r="AQ82" s="3"/>
      <c r="AR82" s="3"/>
      <c r="AS82" s="3"/>
    </row>
    <row r="83" s="4" customFormat="true" ht="15" hidden="false" customHeight="false" outlineLevel="0" collapsed="false">
      <c r="A83" s="17" t="n">
        <v>41089</v>
      </c>
      <c r="B83" s="23" t="n">
        <v>14536.13</v>
      </c>
      <c r="C83" s="24" t="n">
        <f aca="false">(B83/B82-1)/(A83-A82)*360</f>
        <v>0.0502294932498928</v>
      </c>
      <c r="D83" s="19" t="n">
        <f aca="false">B83/$B$3*100</f>
        <v>132.711989438645</v>
      </c>
      <c r="E83" s="19"/>
      <c r="F83" s="19"/>
      <c r="I83" s="5"/>
      <c r="AC83" s="3"/>
      <c r="AD83" s="3"/>
      <c r="AE83" s="3"/>
      <c r="AF83" s="3"/>
      <c r="AG83" s="3"/>
      <c r="AH83" s="3"/>
      <c r="AI83" s="3"/>
      <c r="AJ83" s="3"/>
      <c r="AK83" s="3"/>
      <c r="AL83" s="3"/>
      <c r="AM83" s="3"/>
      <c r="AN83" s="3"/>
      <c r="AO83" s="3"/>
      <c r="AP83" s="3"/>
      <c r="AQ83" s="3"/>
      <c r="AR83" s="3"/>
      <c r="AS83" s="3"/>
    </row>
    <row r="84" s="4" customFormat="true" ht="15" hidden="false" customHeight="false" outlineLevel="0" collapsed="false">
      <c r="A84" s="17" t="n">
        <v>41121</v>
      </c>
      <c r="B84" s="23" t="n">
        <v>14600.61</v>
      </c>
      <c r="C84" s="24" t="n">
        <f aca="false">(B84/B83-1)/(A84-A83)*360</f>
        <v>0.0499032410964959</v>
      </c>
      <c r="D84" s="19" t="n">
        <f aca="false">B84/$B$3*100</f>
        <v>133.300679074676</v>
      </c>
      <c r="E84" s="19"/>
      <c r="F84" s="19"/>
      <c r="I84" s="5"/>
      <c r="AC84" s="25" t="s">
        <v>27</v>
      </c>
      <c r="AD84" s="3"/>
      <c r="AE84" s="3"/>
      <c r="AF84" s="3"/>
      <c r="AG84" s="3"/>
      <c r="AH84" s="3"/>
      <c r="AI84" s="3"/>
      <c r="AJ84" s="3"/>
      <c r="AK84" s="3"/>
      <c r="AL84" s="3"/>
      <c r="AM84" s="3"/>
      <c r="AN84" s="3"/>
      <c r="AO84" s="3"/>
      <c r="AP84" s="3"/>
      <c r="AQ84" s="3"/>
      <c r="AR84" s="3"/>
      <c r="AS84" s="3"/>
    </row>
    <row r="85" s="4" customFormat="true" ht="15" hidden="false" customHeight="false" outlineLevel="0" collapsed="false">
      <c r="A85" s="17" t="n">
        <v>41152</v>
      </c>
      <c r="B85" s="23" t="n">
        <v>14663.33</v>
      </c>
      <c r="C85" s="24" t="n">
        <f aca="false">(B85/B84-1)/(A85-A84)*360</f>
        <v>0.0498856753466172</v>
      </c>
      <c r="D85" s="19" t="n">
        <f aca="false">B85/$B$3*100</f>
        <v>133.873300259104</v>
      </c>
      <c r="E85" s="19"/>
      <c r="F85" s="19"/>
      <c r="I85" s="5"/>
      <c r="AC85" s="3"/>
      <c r="AD85" s="17" t="n">
        <v>42886</v>
      </c>
      <c r="AE85" s="20"/>
      <c r="AF85" s="20"/>
      <c r="AG85" s="3"/>
      <c r="AH85" s="3"/>
      <c r="AI85" s="3"/>
      <c r="AJ85" s="3"/>
      <c r="AK85" s="3"/>
      <c r="AL85" s="3"/>
      <c r="AM85" s="3"/>
      <c r="AN85" s="3"/>
      <c r="AO85" s="3"/>
      <c r="AP85" s="3"/>
      <c r="AQ85" s="3"/>
      <c r="AR85" s="3"/>
      <c r="AS85" s="3"/>
    </row>
    <row r="86" s="4" customFormat="true" ht="15" hidden="false" customHeight="false" outlineLevel="0" collapsed="false">
      <c r="A86" s="17" t="n">
        <v>41180</v>
      </c>
      <c r="B86" s="23" t="n">
        <v>14720.68</v>
      </c>
      <c r="C86" s="24" t="n">
        <f aca="false">(B86/B85-1)/(A86-A85)*360</f>
        <v>0.0502857906667284</v>
      </c>
      <c r="D86" s="19" t="n">
        <f aca="false">B86/$B$3*100</f>
        <v>134.396894406536</v>
      </c>
      <c r="E86" s="19"/>
      <c r="F86" s="19"/>
      <c r="I86" s="5"/>
      <c r="AC86" s="3"/>
      <c r="AD86" s="17" t="n">
        <v>42916</v>
      </c>
      <c r="AE86" s="20"/>
      <c r="AF86" s="20"/>
      <c r="AG86" s="3"/>
      <c r="AH86" s="3"/>
      <c r="AI86" s="3"/>
      <c r="AJ86" s="3"/>
      <c r="AK86" s="3"/>
      <c r="AL86" s="3"/>
      <c r="AM86" s="3"/>
      <c r="AN86" s="3"/>
      <c r="AO86" s="3"/>
      <c r="AP86" s="3"/>
      <c r="AQ86" s="3"/>
      <c r="AR86" s="3"/>
      <c r="AS86" s="3"/>
    </row>
    <row r="87" s="4" customFormat="true" ht="15" hidden="false" customHeight="false" outlineLevel="0" collapsed="false">
      <c r="A87" s="17" t="n">
        <v>41213</v>
      </c>
      <c r="B87" s="23" t="n">
        <v>14788.56</v>
      </c>
      <c r="C87" s="24" t="n">
        <f aca="false">(B87/B86-1)/(A87-A86)*360</f>
        <v>0.0503040002845704</v>
      </c>
      <c r="D87" s="19" t="n">
        <f aca="false">B87/$B$3*100</f>
        <v>135.016625369529</v>
      </c>
      <c r="E87" s="19"/>
      <c r="F87" s="19"/>
      <c r="I87" s="5"/>
      <c r="AC87" s="3"/>
      <c r="AD87" s="17" t="n">
        <v>42947</v>
      </c>
      <c r="AE87" s="20"/>
      <c r="AF87" s="20"/>
      <c r="AG87" s="3"/>
      <c r="AH87" s="3"/>
      <c r="AI87" s="3"/>
      <c r="AJ87" s="3"/>
      <c r="AK87" s="3"/>
      <c r="AL87" s="3"/>
      <c r="AM87" s="3"/>
      <c r="AN87" s="3"/>
      <c r="AO87" s="3"/>
      <c r="AP87" s="3"/>
      <c r="AQ87" s="3"/>
      <c r="AR87" s="3"/>
      <c r="AS87" s="3"/>
    </row>
    <row r="88" s="4" customFormat="true" ht="15" hidden="false" customHeight="false" outlineLevel="0" collapsed="false">
      <c r="A88" s="17" t="n">
        <v>41243</v>
      </c>
      <c r="B88" s="23" t="n">
        <v>14850.38</v>
      </c>
      <c r="C88" s="24" t="n">
        <f aca="false">(B88/B87-1)/(A88-A87)*360</f>
        <v>0.0501630990441262</v>
      </c>
      <c r="D88" s="19" t="n">
        <f aca="false">B88/$B$3*100</f>
        <v>135.581029732113</v>
      </c>
      <c r="E88" s="19"/>
      <c r="F88" s="19"/>
      <c r="I88" s="5"/>
      <c r="AC88" s="3"/>
      <c r="AD88" s="17" t="n">
        <v>42978</v>
      </c>
      <c r="AE88" s="20"/>
      <c r="AF88" s="20"/>
      <c r="AG88" s="3"/>
      <c r="AH88" s="3"/>
      <c r="AI88" s="3"/>
      <c r="AJ88" s="3"/>
      <c r="AK88" s="3"/>
      <c r="AL88" s="3"/>
      <c r="AM88" s="3"/>
      <c r="AN88" s="3"/>
      <c r="AO88" s="3"/>
      <c r="AP88" s="3"/>
      <c r="AQ88" s="3"/>
    </row>
    <row r="89" s="4" customFormat="true" ht="15" hidden="false" customHeight="false" outlineLevel="0" collapsed="false">
      <c r="A89" s="17" t="n">
        <v>41274</v>
      </c>
      <c r="B89" s="23" t="n">
        <v>14908.2</v>
      </c>
      <c r="C89" s="24" t="n">
        <f aca="false">(B89/B88-1)/(A89-A88)*360</f>
        <v>0.04521487426693</v>
      </c>
      <c r="D89" s="19" t="n">
        <f aca="false">B89/$B$3*100</f>
        <v>136.108914886507</v>
      </c>
      <c r="E89" s="19"/>
      <c r="F89" s="19"/>
      <c r="I89" s="5"/>
      <c r="AC89" s="3"/>
      <c r="AD89" s="17" t="n">
        <v>43008</v>
      </c>
      <c r="AE89" s="20"/>
      <c r="AF89" s="20"/>
      <c r="AG89" s="3"/>
      <c r="AH89" s="3"/>
      <c r="AI89" s="3"/>
      <c r="AJ89" s="3"/>
      <c r="AK89" s="3"/>
      <c r="AL89" s="3"/>
      <c r="AM89" s="3"/>
      <c r="AN89" s="3"/>
      <c r="AO89" s="3"/>
      <c r="AP89" s="3"/>
      <c r="AQ89" s="3"/>
    </row>
    <row r="90" s="4" customFormat="true" ht="15" hidden="false" customHeight="false" outlineLevel="0" collapsed="false">
      <c r="A90" s="17" t="n">
        <v>41305</v>
      </c>
      <c r="B90" s="23" t="n">
        <v>14978.58</v>
      </c>
      <c r="C90" s="24" t="n">
        <f aca="false">(B90/B89-1)/(A90-A89)*360</f>
        <v>0.0548232602884495</v>
      </c>
      <c r="D90" s="19" t="n">
        <f aca="false">B90/$B$3*100</f>
        <v>136.75147035462</v>
      </c>
      <c r="E90" s="19"/>
      <c r="F90" s="19"/>
      <c r="I90" s="5"/>
      <c r="AC90" s="3"/>
      <c r="AD90" s="17" t="n">
        <v>43039</v>
      </c>
      <c r="AE90" s="20"/>
      <c r="AF90" s="20"/>
      <c r="AG90" s="3"/>
      <c r="AH90" s="3"/>
      <c r="AI90" s="3"/>
      <c r="AJ90" s="3"/>
      <c r="AK90" s="3"/>
      <c r="AL90" s="3"/>
      <c r="AM90" s="3"/>
      <c r="AN90" s="3"/>
      <c r="AO90" s="3"/>
      <c r="AP90" s="3"/>
      <c r="AQ90" s="3"/>
    </row>
    <row r="91" s="4" customFormat="true" ht="15" hidden="false" customHeight="false" outlineLevel="0" collapsed="false">
      <c r="A91" s="17" t="n">
        <v>41333</v>
      </c>
      <c r="B91" s="23" t="n">
        <v>15036.94</v>
      </c>
      <c r="C91" s="24" t="n">
        <f aca="false">(B91/B90-1)/(A91-A90)*360</f>
        <v>0.0500943919345393</v>
      </c>
      <c r="D91" s="19" t="n">
        <f aca="false">B91/$B$3*100</f>
        <v>137.28428560212</v>
      </c>
      <c r="E91" s="19"/>
      <c r="F91" s="19"/>
      <c r="I91" s="5"/>
      <c r="AC91" s="3"/>
      <c r="AD91" s="17" t="n">
        <v>43069</v>
      </c>
      <c r="AE91" s="20"/>
      <c r="AF91" s="20"/>
      <c r="AG91" s="3"/>
      <c r="AH91" s="3"/>
      <c r="AI91" s="3"/>
      <c r="AJ91" s="3"/>
      <c r="AK91" s="3"/>
      <c r="AL91" s="3"/>
      <c r="AM91" s="3"/>
      <c r="AN91" s="3"/>
      <c r="AO91" s="3"/>
      <c r="AP91" s="3"/>
      <c r="AQ91" s="3"/>
    </row>
    <row r="92" s="4" customFormat="true" ht="15" hidden="false" customHeight="false" outlineLevel="0" collapsed="false">
      <c r="A92" s="17" t="n">
        <v>41362</v>
      </c>
      <c r="B92" s="23" t="n">
        <v>15095.51</v>
      </c>
      <c r="C92" s="24" t="n">
        <f aca="false">(B92/B91-1)/(A92-A91)*360</f>
        <v>0.0483526476842351</v>
      </c>
      <c r="D92" s="19" t="n">
        <f aca="false">B92/$B$3*100</f>
        <v>137.819018108049</v>
      </c>
      <c r="E92" s="19"/>
      <c r="F92" s="19"/>
      <c r="I92" s="5"/>
      <c r="AC92" s="3"/>
      <c r="AD92" s="17" t="n">
        <v>43100</v>
      </c>
      <c r="AE92" s="20"/>
      <c r="AF92" s="20"/>
      <c r="AG92" s="3"/>
      <c r="AH92" s="3"/>
      <c r="AI92" s="3"/>
      <c r="AJ92" s="3"/>
      <c r="AK92" s="3"/>
      <c r="AL92" s="3"/>
      <c r="AM92" s="3"/>
      <c r="AN92" s="3"/>
      <c r="AO92" s="3"/>
      <c r="AP92" s="3"/>
      <c r="AQ92" s="3"/>
    </row>
    <row r="93" s="4" customFormat="true" ht="15" hidden="false" customHeight="false" outlineLevel="0" collapsed="false">
      <c r="A93" s="17" t="n">
        <v>41394</v>
      </c>
      <c r="B93" s="23" t="n">
        <v>15164.77</v>
      </c>
      <c r="C93" s="24" t="n">
        <f aca="false">(B93/B92-1)/(A93-A92)*360</f>
        <v>0.0516163415479182</v>
      </c>
      <c r="D93" s="19" t="n">
        <f aca="false">B93/$B$3*100</f>
        <v>138.451348197868</v>
      </c>
      <c r="E93" s="19"/>
      <c r="F93" s="19"/>
      <c r="I93" s="5"/>
      <c r="AC93" s="3"/>
      <c r="AD93" s="17" t="n">
        <v>43131</v>
      </c>
      <c r="AE93" s="20"/>
      <c r="AF93" s="20" t="n">
        <v>0.0109677078200737</v>
      </c>
      <c r="AG93" s="3"/>
      <c r="AH93" s="3"/>
      <c r="AI93" s="3"/>
      <c r="AJ93" s="3"/>
      <c r="AK93" s="3"/>
      <c r="AL93" s="3"/>
      <c r="AM93" s="3"/>
      <c r="AN93" s="3"/>
      <c r="AO93" s="3"/>
      <c r="AP93" s="3"/>
      <c r="AQ93" s="3"/>
    </row>
    <row r="94" s="4" customFormat="true" ht="15" hidden="false" customHeight="false" outlineLevel="0" collapsed="false">
      <c r="A94" s="17" t="n">
        <v>41425</v>
      </c>
      <c r="B94" s="23" t="n">
        <v>15230.38</v>
      </c>
      <c r="C94" s="24" t="n">
        <f aca="false">(B94/B93-1)/(A94-A93)*360</f>
        <v>0.0502429367966125</v>
      </c>
      <c r="D94" s="19" t="n">
        <f aca="false">B94/$B$3*100</f>
        <v>139.050354510214</v>
      </c>
      <c r="E94" s="19"/>
      <c r="F94" s="19"/>
      <c r="I94" s="5"/>
      <c r="AC94" s="3"/>
      <c r="AD94" s="17" t="n">
        <v>43159</v>
      </c>
      <c r="AE94" s="20"/>
      <c r="AF94" s="20" t="n">
        <v>0.01062231324644</v>
      </c>
      <c r="AG94" s="3"/>
      <c r="AH94" s="3"/>
      <c r="AI94" s="3"/>
      <c r="AJ94" s="3"/>
      <c r="AK94" s="3"/>
      <c r="AL94" s="3"/>
      <c r="AM94" s="3"/>
      <c r="AN94" s="3"/>
      <c r="AO94" s="3"/>
      <c r="AP94" s="3"/>
      <c r="AQ94" s="3"/>
    </row>
    <row r="95" s="4" customFormat="true" ht="15" hidden="false" customHeight="false" outlineLevel="0" collapsed="false">
      <c r="A95" s="17" t="n">
        <v>41453</v>
      </c>
      <c r="B95" s="23" t="n">
        <v>15289.74</v>
      </c>
      <c r="C95" s="24" t="n">
        <f aca="false">(B95/B94-1)/(A95-A94)*360</f>
        <v>0.0501103715074756</v>
      </c>
      <c r="D95" s="19" t="n">
        <f aca="false">B95/$B$3*100</f>
        <v>139.592299559761</v>
      </c>
      <c r="E95" s="19"/>
      <c r="F95" s="19"/>
      <c r="I95" s="5"/>
      <c r="AC95" s="3"/>
      <c r="AD95" s="17" t="n">
        <v>43190</v>
      </c>
      <c r="AE95" s="20"/>
      <c r="AF95" s="20" t="n">
        <v>0.010902695983241</v>
      </c>
      <c r="AG95" s="3"/>
      <c r="AH95" s="3"/>
      <c r="AI95" s="3"/>
      <c r="AJ95" s="3"/>
      <c r="AK95" s="3"/>
      <c r="AL95" s="3"/>
      <c r="AM95" s="3"/>
      <c r="AN95" s="3"/>
      <c r="AO95" s="3"/>
      <c r="AP95" s="3"/>
      <c r="AQ95" s="3"/>
    </row>
    <row r="96" s="4" customFormat="true" ht="15" hidden="false" customHeight="false" outlineLevel="0" collapsed="false">
      <c r="A96" s="17" t="n">
        <v>41486</v>
      </c>
      <c r="B96" s="23" t="n">
        <v>15360.27</v>
      </c>
      <c r="C96" s="24" t="n">
        <f aca="false">(B96/B95-1)/(A96-A95)*360</f>
        <v>0.0503225157405024</v>
      </c>
      <c r="D96" s="19" t="n">
        <f aca="false">B96/$B$3*100</f>
        <v>140.23622449818</v>
      </c>
      <c r="E96" s="19"/>
      <c r="F96" s="19"/>
      <c r="I96" s="5"/>
      <c r="AC96" s="3"/>
      <c r="AD96" s="17" t="n">
        <v>43220</v>
      </c>
      <c r="AE96" s="20"/>
      <c r="AF96" s="20" t="n">
        <v>0.0122877033683277</v>
      </c>
      <c r="AG96" s="3"/>
      <c r="AH96" s="3"/>
      <c r="AI96" s="3"/>
      <c r="AJ96" s="3"/>
      <c r="AK96" s="3"/>
      <c r="AL96" s="3"/>
      <c r="AM96" s="3"/>
      <c r="AN96" s="3"/>
      <c r="AO96" s="3"/>
      <c r="AP96" s="3"/>
      <c r="AQ96" s="3"/>
    </row>
    <row r="97" s="4" customFormat="true" ht="15" hidden="false" customHeight="false" outlineLevel="0" collapsed="false">
      <c r="A97" s="17" t="n">
        <v>41516</v>
      </c>
      <c r="B97" s="23" t="n">
        <v>15424.43</v>
      </c>
      <c r="C97" s="24" t="n">
        <f aca="false">(B97/B96-1)/(A97-A96)*360</f>
        <v>0.0501241189119721</v>
      </c>
      <c r="D97" s="19" t="n">
        <f aca="false">B97/$B$3*100</f>
        <v>140.821992597557</v>
      </c>
      <c r="E97" s="19"/>
      <c r="F97" s="19"/>
      <c r="I97" s="5"/>
      <c r="AC97" s="3"/>
      <c r="AD97" s="17" t="n">
        <v>43251</v>
      </c>
      <c r="AE97" s="20"/>
      <c r="AF97" s="20" t="n">
        <v>0.0135760494951163</v>
      </c>
      <c r="AG97" s="3"/>
      <c r="AH97" s="3"/>
      <c r="AI97" s="3"/>
      <c r="AJ97" s="3"/>
      <c r="AK97" s="3"/>
      <c r="AL97" s="3"/>
      <c r="AM97" s="3"/>
      <c r="AN97" s="3"/>
      <c r="AO97" s="3"/>
      <c r="AP97" s="3"/>
      <c r="AQ97" s="3"/>
    </row>
    <row r="98" s="4" customFormat="true" ht="15" hidden="false" customHeight="false" outlineLevel="0" collapsed="false">
      <c r="A98" s="17" t="n">
        <v>41547</v>
      </c>
      <c r="B98" s="23" t="n">
        <v>15490.99</v>
      </c>
      <c r="C98" s="24" t="n">
        <f aca="false">(B98/B97-1)/(A98-A97)*360</f>
        <v>0.0501123761921609</v>
      </c>
      <c r="D98" s="19" t="n">
        <f aca="false">B98/$B$3*100</f>
        <v>141.429672221847</v>
      </c>
      <c r="E98" s="19"/>
      <c r="F98" s="19"/>
      <c r="I98" s="5"/>
      <c r="AC98" s="3"/>
      <c r="AD98" s="17" t="n">
        <v>43281</v>
      </c>
      <c r="AE98" s="20"/>
      <c r="AF98" s="20" t="n">
        <v>0.014993145885561</v>
      </c>
      <c r="AG98" s="3"/>
      <c r="AH98" s="3"/>
      <c r="AI98" s="3"/>
      <c r="AJ98" s="3"/>
      <c r="AK98" s="3"/>
      <c r="AL98" s="3"/>
      <c r="AM98" s="3"/>
      <c r="AN98" s="3"/>
      <c r="AO98" s="3"/>
      <c r="AP98" s="3"/>
      <c r="AQ98" s="3"/>
    </row>
    <row r="99" s="4" customFormat="true" ht="15" hidden="false" customHeight="false" outlineLevel="0" collapsed="false">
      <c r="A99" s="17" t="n">
        <v>41578</v>
      </c>
      <c r="B99" s="23" t="n">
        <v>15554.36</v>
      </c>
      <c r="C99" s="24" t="n">
        <f aca="false">(B99/B98-1)/(A99-A98)*360</f>
        <v>0.0475056582839038</v>
      </c>
      <c r="D99" s="19" t="n">
        <f aca="false">B99/$B$3*100</f>
        <v>142.008227777605</v>
      </c>
      <c r="E99" s="19"/>
      <c r="F99" s="19"/>
      <c r="I99" s="5"/>
      <c r="AD99" s="17" t="n">
        <v>43312</v>
      </c>
      <c r="AE99" s="20"/>
      <c r="AF99" s="20" t="n">
        <v>0.0160176461573164</v>
      </c>
    </row>
    <row r="100" s="4" customFormat="true" ht="15" hidden="false" customHeight="false" outlineLevel="0" collapsed="false">
      <c r="A100" s="17" t="n">
        <v>41607</v>
      </c>
      <c r="B100" s="23" t="n">
        <v>15615.06</v>
      </c>
      <c r="C100" s="24" t="n">
        <f aca="false">(B100/B99-1)/(A100-A99)*360</f>
        <v>0.0484441173651184</v>
      </c>
      <c r="D100" s="19" t="n">
        <f aca="false">B100/$B$3*100</f>
        <v>142.562406761897</v>
      </c>
      <c r="E100" s="19"/>
      <c r="F100" s="19"/>
      <c r="I100" s="5"/>
      <c r="AD100" s="17" t="n">
        <v>43343</v>
      </c>
      <c r="AE100" s="20"/>
      <c r="AF100" s="20" t="n">
        <v>0.0157735276011957</v>
      </c>
    </row>
    <row r="101" s="4" customFormat="true" ht="15" hidden="false" customHeight="false" outlineLevel="0" collapsed="false">
      <c r="A101" s="17" t="n">
        <v>41639</v>
      </c>
      <c r="B101" s="23" t="n">
        <v>15675.68</v>
      </c>
      <c r="C101" s="24" t="n">
        <f aca="false">(B101/B100-1)/(A101-A100)*360</f>
        <v>0.0436741837687463</v>
      </c>
      <c r="D101" s="19" t="n">
        <f aca="false">B101/$B$3*100</f>
        <v>143.115855362024</v>
      </c>
      <c r="E101" s="19"/>
      <c r="F101" s="19"/>
      <c r="I101" s="5"/>
      <c r="AD101" s="17" t="n">
        <v>43373</v>
      </c>
      <c r="AE101" s="20"/>
      <c r="AF101" s="20" t="n">
        <v>0.0167052681026343</v>
      </c>
    </row>
    <row r="102" s="4" customFormat="true" ht="15" hidden="false" customHeight="false" outlineLevel="0" collapsed="false">
      <c r="A102" s="17" t="n">
        <v>41670</v>
      </c>
      <c r="B102" s="23" t="n">
        <v>15738.45</v>
      </c>
      <c r="C102" s="24" t="n">
        <f aca="false">(B102/B101-1)/(A102-A101)*360</f>
        <v>0.0465014554701228</v>
      </c>
      <c r="D102" s="19" t="n">
        <f aca="false">B102/$B$3*100</f>
        <v>143.688933036554</v>
      </c>
      <c r="E102" s="19"/>
      <c r="F102" s="19"/>
      <c r="I102" s="5"/>
      <c r="AD102" s="17" t="n">
        <v>43404</v>
      </c>
      <c r="AE102" s="20"/>
      <c r="AF102" s="20" t="n">
        <v>0.0169646796562127</v>
      </c>
    </row>
    <row r="103" s="4" customFormat="true" ht="15" hidden="false" customHeight="false" outlineLevel="0" collapsed="false">
      <c r="A103" s="17" t="n">
        <v>41698</v>
      </c>
      <c r="B103" s="23" t="n">
        <v>15792.47</v>
      </c>
      <c r="C103" s="24" t="n">
        <f aca="false">(B103/B102-1)/(A103-A102)*360</f>
        <v>0.0441303214193787</v>
      </c>
      <c r="D103" s="19" t="n">
        <f aca="false">B103/$B$3*100</f>
        <v>144.182124943167</v>
      </c>
      <c r="E103" s="19"/>
      <c r="F103" s="19"/>
      <c r="I103" s="5"/>
      <c r="AD103" s="17" t="n">
        <v>43434</v>
      </c>
      <c r="AE103" s="20"/>
      <c r="AF103" s="20" t="n">
        <v>0.0151749292964531</v>
      </c>
    </row>
    <row r="104" s="4" customFormat="true" ht="15" hidden="false" customHeight="false" outlineLevel="0" collapsed="false">
      <c r="A104" s="17" t="n">
        <v>41729</v>
      </c>
      <c r="B104" s="23" t="n">
        <v>15848.53</v>
      </c>
      <c r="C104" s="24" t="n">
        <f aca="false">(B104/B103-1)/(A104-A103)*360</f>
        <v>0.0412234029786819</v>
      </c>
      <c r="D104" s="19" t="n">
        <f aca="false">B104/$B$3*100</f>
        <v>144.693941645957</v>
      </c>
      <c r="E104" s="19"/>
      <c r="F104" s="19"/>
      <c r="I104" s="5"/>
      <c r="AD104" s="17" t="n">
        <v>43465</v>
      </c>
      <c r="AE104" s="20"/>
      <c r="AF104" s="20" t="n">
        <v>0.0181007589965598</v>
      </c>
    </row>
    <row r="105" s="4" customFormat="true" ht="15" hidden="false" customHeight="false" outlineLevel="0" collapsed="false">
      <c r="A105" s="17" t="n">
        <v>41759</v>
      </c>
      <c r="B105" s="23" t="n">
        <v>15901.43</v>
      </c>
      <c r="C105" s="24" t="n">
        <f aca="false">(B105/B104-1)/(A105-A104)*360</f>
        <v>0.0400541879909353</v>
      </c>
      <c r="D105" s="19" t="n">
        <f aca="false">B105/$B$3*100</f>
        <v>145.176908174277</v>
      </c>
      <c r="E105" s="19"/>
      <c r="F105" s="19"/>
      <c r="I105" s="5"/>
      <c r="AD105" s="17" t="n">
        <v>43496</v>
      </c>
      <c r="AE105" s="20" t="n">
        <v>0.0341010661931522</v>
      </c>
      <c r="AF105" s="20" t="n">
        <v>0.0198713101170534</v>
      </c>
    </row>
    <row r="106" s="4" customFormat="true" ht="15" hidden="false" customHeight="false" outlineLevel="0" collapsed="false">
      <c r="A106" s="17" t="n">
        <v>41789</v>
      </c>
      <c r="B106" s="23" t="n">
        <v>15954.5</v>
      </c>
      <c r="C106" s="24" t="n">
        <f aca="false">(B106/B105-1)/(A106-A105)*360</f>
        <v>0.0400492282769545</v>
      </c>
      <c r="D106" s="19" t="n">
        <f aca="false">B106/$B$3*100</f>
        <v>145.661426768945</v>
      </c>
      <c r="E106" s="19"/>
      <c r="F106" s="19"/>
      <c r="I106" s="5"/>
      <c r="AD106" s="17" t="n">
        <v>43524</v>
      </c>
      <c r="AE106" s="20" t="n">
        <v>0.0301153682876141</v>
      </c>
      <c r="AF106" s="20" t="n">
        <v>0.01927474533159</v>
      </c>
    </row>
    <row r="107" s="4" customFormat="true" ht="15" hidden="false" customHeight="false" outlineLevel="0" collapsed="false">
      <c r="A107" s="17" t="n">
        <v>41820</v>
      </c>
      <c r="B107" s="23" t="n">
        <v>16009.53</v>
      </c>
      <c r="C107" s="24" t="n">
        <f aca="false">(B107/B106-1)/(A107-A106)*360</f>
        <v>0.040055035539575</v>
      </c>
      <c r="D107" s="19" t="n">
        <f aca="false">B107/$B$3*100</f>
        <v>146.163839775626</v>
      </c>
      <c r="E107" s="19"/>
      <c r="F107" s="19"/>
      <c r="I107" s="5"/>
      <c r="AD107" s="17" t="n">
        <v>43555</v>
      </c>
      <c r="AE107" s="20" t="n">
        <v>0.0339217670873033</v>
      </c>
      <c r="AF107" s="20" t="n">
        <v>0.0196973062141103</v>
      </c>
    </row>
    <row r="108" s="4" customFormat="true" ht="15" hidden="false" customHeight="false" outlineLevel="0" collapsed="false">
      <c r="A108" s="17" t="n">
        <v>41851</v>
      </c>
      <c r="B108" s="23" t="n">
        <v>16063.18</v>
      </c>
      <c r="C108" s="24" t="n">
        <f aca="false">(B108/B107-1)/(A108-A107)*360</f>
        <v>0.0389163365860538</v>
      </c>
      <c r="D108" s="19" t="n">
        <f aca="false">B108/$B$3*100</f>
        <v>146.653653655481</v>
      </c>
      <c r="E108" s="19"/>
      <c r="F108" s="19"/>
      <c r="I108" s="5"/>
      <c r="AD108" s="17" t="n">
        <v>43585</v>
      </c>
      <c r="AE108" s="20" t="n">
        <v>0.0349504011003834</v>
      </c>
      <c r="AF108" s="20" t="n">
        <v>0.0197704272384396</v>
      </c>
    </row>
    <row r="109" s="4" customFormat="true" ht="15" hidden="false" customHeight="false" outlineLevel="0" collapsed="false">
      <c r="A109" s="17" t="n">
        <v>41880</v>
      </c>
      <c r="B109" s="23" t="n">
        <v>16110.55</v>
      </c>
      <c r="C109" s="24" t="n">
        <f aca="false">(B109/B108-1)/(A109-A108)*360</f>
        <v>0.0366080302474573</v>
      </c>
      <c r="D109" s="19" t="n">
        <f aca="false">B109/$B$3*100</f>
        <v>147.086132378478</v>
      </c>
      <c r="E109" s="19"/>
      <c r="F109" s="19"/>
      <c r="I109" s="5"/>
      <c r="AD109" s="17"/>
    </row>
    <row r="110" s="4" customFormat="true" ht="15" hidden="false" customHeight="false" outlineLevel="0" collapsed="false">
      <c r="A110" s="17" t="n">
        <v>41912</v>
      </c>
      <c r="B110" s="23" t="n">
        <v>16158.37</v>
      </c>
      <c r="C110" s="24" t="n">
        <f aca="false">(B110/B109-1)/(A110-A109)*360</f>
        <v>0.0333927147117888</v>
      </c>
      <c r="D110" s="19" t="n">
        <f aca="false">B110/$B$3*100</f>
        <v>147.522719512396</v>
      </c>
      <c r="E110" s="19"/>
      <c r="F110" s="19"/>
      <c r="I110" s="5"/>
    </row>
    <row r="111" s="4" customFormat="true" ht="15" hidden="false" customHeight="false" outlineLevel="0" collapsed="false">
      <c r="A111" s="17" t="n">
        <v>41943</v>
      </c>
      <c r="B111" s="23" t="n">
        <v>16200.86</v>
      </c>
      <c r="C111" s="24" t="n">
        <f aca="false">(B111/B110-1)/(A111-A110)*360</f>
        <v>0.0305372545661803</v>
      </c>
      <c r="D111" s="19" t="n">
        <f aca="false">B111/$B$3*100</f>
        <v>147.910644801399</v>
      </c>
      <c r="E111" s="19"/>
      <c r="F111" s="19"/>
      <c r="I111" s="5"/>
    </row>
    <row r="112" s="4" customFormat="true" ht="15" hidden="false" customHeight="false" outlineLevel="0" collapsed="false">
      <c r="A112" s="17" t="n">
        <v>41971</v>
      </c>
      <c r="B112" s="23" t="n">
        <v>16240.11</v>
      </c>
      <c r="C112" s="24" t="n">
        <f aca="false">(B112/B111-1)/(A112-A111)*360</f>
        <v>0.0311491400544695</v>
      </c>
      <c r="D112" s="19" t="n">
        <f aca="false">B112/$B$3*100</f>
        <v>148.268989531769</v>
      </c>
      <c r="E112" s="19"/>
      <c r="F112" s="19"/>
      <c r="I112" s="5"/>
    </row>
    <row r="113" s="4" customFormat="true" ht="15" hidden="false" customHeight="false" outlineLevel="0" collapsed="false">
      <c r="A113" s="17" t="n">
        <v>42004</v>
      </c>
      <c r="B113" s="23" t="n">
        <v>16283.49</v>
      </c>
      <c r="C113" s="24" t="n">
        <f aca="false">(B113/B112-1)/(A113-A112)*360</f>
        <v>0.0291399727979885</v>
      </c>
      <c r="D113" s="19" t="n">
        <f aca="false">B113/$B$3*100</f>
        <v>148.665040344595</v>
      </c>
      <c r="E113" s="19"/>
      <c r="F113" s="19"/>
      <c r="I113" s="5"/>
      <c r="AW113" s="3"/>
      <c r="AX113" s="3"/>
      <c r="AY113" s="3"/>
      <c r="AZ113" s="3"/>
      <c r="BA113" s="3"/>
      <c r="BB113" s="3"/>
    </row>
    <row r="114" s="4" customFormat="true" ht="15" hidden="false" customHeight="false" outlineLevel="0" collapsed="false">
      <c r="A114" s="17" t="n">
        <v>42034</v>
      </c>
      <c r="B114" s="23" t="n">
        <v>16325.65</v>
      </c>
      <c r="C114" s="24" t="n">
        <f aca="false">(B114/B113-1)/(A114-A113)*360</f>
        <v>0.0310695065984001</v>
      </c>
      <c r="D114" s="19" t="n">
        <f aca="false">B114/$B$3*100</f>
        <v>149.049952798923</v>
      </c>
      <c r="E114" s="19"/>
      <c r="F114" s="19"/>
      <c r="I114" s="5"/>
      <c r="AV114" s="3"/>
      <c r="AW114" s="3"/>
      <c r="AX114" s="3"/>
      <c r="AY114" s="3"/>
      <c r="AZ114" s="3"/>
      <c r="BA114" s="3"/>
      <c r="BB114" s="3"/>
    </row>
    <row r="115" customFormat="false" ht="15" hidden="false" customHeight="false" outlineLevel="0" collapsed="false">
      <c r="A115" s="17" t="n">
        <v>42062</v>
      </c>
      <c r="B115" s="23" t="n">
        <v>16363.77</v>
      </c>
      <c r="C115" s="24" t="n">
        <f aca="false">(B115/B114-1)/(A115-A114)*360</f>
        <v>0.0300211192641199</v>
      </c>
      <c r="D115" s="19" t="n">
        <f aca="false">B115/$B$3*100</f>
        <v>149.397980852979</v>
      </c>
      <c r="E115" s="19"/>
      <c r="F115" s="19"/>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row>
    <row r="116" customFormat="false" ht="15" hidden="false" customHeight="false" outlineLevel="0" collapsed="false">
      <c r="A116" s="17" t="n">
        <v>42094</v>
      </c>
      <c r="B116" s="23" t="n">
        <v>16407.49</v>
      </c>
      <c r="C116" s="24" t="n">
        <f aca="false">(B116/B115-1)/(A116-A115)*360</f>
        <v>0.0300572545324218</v>
      </c>
      <c r="D116" s="19" t="n">
        <f aca="false">B116/$B$3*100</f>
        <v>149.797135798502</v>
      </c>
      <c r="E116" s="19"/>
      <c r="F116" s="19"/>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row>
    <row r="117" customFormat="false" ht="15" hidden="false" customHeight="false" outlineLevel="0" collapsed="false">
      <c r="A117" s="17" t="n">
        <v>42124</v>
      </c>
      <c r="B117" s="23" t="n">
        <v>16448.59</v>
      </c>
      <c r="C117" s="24" t="n">
        <f aca="false">(B117/B116-1)/(A117-A116)*360</f>
        <v>0.03005944236443</v>
      </c>
      <c r="D117" s="19" t="n">
        <f aca="false">B117/$B$3*100</f>
        <v>150.172370662659</v>
      </c>
      <c r="E117" s="19"/>
      <c r="F117" s="19"/>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row>
    <row r="118" customFormat="false" ht="15" hidden="false" customHeight="false" outlineLevel="0" collapsed="false">
      <c r="A118" s="17" t="n">
        <v>42153</v>
      </c>
      <c r="B118" s="23" t="n">
        <v>16488.37</v>
      </c>
      <c r="C118" s="24" t="n">
        <f aca="false">(B118/B117-1)/(A118-A117)*360</f>
        <v>0.0300220681319902</v>
      </c>
      <c r="D118" s="19" t="n">
        <f aca="false">B118/$B$3*100</f>
        <v>150.535554188114</v>
      </c>
      <c r="E118" s="19"/>
      <c r="F118" s="19"/>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row>
    <row r="119" customFormat="false" ht="15" hidden="false" customHeight="false" outlineLevel="0" collapsed="false">
      <c r="A119" s="17" t="n">
        <v>42185</v>
      </c>
      <c r="B119" s="23" t="n">
        <v>16532.38</v>
      </c>
      <c r="C119" s="24" t="n">
        <f aca="false">(B119/B118-1)/(A119-A118)*360</f>
        <v>0.0300279833603931</v>
      </c>
      <c r="D119" s="19" t="n">
        <f aca="false">B119/$B$3*100</f>
        <v>150.93735677623</v>
      </c>
      <c r="E119" s="19"/>
      <c r="F119" s="19"/>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row>
    <row r="120" customFormat="false" ht="15" hidden="false" customHeight="false" outlineLevel="0" collapsed="false">
      <c r="A120" s="17" t="n">
        <v>42216</v>
      </c>
      <c r="B120" s="23" t="n">
        <v>16575.11</v>
      </c>
      <c r="C120" s="24" t="n">
        <f aca="false">(B120/B119-1)/(A120-A119)*360</f>
        <v>0.030014998133283</v>
      </c>
      <c r="D120" s="19" t="n">
        <f aca="false">B120/$B$3*100</f>
        <v>151.327473217726</v>
      </c>
      <c r="E120" s="19"/>
      <c r="F120" s="19"/>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row>
    <row r="121" customFormat="false" ht="15" hidden="false" customHeight="false" outlineLevel="0" collapsed="false">
      <c r="A121" s="17" t="n">
        <v>42247</v>
      </c>
      <c r="B121" s="23" t="n">
        <v>16617.94</v>
      </c>
      <c r="C121" s="24" t="n">
        <f aca="false">(B121/B120-1)/(A121-A120)*360</f>
        <v>0.0300076829150015</v>
      </c>
      <c r="D121" s="19" t="n">
        <f aca="false">B121/$B$3*100</f>
        <v>151.718502639426</v>
      </c>
      <c r="E121" s="19"/>
      <c r="F121" s="19"/>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row>
    <row r="122" customFormat="false" ht="15" hidden="false" customHeight="false" outlineLevel="0" collapsed="false">
      <c r="A122" s="17" t="n">
        <v>42277</v>
      </c>
      <c r="B122" s="23" t="n">
        <v>16659.58</v>
      </c>
      <c r="C122" s="24" t="n">
        <f aca="false">(B122/B121-1)/(A122-A121)*360</f>
        <v>0.0300687088772751</v>
      </c>
      <c r="D122" s="19" t="n">
        <f aca="false">B122/$B$3*100</f>
        <v>152.098667596689</v>
      </c>
      <c r="E122" s="19"/>
      <c r="F122" s="19"/>
      <c r="O122" s="4"/>
      <c r="P122" s="4"/>
      <c r="Q122" s="4"/>
      <c r="R122" s="4"/>
      <c r="S122" s="4"/>
      <c r="T122" s="4"/>
      <c r="U122" s="4"/>
      <c r="V122" s="4"/>
      <c r="W122" s="4"/>
      <c r="X122" s="4"/>
      <c r="Y122" s="4"/>
      <c r="Z122" s="4"/>
      <c r="AA122" s="4"/>
      <c r="AC122" s="4"/>
      <c r="AD122" s="4"/>
      <c r="AE122" s="4"/>
      <c r="AF122" s="4"/>
      <c r="AG122" s="4"/>
      <c r="AH122" s="4"/>
      <c r="AI122" s="4"/>
      <c r="AJ122" s="4"/>
      <c r="AK122" s="4"/>
      <c r="AL122" s="4"/>
      <c r="AM122" s="4"/>
      <c r="AN122" s="4"/>
      <c r="AO122" s="4"/>
      <c r="AP122" s="4"/>
      <c r="AQ122" s="4"/>
      <c r="AR122" s="4"/>
      <c r="AS122" s="4"/>
    </row>
    <row r="123" customFormat="false" ht="15" hidden="false" customHeight="false" outlineLevel="0" collapsed="false">
      <c r="A123" s="17" t="n">
        <v>42307</v>
      </c>
      <c r="B123" s="23" t="n">
        <v>16702.94</v>
      </c>
      <c r="C123" s="24" t="n">
        <f aca="false">(B123/B122-1)/(A123-A122)*360</f>
        <v>0.031232480050515</v>
      </c>
      <c r="D123" s="19" t="n">
        <f aca="false">B123/$B$3*100</f>
        <v>152.494535813475</v>
      </c>
      <c r="E123" s="19"/>
      <c r="F123" s="19"/>
      <c r="O123" s="4"/>
      <c r="P123" s="4"/>
      <c r="Q123" s="4"/>
      <c r="R123" s="4"/>
      <c r="S123" s="4"/>
      <c r="T123" s="4"/>
      <c r="U123" s="4"/>
      <c r="V123" s="4"/>
      <c r="W123" s="4"/>
      <c r="X123" s="4"/>
      <c r="Y123" s="4"/>
      <c r="Z123" s="4"/>
      <c r="AA123" s="4"/>
      <c r="AC123" s="4"/>
      <c r="AD123" s="4"/>
      <c r="AE123" s="4"/>
      <c r="AF123" s="4"/>
      <c r="AG123" s="4"/>
      <c r="AH123" s="4"/>
      <c r="AI123" s="4"/>
      <c r="AJ123" s="4"/>
      <c r="AK123" s="4"/>
      <c r="AL123" s="4"/>
      <c r="AM123" s="4"/>
      <c r="AN123" s="4"/>
      <c r="AO123" s="4"/>
      <c r="AP123" s="4"/>
      <c r="AQ123" s="4"/>
      <c r="AR123" s="4"/>
      <c r="AS123" s="4"/>
    </row>
    <row r="124" customFormat="false" ht="15" hidden="false" customHeight="false" outlineLevel="0" collapsed="false">
      <c r="A124" s="17" t="n">
        <v>42338</v>
      </c>
      <c r="B124" s="23" t="n">
        <v>16749.75</v>
      </c>
      <c r="C124" s="24" t="n">
        <f aca="false">(B124/B123-1)/(A124-A123)*360</f>
        <v>0.0325451686948542</v>
      </c>
      <c r="D124" s="19" t="n">
        <f aca="false">B124/$B$3*100</f>
        <v>152.921901847324</v>
      </c>
      <c r="E124" s="19"/>
      <c r="F124" s="17"/>
      <c r="AC124" s="4"/>
      <c r="AD124" s="4"/>
      <c r="AE124" s="4"/>
      <c r="AF124" s="4"/>
      <c r="AG124" s="4"/>
      <c r="AH124" s="4"/>
      <c r="AI124" s="4"/>
      <c r="AJ124" s="4"/>
      <c r="AK124" s="4"/>
      <c r="AL124" s="4"/>
      <c r="AM124" s="4"/>
      <c r="AN124" s="4"/>
      <c r="AO124" s="4"/>
      <c r="AP124" s="4"/>
      <c r="AQ124" s="4"/>
      <c r="AR124" s="4"/>
      <c r="AS124" s="4"/>
    </row>
    <row r="125" customFormat="false" ht="15" hidden="false" customHeight="false" outlineLevel="0" collapsed="false">
      <c r="A125" s="17" t="n">
        <v>42369</v>
      </c>
      <c r="B125" s="23" t="n">
        <v>16796.52</v>
      </c>
      <c r="C125" s="24" t="n">
        <f aca="false">(B125/B124-1)/(A125-A124)*360</f>
        <v>0.0324264830144326</v>
      </c>
      <c r="D125" s="19" t="n">
        <f aca="false">B125/$B$3*100</f>
        <v>153.348902689092</v>
      </c>
      <c r="E125" s="19"/>
      <c r="F125" s="17" t="n">
        <v>42369</v>
      </c>
      <c r="K125" s="4"/>
      <c r="AC125" s="4"/>
      <c r="AD125" s="4"/>
      <c r="AE125" s="4"/>
      <c r="AF125" s="4"/>
      <c r="AG125" s="4"/>
      <c r="AH125" s="4"/>
      <c r="AI125" s="4"/>
      <c r="AJ125" s="4"/>
      <c r="AK125" s="4"/>
      <c r="AL125" s="4"/>
      <c r="AM125" s="4"/>
      <c r="AN125" s="4"/>
      <c r="AO125" s="4"/>
      <c r="AP125" s="4"/>
      <c r="AQ125" s="4"/>
      <c r="AR125" s="4"/>
      <c r="AS125" s="4"/>
    </row>
    <row r="126" customFormat="false" ht="15" hidden="false" customHeight="false" outlineLevel="0" collapsed="false">
      <c r="A126" s="17" t="n">
        <v>42398</v>
      </c>
      <c r="B126" s="23" t="n">
        <v>16845.59</v>
      </c>
      <c r="C126" s="24" t="n">
        <f aca="false">(B126/B125-1)/(A126-A125)*360</f>
        <v>0.0362661329600545</v>
      </c>
      <c r="D126" s="19" t="n">
        <f aca="false">B126/$B$3*100</f>
        <v>153.796902075569</v>
      </c>
      <c r="E126" s="19"/>
      <c r="F126" s="17" t="n">
        <v>42400</v>
      </c>
      <c r="K126" s="4"/>
      <c r="AC126" s="4"/>
      <c r="AD126" s="4"/>
      <c r="AE126" s="4"/>
      <c r="AF126" s="4"/>
      <c r="AG126" s="4"/>
      <c r="AH126" s="4"/>
      <c r="AI126" s="4"/>
      <c r="AJ126" s="4"/>
      <c r="AK126" s="4"/>
      <c r="AL126" s="4"/>
      <c r="AM126" s="4"/>
      <c r="AN126" s="4"/>
      <c r="AO126" s="4"/>
      <c r="AP126" s="4"/>
      <c r="AQ126" s="4"/>
      <c r="AR126" s="4"/>
      <c r="AS126" s="4"/>
    </row>
    <row r="127" customFormat="false" ht="15" hidden="false" customHeight="false" outlineLevel="0" collapsed="false">
      <c r="A127" s="17" t="n">
        <v>42429</v>
      </c>
      <c r="B127" s="23" t="n">
        <v>16896.43</v>
      </c>
      <c r="C127" s="24" t="n">
        <f aca="false">(B127/B126-1)/(A127-A126)*360</f>
        <v>0.0350477484018077</v>
      </c>
      <c r="D127" s="19" t="n">
        <f aca="false">B127/$B$3*100</f>
        <v>154.261061211671</v>
      </c>
      <c r="E127" s="19"/>
      <c r="F127" s="17" t="n">
        <v>42428</v>
      </c>
      <c r="K127" s="4"/>
      <c r="AC127" s="4"/>
      <c r="AD127" s="4"/>
      <c r="AE127" s="4"/>
      <c r="AF127" s="4"/>
      <c r="AG127" s="4"/>
      <c r="AH127" s="4"/>
      <c r="AI127" s="4"/>
      <c r="AJ127" s="4"/>
      <c r="AK127" s="4"/>
      <c r="AL127" s="4"/>
      <c r="AM127" s="4"/>
      <c r="AN127" s="4"/>
      <c r="AO127" s="4"/>
      <c r="AP127" s="4"/>
      <c r="AQ127" s="4"/>
      <c r="AR127" s="4"/>
      <c r="AS127" s="4"/>
    </row>
    <row r="128" customFormat="false" ht="15" hidden="false" customHeight="false" outlineLevel="0" collapsed="false">
      <c r="A128" s="17" t="n">
        <v>42460</v>
      </c>
      <c r="B128" s="23" t="n">
        <v>16947.43</v>
      </c>
      <c r="C128" s="24" t="n">
        <f aca="false">(B128/B127-1)/(A128-A127)*360</f>
        <v>0.0350522604192796</v>
      </c>
      <c r="D128" s="19" t="n">
        <f aca="false">B128/$B$3*100</f>
        <v>154.7266811161</v>
      </c>
      <c r="E128" s="19"/>
      <c r="F128" s="17" t="n">
        <v>42460</v>
      </c>
      <c r="K128" s="4"/>
      <c r="AC128" s="4"/>
      <c r="AD128" s="4"/>
      <c r="AE128" s="4"/>
      <c r="AF128" s="4"/>
      <c r="AG128" s="4"/>
      <c r="AH128" s="4"/>
      <c r="AI128" s="4"/>
      <c r="AJ128" s="4"/>
      <c r="AK128" s="4"/>
      <c r="AL128" s="4"/>
      <c r="AM128" s="4"/>
      <c r="AN128" s="4"/>
      <c r="AO128" s="4"/>
      <c r="AP128" s="4"/>
      <c r="AQ128" s="4"/>
      <c r="AR128" s="4"/>
      <c r="AS128" s="4"/>
    </row>
    <row r="129" customFormat="false" ht="15" hidden="false" customHeight="false" outlineLevel="0" collapsed="false">
      <c r="A129" s="17" t="n">
        <v>42489</v>
      </c>
      <c r="B129" s="23" t="n">
        <v>16995.27</v>
      </c>
      <c r="C129" s="24" t="n">
        <f aca="false">(B129/B128-1)/(A129-A128)*360</f>
        <v>0.0350422372046364</v>
      </c>
      <c r="D129" s="19" t="n">
        <f aca="false">B129/$B$3*100</f>
        <v>155.163450846059</v>
      </c>
      <c r="F129" s="17" t="n">
        <v>42490</v>
      </c>
      <c r="K129" s="4"/>
      <c r="AC129" s="4"/>
      <c r="AD129" s="4"/>
      <c r="AE129" s="4"/>
      <c r="AF129" s="4"/>
      <c r="AG129" s="4"/>
      <c r="AH129" s="4"/>
      <c r="AI129" s="4"/>
      <c r="AJ129" s="4"/>
      <c r="AK129" s="4"/>
      <c r="AL129" s="4"/>
      <c r="AM129" s="4"/>
      <c r="AN129" s="4"/>
      <c r="AO129" s="4"/>
      <c r="AP129" s="4"/>
      <c r="AQ129" s="4"/>
      <c r="AR129" s="4"/>
      <c r="AS129" s="4"/>
    </row>
    <row r="130" customFormat="false" ht="15" hidden="false" customHeight="false" outlineLevel="0" collapsed="false">
      <c r="A130" s="17" t="n">
        <v>42521</v>
      </c>
      <c r="B130" s="23" t="n">
        <v>17048.23</v>
      </c>
      <c r="C130" s="24" t="n">
        <f aca="false">(B130/B129-1)/(A130-A129)*360</f>
        <v>0.0350568128661685</v>
      </c>
      <c r="D130" s="19" t="n">
        <f aca="false">B130/$B$3*100</f>
        <v>155.646965162501</v>
      </c>
      <c r="F130" s="17" t="n">
        <f aca="false">+A130</f>
        <v>42521</v>
      </c>
      <c r="G130" s="63"/>
      <c r="I130" s="24"/>
      <c r="J130" s="18"/>
      <c r="K130" s="4"/>
      <c r="L130" s="24"/>
      <c r="AC130" s="4"/>
      <c r="AD130" s="4"/>
      <c r="AE130" s="4"/>
      <c r="AF130" s="4"/>
      <c r="AG130" s="4"/>
      <c r="AH130" s="4"/>
      <c r="AI130" s="4"/>
      <c r="AJ130" s="4"/>
      <c r="AK130" s="4"/>
      <c r="AL130" s="4"/>
      <c r="AM130" s="4"/>
      <c r="AN130" s="4"/>
      <c r="AO130" s="4"/>
      <c r="AP130" s="4"/>
      <c r="AQ130" s="4"/>
      <c r="AR130" s="4"/>
      <c r="AS130" s="4"/>
    </row>
    <row r="131" customFormat="false" ht="15" hidden="false" customHeight="false" outlineLevel="0" collapsed="false">
      <c r="A131" s="17" t="n">
        <v>42551</v>
      </c>
      <c r="B131" s="23" t="n">
        <v>17098.02</v>
      </c>
      <c r="C131" s="24" t="n">
        <f aca="false">(B131/B130-1)/(A131-A130)*360</f>
        <v>0.0350464535027992</v>
      </c>
      <c r="D131" s="19" t="n">
        <f aca="false">B131/$B$3*100</f>
        <v>156.101538006453</v>
      </c>
      <c r="F131" s="17" t="n">
        <f aca="false">+A131</f>
        <v>42551</v>
      </c>
      <c r="I131" s="24"/>
      <c r="J131" s="18"/>
      <c r="K131" s="4"/>
      <c r="L131" s="24"/>
      <c r="M131" s="19"/>
      <c r="AC131" s="4"/>
      <c r="AD131" s="4"/>
      <c r="AE131" s="4"/>
      <c r="AF131" s="4"/>
      <c r="AG131" s="4"/>
      <c r="AH131" s="4"/>
      <c r="AI131" s="4"/>
      <c r="AJ131" s="4"/>
      <c r="AK131" s="4"/>
      <c r="AL131" s="4"/>
      <c r="AM131" s="4"/>
      <c r="AN131" s="4"/>
      <c r="AO131" s="4"/>
      <c r="AP131" s="4"/>
      <c r="AQ131" s="4"/>
      <c r="AR131" s="4"/>
      <c r="AS131" s="4"/>
    </row>
    <row r="132" customFormat="false" ht="15" hidden="false" customHeight="false" outlineLevel="0" collapsed="false">
      <c r="A132" s="17" t="n">
        <v>42582</v>
      </c>
      <c r="B132" s="64" t="n">
        <v>17149.23</v>
      </c>
      <c r="C132" s="24" t="n">
        <f aca="false">(B132/B131-1)/(A132-A131)*360</f>
        <v>0.0347816164791922</v>
      </c>
      <c r="D132" s="19" t="n">
        <f aca="false">B132/$B$3*100</f>
        <v>156.569075169312</v>
      </c>
      <c r="F132" s="17" t="n">
        <f aca="false">+A132</f>
        <v>42582</v>
      </c>
      <c r="I132" s="24"/>
      <c r="J132" s="18"/>
      <c r="K132" s="4"/>
      <c r="L132" s="24"/>
      <c r="M132" s="19"/>
      <c r="AC132" s="4"/>
      <c r="AD132" s="4"/>
      <c r="AE132" s="4"/>
      <c r="AF132" s="4"/>
      <c r="AG132" s="4"/>
      <c r="AH132" s="4"/>
      <c r="AI132" s="4"/>
      <c r="AJ132" s="4"/>
      <c r="AK132" s="4"/>
      <c r="AL132" s="4"/>
      <c r="AM132" s="4"/>
      <c r="AN132" s="4"/>
      <c r="AO132" s="4"/>
      <c r="AP132" s="4"/>
      <c r="AQ132" s="4"/>
      <c r="AR132" s="4"/>
      <c r="AS132" s="4"/>
    </row>
    <row r="133" customFormat="false" ht="15" hidden="false" customHeight="false" outlineLevel="0" collapsed="false">
      <c r="A133" s="17" t="n">
        <v>42613</v>
      </c>
      <c r="B133" s="23" t="n">
        <v>17201.38</v>
      </c>
      <c r="C133" s="24" t="n">
        <f aca="false">(B133/B132-1)/(A133-A132)*360</f>
        <v>0.0353142912670606</v>
      </c>
      <c r="D133" s="19" t="n">
        <f aca="false">B133/$B$3*100</f>
        <v>157.045194346096</v>
      </c>
      <c r="F133" s="17" t="n">
        <f aca="false">+A133</f>
        <v>42613</v>
      </c>
      <c r="I133" s="24"/>
      <c r="J133" s="18"/>
      <c r="K133" s="4"/>
      <c r="L133" s="24"/>
      <c r="M133" s="19"/>
      <c r="AC133" s="4"/>
      <c r="AD133" s="4"/>
      <c r="AE133" s="4"/>
      <c r="AF133" s="4"/>
      <c r="AG133" s="4"/>
      <c r="AH133" s="4"/>
      <c r="AI133" s="4"/>
      <c r="AJ133" s="4"/>
      <c r="AK133" s="4"/>
      <c r="AL133" s="4"/>
      <c r="AM133" s="4"/>
      <c r="AN133" s="4"/>
      <c r="AO133" s="4"/>
      <c r="AP133" s="4"/>
      <c r="AQ133" s="4"/>
      <c r="AR133" s="4"/>
      <c r="AS133" s="4"/>
    </row>
    <row r="134" customFormat="false" ht="15" hidden="false" customHeight="false" outlineLevel="0" collapsed="false">
      <c r="A134" s="17" t="n">
        <f aca="false">+A133+30</f>
        <v>42643</v>
      </c>
      <c r="B134" s="23" t="n">
        <v>17251.61</v>
      </c>
      <c r="C134" s="24" t="n">
        <f aca="false">(B134/B133-1)/(A134-A133)*360</f>
        <v>0.0350413745873883</v>
      </c>
      <c r="D134" s="19" t="n">
        <f aca="false">B134/$B$3*100</f>
        <v>157.503784302949</v>
      </c>
      <c r="F134" s="17" t="n">
        <f aca="false">+A134</f>
        <v>42643</v>
      </c>
      <c r="I134" s="24"/>
      <c r="J134" s="18"/>
      <c r="K134" s="4"/>
      <c r="L134" s="24"/>
      <c r="M134" s="19"/>
      <c r="AC134" s="4"/>
      <c r="AD134" s="4"/>
      <c r="AE134" s="4"/>
      <c r="AF134" s="4"/>
      <c r="AG134" s="4"/>
      <c r="AH134" s="4"/>
      <c r="AI134" s="4"/>
      <c r="AJ134" s="4"/>
      <c r="AK134" s="4"/>
      <c r="AL134" s="4"/>
      <c r="AM134" s="4"/>
      <c r="AN134" s="4"/>
      <c r="AO134" s="4"/>
      <c r="AP134" s="4"/>
      <c r="AQ134" s="4"/>
      <c r="AR134" s="4"/>
      <c r="AS134" s="4"/>
    </row>
    <row r="135" customFormat="false" ht="15" hidden="false" customHeight="false" outlineLevel="0" collapsed="false">
      <c r="A135" s="17" t="n">
        <v>42674</v>
      </c>
      <c r="B135" s="23" t="n">
        <v>17303.68</v>
      </c>
      <c r="C135" s="24" t="n">
        <f aca="false">(B135/B134-1)/(A135-A134)*360</f>
        <v>0.0350508660332433</v>
      </c>
      <c r="D135" s="19" t="n">
        <f aca="false">B135/$B$3*100</f>
        <v>157.979173095569</v>
      </c>
      <c r="F135" s="17" t="n">
        <f aca="false">+A135</f>
        <v>42674</v>
      </c>
      <c r="I135" s="24"/>
      <c r="J135" s="18"/>
      <c r="K135" s="4"/>
      <c r="L135" s="24"/>
      <c r="M135" s="19"/>
      <c r="AC135" s="4"/>
      <c r="AD135" s="4"/>
      <c r="AE135" s="4"/>
      <c r="AF135" s="4"/>
      <c r="AG135" s="4"/>
      <c r="AH135" s="4"/>
      <c r="AI135" s="4"/>
      <c r="AJ135" s="4"/>
      <c r="AK135" s="4"/>
      <c r="AL135" s="4"/>
      <c r="AM135" s="4"/>
      <c r="AN135" s="4"/>
      <c r="AO135" s="4"/>
      <c r="AP135" s="4"/>
      <c r="AQ135" s="4"/>
      <c r="AR135" s="4"/>
      <c r="AS135" s="4"/>
    </row>
    <row r="136" customFormat="false" ht="15" hidden="false" customHeight="false" outlineLevel="0" collapsed="false">
      <c r="A136" s="17" t="n">
        <v>42704</v>
      </c>
      <c r="B136" s="23" t="n">
        <v>17354.21</v>
      </c>
      <c r="C136" s="24" t="n">
        <f aca="false">(B136/B135-1)/(A136-A135)*360</f>
        <v>0.0350422569072002</v>
      </c>
      <c r="D136" s="19" t="n">
        <f aca="false">B136/$B$3*100</f>
        <v>158.440501993036</v>
      </c>
      <c r="F136" s="17" t="n">
        <f aca="false">+A136</f>
        <v>42704</v>
      </c>
      <c r="I136" s="24"/>
      <c r="J136" s="18"/>
      <c r="K136" s="4"/>
      <c r="L136" s="24"/>
      <c r="M136" s="19"/>
      <c r="AC136" s="4"/>
      <c r="AD136" s="4"/>
      <c r="AE136" s="4"/>
      <c r="AF136" s="4"/>
      <c r="AG136" s="4"/>
      <c r="AH136" s="4"/>
      <c r="AI136" s="4"/>
      <c r="AJ136" s="4"/>
      <c r="AK136" s="4"/>
      <c r="AL136" s="4"/>
      <c r="AM136" s="4"/>
      <c r="AN136" s="4"/>
      <c r="AO136" s="4"/>
      <c r="AP136" s="4"/>
      <c r="AQ136" s="4"/>
    </row>
    <row r="137" customFormat="false" ht="15" hidden="false" customHeight="false" outlineLevel="0" collapsed="false">
      <c r="A137" s="17" t="n">
        <v>42735</v>
      </c>
      <c r="B137" s="23" t="n">
        <v>17406.97</v>
      </c>
      <c r="C137" s="24" t="n">
        <f aca="false">(B137/B136-1)/(A137-A136)*360</f>
        <v>0.0353053682186391</v>
      </c>
      <c r="D137" s="19" t="n">
        <f aca="false">B137/$B$3*100</f>
        <v>158.922190349069</v>
      </c>
      <c r="F137" s="17" t="n">
        <f aca="false">+A137</f>
        <v>42735</v>
      </c>
      <c r="I137" s="24"/>
      <c r="J137" s="18"/>
      <c r="K137" s="4"/>
      <c r="L137" s="24"/>
      <c r="M137" s="19"/>
      <c r="AC137" s="4"/>
      <c r="AD137" s="4"/>
      <c r="AE137" s="4"/>
      <c r="AF137" s="4"/>
      <c r="AG137" s="4"/>
      <c r="AH137" s="4"/>
      <c r="AI137" s="4"/>
      <c r="AJ137" s="4"/>
      <c r="AK137" s="4"/>
      <c r="AL137" s="4"/>
      <c r="AM137" s="4"/>
      <c r="AN137" s="4"/>
      <c r="AO137" s="4"/>
      <c r="AP137" s="4"/>
      <c r="AQ137" s="4"/>
    </row>
    <row r="138" customFormat="false" ht="15" hidden="false" customHeight="false" outlineLevel="0" collapsed="false">
      <c r="A138" s="17" t="n">
        <v>42766</v>
      </c>
      <c r="B138" s="23" t="n">
        <v>17457.39</v>
      </c>
      <c r="C138" s="24" t="n">
        <f aca="false">(B138/B137-1)/(A138-A137)*360</f>
        <v>0.0336372487943132</v>
      </c>
      <c r="D138" s="19" t="n">
        <f aca="false">B138/$B$3*100</f>
        <v>159.38251496831</v>
      </c>
      <c r="F138" s="17" t="n">
        <f aca="false">+A138</f>
        <v>42766</v>
      </c>
      <c r="I138" s="24"/>
      <c r="J138" s="18"/>
      <c r="K138" s="4"/>
      <c r="L138" s="24"/>
      <c r="M138" s="19"/>
      <c r="AC138" s="4"/>
      <c r="AD138" s="4"/>
      <c r="AE138" s="4"/>
      <c r="AF138" s="4"/>
      <c r="AG138" s="4"/>
      <c r="AH138" s="4"/>
      <c r="AI138" s="4"/>
      <c r="AJ138" s="4"/>
      <c r="AK138" s="4"/>
      <c r="AL138" s="4"/>
      <c r="AM138" s="4"/>
      <c r="AN138" s="4"/>
      <c r="AO138" s="4"/>
      <c r="AP138" s="4"/>
      <c r="AQ138" s="4"/>
    </row>
    <row r="139" customFormat="false" ht="15" hidden="false" customHeight="false" outlineLevel="0" collapsed="false">
      <c r="A139" s="17" t="n">
        <v>42794</v>
      </c>
      <c r="B139" s="23" t="n">
        <v>17501.06</v>
      </c>
      <c r="C139" s="24" t="n">
        <f aca="false">(B139/B138-1)/(A139-A138)*360</f>
        <v>0.0321623924636746</v>
      </c>
      <c r="D139" s="19" t="n">
        <f aca="false">B139/$B$3*100</f>
        <v>159.781213423731</v>
      </c>
      <c r="F139" s="17" t="n">
        <f aca="false">+A139</f>
        <v>42794</v>
      </c>
      <c r="I139" s="24"/>
      <c r="J139" s="18"/>
      <c r="K139" s="4"/>
      <c r="L139" s="24"/>
      <c r="M139" s="19"/>
      <c r="AC139" s="4"/>
      <c r="AD139" s="4"/>
      <c r="AE139" s="4"/>
      <c r="AF139" s="4"/>
      <c r="AG139" s="4"/>
      <c r="AH139" s="4"/>
      <c r="AI139" s="4"/>
      <c r="AJ139" s="4"/>
      <c r="AK139" s="4"/>
      <c r="AL139" s="4"/>
      <c r="AM139" s="4"/>
      <c r="AN139" s="4"/>
      <c r="AO139" s="4"/>
      <c r="AP139" s="4"/>
      <c r="AQ139" s="4"/>
    </row>
    <row r="140" customFormat="false" ht="15" hidden="false" customHeight="false" outlineLevel="0" collapsed="false">
      <c r="A140" s="17" t="n">
        <v>42825</v>
      </c>
      <c r="B140" s="23" t="n">
        <v>17548.35</v>
      </c>
      <c r="C140" s="24" t="n">
        <f aca="false">(B140/B139-1)/(A140-A139)*360</f>
        <v>0.0313794817884387</v>
      </c>
      <c r="D140" s="19" t="n">
        <f aca="false">B140/$B$3*100</f>
        <v>160.212961762563</v>
      </c>
      <c r="F140" s="17" t="n">
        <f aca="false">+A140</f>
        <v>42825</v>
      </c>
      <c r="I140" s="24"/>
      <c r="J140" s="18"/>
      <c r="K140" s="4"/>
      <c r="L140" s="24"/>
      <c r="M140" s="19"/>
      <c r="AC140" s="4"/>
      <c r="AD140" s="4"/>
      <c r="AE140" s="4"/>
      <c r="AF140" s="4"/>
      <c r="AG140" s="4"/>
      <c r="AH140" s="4"/>
      <c r="AI140" s="4"/>
      <c r="AJ140" s="4"/>
      <c r="AK140" s="4"/>
      <c r="AL140" s="4"/>
      <c r="AM140" s="4"/>
      <c r="AN140" s="4"/>
      <c r="AO140" s="4"/>
      <c r="AP140" s="4"/>
      <c r="AQ140" s="4"/>
    </row>
    <row r="141" customFormat="false" ht="15" hidden="false" customHeight="false" outlineLevel="0" collapsed="false">
      <c r="A141" s="17" t="n">
        <v>42855</v>
      </c>
      <c r="B141" s="23" t="n">
        <v>17587.92</v>
      </c>
      <c r="C141" s="24" t="n">
        <f aca="false">(B141/B140-1)/(A141-A140)*360</f>
        <v>0.0270589542606556</v>
      </c>
      <c r="D141" s="19" t="n">
        <f aca="false">B141/$B$3*100</f>
        <v>160.574228029588</v>
      </c>
      <c r="F141" s="17" t="n">
        <f aca="false">+A141</f>
        <v>42855</v>
      </c>
      <c r="I141" s="24"/>
      <c r="J141" s="18"/>
      <c r="K141" s="4" t="n">
        <v>1214.3896</v>
      </c>
      <c r="L141" s="24"/>
      <c r="M141" s="19" t="n">
        <v>100</v>
      </c>
      <c r="AC141" s="4"/>
      <c r="AD141" s="4"/>
      <c r="AE141" s="4"/>
      <c r="AF141" s="4"/>
      <c r="AG141" s="4"/>
      <c r="AH141" s="4"/>
      <c r="AI141" s="4"/>
      <c r="AJ141" s="4"/>
      <c r="AK141" s="4"/>
      <c r="AL141" s="4"/>
      <c r="AM141" s="4"/>
      <c r="AN141" s="4"/>
      <c r="AO141" s="4"/>
      <c r="AP141" s="4"/>
      <c r="AQ141" s="4"/>
    </row>
    <row r="142" customFormat="false" ht="15" hidden="false" customHeight="false" outlineLevel="0" collapsed="false">
      <c r="A142" s="17" t="n">
        <v>42886</v>
      </c>
      <c r="B142" s="23" t="n">
        <v>17630.79</v>
      </c>
      <c r="C142" s="24" t="n">
        <f aca="false">(B142/B141-1)/(A142-A141)*360</f>
        <v>0.0283060851590383</v>
      </c>
      <c r="D142" s="19" t="n">
        <f aca="false">B142/$B$3*100</f>
        <v>160.96562264337</v>
      </c>
      <c r="F142" s="17" t="n">
        <f aca="false">+A142</f>
        <v>42886</v>
      </c>
      <c r="I142" s="24"/>
      <c r="J142" s="18"/>
      <c r="K142" s="4" t="n">
        <v>1214.8727</v>
      </c>
      <c r="L142" s="24" t="n">
        <f aca="false">+(K142/K141-1)/(F142-F141)*360</f>
        <v>0.00461976415837619</v>
      </c>
      <c r="M142" s="18" t="n">
        <f aca="false">+M141*(1+L142)</f>
        <v>100.461976415838</v>
      </c>
      <c r="AC142" s="4"/>
      <c r="AD142" s="4"/>
      <c r="AE142" s="4"/>
      <c r="AF142" s="4"/>
      <c r="AG142" s="4"/>
      <c r="AH142" s="4"/>
      <c r="AI142" s="4"/>
      <c r="AJ142" s="4"/>
      <c r="AK142" s="4"/>
      <c r="AL142" s="4"/>
      <c r="AM142" s="4"/>
      <c r="AN142" s="4"/>
      <c r="AO142" s="4"/>
      <c r="AP142" s="4"/>
      <c r="AQ142" s="4"/>
    </row>
    <row r="143" customFormat="false" ht="15" hidden="false" customHeight="false" outlineLevel="0" collapsed="false">
      <c r="A143" s="17" t="n">
        <v>42916</v>
      </c>
      <c r="B143" s="23" t="n">
        <v>17667.59</v>
      </c>
      <c r="C143" s="24" t="n">
        <f aca="false">(B143/B142-1)/(A143-A142)*360</f>
        <v>0.0250470909131115</v>
      </c>
      <c r="D143" s="19" t="n">
        <f aca="false">B143/$B$3*100</f>
        <v>161.301599358723</v>
      </c>
      <c r="F143" s="17" t="n">
        <f aca="false">+A143</f>
        <v>42916</v>
      </c>
      <c r="I143" s="24"/>
      <c r="J143" s="18"/>
      <c r="K143" s="4" t="n">
        <v>1215.3787</v>
      </c>
      <c r="L143" s="24" t="n">
        <f aca="false">+(K143/K142-1)/(F143-F142)*360</f>
        <v>0.00499805452867808</v>
      </c>
      <c r="M143" s="18" t="n">
        <f aca="false">+M142*(1+L143)</f>
        <v>100.964090852023</v>
      </c>
      <c r="AC143" s="4"/>
      <c r="AD143" s="4"/>
      <c r="AE143" s="4"/>
      <c r="AF143" s="4"/>
      <c r="AG143" s="4"/>
      <c r="AH143" s="4"/>
      <c r="AI143" s="4"/>
      <c r="AJ143" s="4"/>
      <c r="AK143" s="4"/>
      <c r="AL143" s="4"/>
      <c r="AM143" s="4"/>
      <c r="AN143" s="4"/>
      <c r="AO143" s="4"/>
      <c r="AP143" s="4"/>
      <c r="AQ143" s="4"/>
    </row>
    <row r="144" customFormat="false" ht="15" hidden="false" customHeight="false" outlineLevel="0" collapsed="false">
      <c r="A144" s="17" t="n">
        <v>42947</v>
      </c>
      <c r="B144" s="23" t="n">
        <v>17705.69</v>
      </c>
      <c r="C144" s="24" t="n">
        <f aca="false">(B144/B143-1)/(A144-A143)*360</f>
        <v>0.0250431220615384</v>
      </c>
      <c r="D144" s="19" t="n">
        <f aca="false">B144/$B$3*100</f>
        <v>161.649444816737</v>
      </c>
      <c r="F144" s="17" t="n">
        <f aca="false">+A144</f>
        <v>42947</v>
      </c>
      <c r="I144" s="24"/>
      <c r="J144" s="18"/>
      <c r="K144" s="4" t="n">
        <v>1215.8759</v>
      </c>
      <c r="L144" s="24" t="n">
        <f aca="false">+(K144/K143-1)/(F144-F143)*360</f>
        <v>0.00475072953300128</v>
      </c>
      <c r="M144" s="18" t="n">
        <f aca="false">+M143*(1+L144)</f>
        <v>101.443743940206</v>
      </c>
      <c r="AC144" s="4"/>
      <c r="AD144" s="4"/>
      <c r="AE144" s="4"/>
      <c r="AF144" s="4"/>
      <c r="AG144" s="4"/>
      <c r="AH144" s="4"/>
      <c r="AI144" s="4"/>
      <c r="AJ144" s="4"/>
      <c r="AK144" s="4"/>
      <c r="AL144" s="4"/>
      <c r="AM144" s="4"/>
      <c r="AN144" s="4"/>
      <c r="AO144" s="4"/>
      <c r="AP144" s="4"/>
      <c r="AQ144" s="4"/>
    </row>
    <row r="145" customFormat="false" ht="15" hidden="false" customHeight="false" outlineLevel="0" collapsed="false">
      <c r="A145" s="17" t="n">
        <v>42978</v>
      </c>
      <c r="B145" s="23" t="n">
        <v>17743.83</v>
      </c>
      <c r="C145" s="24" t="n">
        <f aca="false">(B145/B144-1)/(A145-A144)*360</f>
        <v>0.0250154684190399</v>
      </c>
      <c r="D145" s="19" t="n">
        <f aca="false">B145/$B$3*100</f>
        <v>161.997655466834</v>
      </c>
      <c r="F145" s="17" t="n">
        <f aca="false">+A145</f>
        <v>42978</v>
      </c>
      <c r="I145" s="24"/>
      <c r="J145" s="18"/>
      <c r="K145" s="4" t="n">
        <v>1216.5135</v>
      </c>
      <c r="L145" s="24" t="n">
        <f aca="false">+(K145/K144-1)/(F145-F144)*360</f>
        <v>0.00608975562125598</v>
      </c>
      <c r="M145" s="18" t="n">
        <f aca="false">+M144*(1+L145)</f>
        <v>102.061511550107</v>
      </c>
      <c r="S145" s="3" t="s">
        <v>38</v>
      </c>
      <c r="AC145" s="4"/>
      <c r="AD145" s="4"/>
      <c r="AE145" s="4"/>
      <c r="AF145" s="4"/>
      <c r="AG145" s="4"/>
      <c r="AH145" s="4"/>
      <c r="AI145" s="4"/>
      <c r="AJ145" s="4"/>
      <c r="AK145" s="4"/>
      <c r="AL145" s="4"/>
      <c r="AM145" s="4"/>
      <c r="AN145" s="4"/>
      <c r="AO145" s="4"/>
      <c r="AP145" s="4"/>
      <c r="AQ145" s="4"/>
    </row>
    <row r="146" customFormat="false" ht="15" hidden="false" customHeight="false" outlineLevel="0" collapsed="false">
      <c r="A146" s="17" t="n">
        <v>43008</v>
      </c>
      <c r="B146" s="23" t="n">
        <v>17780.7817</v>
      </c>
      <c r="C146" s="24" t="n">
        <f aca="false">(B146/B145-1)/(A146-A145)*360</f>
        <v>0.0249901176916136</v>
      </c>
      <c r="D146" s="19" t="n">
        <f aca="false">B146/$B$3*100</f>
        <v>162.335017173158</v>
      </c>
      <c r="F146" s="17" t="n">
        <v>43008</v>
      </c>
      <c r="I146" s="24"/>
      <c r="J146" s="18"/>
      <c r="K146" s="4" t="n">
        <v>1217.2007</v>
      </c>
      <c r="L146" s="24" t="n">
        <f aca="false">+(K146/K145-1)/(F146-F145)*360</f>
        <v>0.00677871638909089</v>
      </c>
      <c r="M146" s="18" t="n">
        <f aca="false">+M145*(1+L146)</f>
        <v>102.753357591147</v>
      </c>
      <c r="S146" s="3" t="n">
        <v>0</v>
      </c>
      <c r="AC146" s="4"/>
      <c r="AD146" s="4"/>
      <c r="AE146" s="4"/>
      <c r="AF146" s="4"/>
      <c r="AG146" s="4"/>
      <c r="AH146" s="4"/>
      <c r="AI146" s="4"/>
      <c r="AJ146" s="4"/>
      <c r="AK146" s="4"/>
      <c r="AL146" s="4"/>
      <c r="AM146" s="4"/>
      <c r="AN146" s="4"/>
      <c r="AO146" s="4"/>
      <c r="AP146" s="4"/>
      <c r="AQ146" s="4"/>
    </row>
    <row r="147" customFormat="false" ht="15" hidden="false" customHeight="false" outlineLevel="0" collapsed="false">
      <c r="A147" s="17" t="n">
        <v>43039</v>
      </c>
      <c r="B147" s="3" t="n">
        <v>17819.15</v>
      </c>
      <c r="C147" s="24" t="n">
        <f aca="false">(B147/B146-1)/(A147-A146)*360</f>
        <v>0.0250589294867008</v>
      </c>
      <c r="D147" s="19" t="n">
        <f aca="false">B147/$B$3*100</f>
        <v>162.685312157062</v>
      </c>
      <c r="F147" s="17" t="n">
        <v>43039</v>
      </c>
      <c r="I147" s="24"/>
      <c r="J147" s="18"/>
      <c r="K147" s="4" t="n">
        <v>1217.963</v>
      </c>
      <c r="L147" s="24" t="n">
        <f aca="false">+(K147/K146-1)/(F147-F146)*360</f>
        <v>0.00727284837170217</v>
      </c>
      <c r="M147" s="18" t="n">
        <f aca="false">+M146*(1+L147)</f>
        <v>103.500667180591</v>
      </c>
      <c r="Q147" s="4" t="n">
        <f aca="false">+G137+S146</f>
        <v>0</v>
      </c>
      <c r="S147" s="3" t="s">
        <v>39</v>
      </c>
    </row>
    <row r="148" customFormat="false" ht="15" hidden="false" customHeight="false" outlineLevel="0" collapsed="false">
      <c r="A148" s="17" t="n">
        <v>43069</v>
      </c>
      <c r="B148" s="3" t="n">
        <f aca="false">+VLOOKUP(A148,[1]Simple!$A$3790:$B$3818,2)</f>
        <v>17856.32</v>
      </c>
      <c r="C148" s="24" t="n">
        <f aca="false">(B148/B147-1)/(A148-A147)*360</f>
        <v>0.0250314970130443</v>
      </c>
      <c r="D148" s="19" t="n">
        <f aca="false">B148/$B$3*100</f>
        <v>163.024666899172</v>
      </c>
      <c r="F148" s="17" t="n">
        <v>43069</v>
      </c>
      <c r="I148" s="24"/>
      <c r="J148" s="18"/>
      <c r="K148" s="4" t="n">
        <v>1218.7606</v>
      </c>
      <c r="L148" s="24" t="n">
        <f aca="false">+(K148/K147-1)/(F148-F147)*360</f>
        <v>0.00785836679767815</v>
      </c>
      <c r="M148" s="18" t="n">
        <f aca="false">+M147*(1+L148)</f>
        <v>104.314013387101</v>
      </c>
      <c r="S148" s="3" t="n">
        <v>0</v>
      </c>
    </row>
    <row r="149" customFormat="false" ht="15" hidden="false" customHeight="false" outlineLevel="0" collapsed="false">
      <c r="A149" s="17" t="n">
        <v>43100</v>
      </c>
      <c r="B149" s="3" t="n">
        <f aca="false">+VLOOKUP(A149,[1]Simple!$A$3790:$B$3818,2)</f>
        <v>17872.44</v>
      </c>
      <c r="C149" s="24" t="n">
        <f aca="false">(B149/B148-1)/(A149-A148)*360</f>
        <v>0.0104836830881169</v>
      </c>
      <c r="D149" s="19" t="n">
        <f aca="false">B149/$B$3*100</f>
        <v>163.17183930818</v>
      </c>
      <c r="F149" s="17" t="n">
        <v>43100</v>
      </c>
      <c r="I149" s="24"/>
      <c r="J149" s="18"/>
      <c r="K149" s="4" t="n">
        <v>1219.7685</v>
      </c>
      <c r="L149" s="24" t="n">
        <f aca="false">+(K149/K148-1)/(F149-F148)*360</f>
        <v>0.00960372788658366</v>
      </c>
      <c r="M149" s="18" t="n">
        <f aca="false">+M148*(1+L149)</f>
        <v>105.315816786428</v>
      </c>
      <c r="S149" s="3" t="s">
        <v>40</v>
      </c>
    </row>
    <row r="150" customFormat="false" ht="15" hidden="false" customHeight="false" outlineLevel="0" collapsed="false">
      <c r="A150" s="17" t="n">
        <v>43131</v>
      </c>
      <c r="B150" s="3" t="n">
        <v>17933.28</v>
      </c>
      <c r="C150" s="24" t="n">
        <f aca="false">(B150/B149-1)/(A150-A149)*360</f>
        <v>0.0395317613184369</v>
      </c>
      <c r="D150" s="19" t="n">
        <f aca="false">B150/$B$3*100</f>
        <v>163.727296464758</v>
      </c>
      <c r="F150" s="17" t="n">
        <v>43131</v>
      </c>
      <c r="I150" s="24"/>
      <c r="J150" s="18"/>
      <c r="K150" s="4" t="n">
        <v>1220.9205</v>
      </c>
      <c r="L150" s="24" t="n">
        <f aca="false">+(K150/K149-1)/(F150-F149)*360</f>
        <v>0.0109677078200737</v>
      </c>
      <c r="M150" s="18" t="n">
        <f aca="false">+M149*(1+L150)</f>
        <v>106.470889893774</v>
      </c>
      <c r="S150" s="3" t="n">
        <v>0</v>
      </c>
    </row>
    <row r="151" customFormat="false" ht="15" hidden="false" customHeight="false" outlineLevel="0" collapsed="false">
      <c r="A151" s="17" t="n">
        <v>43159</v>
      </c>
      <c r="B151" s="3" t="n">
        <v>17968.11</v>
      </c>
      <c r="C151" s="24" t="n">
        <f aca="false">(B151/B150-1)/(A151-A150)*360</f>
        <v>0.024971131087806</v>
      </c>
      <c r="D151" s="19" t="n">
        <f aca="false">B151/$B$3*100</f>
        <v>164.045287470077</v>
      </c>
      <c r="F151" s="17" t="n">
        <v>43159</v>
      </c>
      <c r="I151" s="24"/>
      <c r="J151" s="18"/>
      <c r="K151" s="4" t="n">
        <v>1221.9292</v>
      </c>
      <c r="L151" s="24" t="n">
        <f aca="false">+(K151/K150-1)/(F151-F150)*360</f>
        <v>0.01062231324644</v>
      </c>
      <c r="M151" s="18" t="n">
        <f aca="false">+M150*(1+L151)</f>
        <v>107.601857037853</v>
      </c>
      <c r="S151" s="3" t="s">
        <v>41</v>
      </c>
    </row>
    <row r="152" customFormat="false" ht="15" hidden="false" customHeight="false" outlineLevel="0" collapsed="false">
      <c r="A152" s="17" t="n">
        <v>43190</v>
      </c>
      <c r="B152" s="3" t="n">
        <v>18006.83</v>
      </c>
      <c r="C152" s="24" t="n">
        <f aca="false">(B152/B151-1)/(A152-A151)*360</f>
        <v>0.0250249810861146</v>
      </c>
      <c r="D152" s="19" t="n">
        <f aca="false">B152/$B$3*100</f>
        <v>164.398793405361</v>
      </c>
      <c r="F152" s="17" t="n">
        <v>43190</v>
      </c>
      <c r="I152" s="24"/>
      <c r="J152" s="18"/>
      <c r="K152" s="4" t="n">
        <v>1223.0764</v>
      </c>
      <c r="L152" s="24" t="n">
        <f aca="false">+(K152/K151-1)/(F152-F151)*360</f>
        <v>0.010902695983241</v>
      </c>
      <c r="M152" s="18" t="n">
        <f aca="false">+M151*(1+L152)</f>
        <v>108.775007372368</v>
      </c>
      <c r="S152" s="3" t="n">
        <v>0</v>
      </c>
    </row>
    <row r="153" customFormat="false" ht="15" hidden="false" customHeight="false" outlineLevel="0" collapsed="false">
      <c r="A153" s="17" t="n">
        <v>43220</v>
      </c>
      <c r="B153" s="3" t="n">
        <v>18044.25</v>
      </c>
      <c r="C153" s="24" t="n">
        <f aca="false">(B153/B152-1)/(A153-A152)*360</f>
        <v>0.0249372043830016</v>
      </c>
      <c r="D153" s="19" t="n">
        <f aca="false">B153/$B$3*100</f>
        <v>164.740430597984</v>
      </c>
      <c r="F153" s="17" t="n">
        <v>43220</v>
      </c>
      <c r="I153" s="24"/>
      <c r="J153" s="18"/>
      <c r="K153" s="4" t="n">
        <v>1224.3288</v>
      </c>
      <c r="L153" s="24" t="n">
        <f aca="false">+(K153/K152-1)/(F153-F152)*360</f>
        <v>0.0122877033683277</v>
      </c>
      <c r="M153" s="18" t="n">
        <f aca="false">+M152*(1+L153)</f>
        <v>110.111602396848</v>
      </c>
      <c r="S153" s="3" t="s">
        <v>42</v>
      </c>
    </row>
    <row r="154" customFormat="false" ht="15" hidden="false" customHeight="false" outlineLevel="0" collapsed="false">
      <c r="A154" s="17" t="n">
        <v>43251</v>
      </c>
      <c r="B154" s="18" t="n">
        <v>18082.87</v>
      </c>
      <c r="C154" s="24" t="n">
        <f aca="false">(B154/B153-1)/(A154-A153)*360</f>
        <v>0.0248550270906596</v>
      </c>
      <c r="D154" s="19" t="n">
        <f aca="false">B154/$B$3*100</f>
        <v>165.093023553063</v>
      </c>
      <c r="F154" s="17" t="n">
        <v>43251</v>
      </c>
      <c r="I154" s="24"/>
      <c r="J154" s="18"/>
      <c r="K154" s="4" t="n">
        <v>1225.7601</v>
      </c>
      <c r="L154" s="24" t="n">
        <f aca="false">+(K154/K153-1)/(F154-F153)*360</f>
        <v>0.0135760494951163</v>
      </c>
      <c r="M154" s="18" t="n">
        <f aca="false">+M153*(1+L154)</f>
        <v>111.606482960974</v>
      </c>
      <c r="S154" s="3" t="n">
        <v>0</v>
      </c>
    </row>
    <row r="155" customFormat="false" ht="15" hidden="false" customHeight="false" outlineLevel="0" collapsed="false">
      <c r="A155" s="17" t="n">
        <v>43281</v>
      </c>
      <c r="B155" s="19" t="n">
        <v>18120.6225</v>
      </c>
      <c r="C155" s="24" t="n">
        <f aca="false">(B155/B154-1)/(A155-A154)*360</f>
        <v>0.0250529921411831</v>
      </c>
      <c r="D155" s="19" t="n">
        <f aca="false">B155/$B$3*100</f>
        <v>165.437696404867</v>
      </c>
      <c r="F155" s="17" t="n">
        <v>43281</v>
      </c>
      <c r="I155" s="24"/>
      <c r="J155" s="18"/>
      <c r="K155" s="4" t="n">
        <v>1227.2916</v>
      </c>
      <c r="L155" s="24" t="n">
        <f aca="false">+(K155/K154-1)/(F155-F154)*360</f>
        <v>0.014993145885561</v>
      </c>
      <c r="M155" s="18" t="n">
        <f aca="false">+M154*(1+L155)</f>
        <v>113.279815241782</v>
      </c>
      <c r="S155" s="3" t="s">
        <v>43</v>
      </c>
    </row>
    <row r="156" customFormat="false" ht="15" hidden="false" customHeight="false" outlineLevel="0" collapsed="false">
      <c r="A156" s="17" t="n">
        <v>43312</v>
      </c>
      <c r="B156" s="18" t="n">
        <v>18159.66</v>
      </c>
      <c r="C156" s="24" t="n">
        <f aca="false">(B156/B155-1)/(A156-A155)*360</f>
        <v>0.0250178331167936</v>
      </c>
      <c r="D156" s="19" t="n">
        <f aca="false">B156/$B$3*100</f>
        <v>165.794101052301</v>
      </c>
      <c r="F156" s="17" t="n">
        <v>43312</v>
      </c>
      <c r="I156" s="24"/>
      <c r="J156" s="18"/>
      <c r="K156" s="4" t="n">
        <v>1228.9844</v>
      </c>
      <c r="L156" s="24" t="n">
        <f aca="false">+(K156/K155-1)/(F156-F155)*360</f>
        <v>0.0160176461573164</v>
      </c>
      <c r="M156" s="18" t="n">
        <f aca="false">+M155*(1+L156)</f>
        <v>115.094291239091</v>
      </c>
      <c r="S156" s="3" t="n">
        <v>0.0045507403797014</v>
      </c>
    </row>
    <row r="157" customFormat="false" ht="15" hidden="false" customHeight="false" outlineLevel="0" collapsed="false">
      <c r="A157" s="17" t="n">
        <v>43343</v>
      </c>
      <c r="B157" s="18" t="n">
        <v>18198.62</v>
      </c>
      <c r="C157" s="24" t="n">
        <f aca="false">(B157/B156-1)/(A157-A156)*360</f>
        <v>0.0249144923240525</v>
      </c>
      <c r="D157" s="19" t="n">
        <f aca="false">B157/$B$3*100</f>
        <v>166.149798140077</v>
      </c>
      <c r="F157" s="17" t="n">
        <v>43343</v>
      </c>
      <c r="I157" s="24"/>
      <c r="J157" s="18"/>
      <c r="K157" s="4" t="n">
        <v>1230.6537</v>
      </c>
      <c r="L157" s="24" t="n">
        <f aca="false">+(K157/K156-1)/(F157-F156)*360</f>
        <v>0.0157735276011957</v>
      </c>
      <c r="M157" s="18" t="n">
        <f aca="false">+M156*(1+L157)</f>
        <v>116.909734218691</v>
      </c>
    </row>
    <row r="158" customFormat="false" ht="15" hidden="false" customHeight="false" outlineLevel="0" collapsed="false">
      <c r="A158" s="17" t="n">
        <v>43373</v>
      </c>
      <c r="B158" s="65" t="n">
        <v>18235.9</v>
      </c>
      <c r="C158" s="24" t="n">
        <f aca="false">(B158/B157-1)/(A158-A157)*360</f>
        <v>0.0245820836964565</v>
      </c>
      <c r="D158" s="19" t="n">
        <f aca="false">B158/$B$3*100</f>
        <v>166.490157160412</v>
      </c>
      <c r="F158" s="17" t="n">
        <v>43373</v>
      </c>
      <c r="I158" s="24"/>
      <c r="J158" s="18"/>
      <c r="K158" s="4" t="n">
        <v>1232.3669</v>
      </c>
      <c r="L158" s="24" t="n">
        <f aca="false">+(K158/K157-1)/(F158-F157)*360</f>
        <v>0.0167052681026343</v>
      </c>
      <c r="M158" s="18" t="n">
        <f aca="false">+M157*(1+L158)</f>
        <v>118.862742672622</v>
      </c>
    </row>
    <row r="159" customFormat="false" ht="15" hidden="false" customHeight="false" outlineLevel="0" collapsed="false">
      <c r="A159" s="17" t="n">
        <v>43404</v>
      </c>
      <c r="B159" s="3" t="n">
        <v>18277.4</v>
      </c>
      <c r="C159" s="24" t="n">
        <f aca="false">(B159/B158-1)/(A159-A158)*360</f>
        <v>0.0264278419968837</v>
      </c>
      <c r="D159" s="19" t="n">
        <f aca="false">B159/$B$3*100</f>
        <v>166.869043945389</v>
      </c>
      <c r="F159" s="17" t="n">
        <v>43404</v>
      </c>
      <c r="I159" s="24"/>
      <c r="J159" s="18"/>
      <c r="K159" s="4" t="n">
        <v>1234.1672</v>
      </c>
      <c r="L159" s="24" t="n">
        <f aca="false">+(K159/K158-1)/(F159-F158)*360</f>
        <v>0.0169646796562127</v>
      </c>
      <c r="M159" s="18" t="n">
        <f aca="false">+M158*(1+L159)</f>
        <v>120.879211025122</v>
      </c>
    </row>
    <row r="160" customFormat="false" ht="15" hidden="false" customHeight="false" outlineLevel="0" collapsed="false">
      <c r="A160" s="17" t="n">
        <v>43434</v>
      </c>
      <c r="B160" s="19" t="n">
        <v>18319.31</v>
      </c>
      <c r="C160" s="24" t="n">
        <f aca="false">(B160/B159-1)/(A160-A159)*360</f>
        <v>0.0275159486579053</v>
      </c>
      <c r="D160" s="19" t="n">
        <f aca="false">B160/$B$3*100</f>
        <v>167.251673949205</v>
      </c>
      <c r="F160" s="17" t="n">
        <v>43434</v>
      </c>
      <c r="I160" s="24"/>
      <c r="J160" s="18"/>
      <c r="K160" s="4" t="n">
        <v>1235.7279</v>
      </c>
      <c r="L160" s="24" t="n">
        <f aca="false">+(K160/K159-1)/(F160-F159)*360</f>
        <v>0.0151749292964531</v>
      </c>
      <c r="M160" s="18" t="n">
        <f aca="false">+M159*(1+L160)</f>
        <v>122.713544505839</v>
      </c>
    </row>
    <row r="161" customFormat="false" ht="15" hidden="false" customHeight="false" outlineLevel="0" collapsed="false">
      <c r="A161" s="17" t="n">
        <v>43465</v>
      </c>
      <c r="B161" s="3" t="n">
        <v>18362.684</v>
      </c>
      <c r="C161" s="24" t="n">
        <f aca="false">(B161/B160-1)/(A161-A160)*360</f>
        <v>0.0274954714187439</v>
      </c>
      <c r="D161" s="19" t="n">
        <f aca="false">B161/$B$3*100</f>
        <v>167.647669983219</v>
      </c>
      <c r="F161" s="17" t="n">
        <v>43465</v>
      </c>
      <c r="I161" s="24"/>
      <c r="J161" s="18"/>
      <c r="K161" s="18" t="n">
        <v>1237.654</v>
      </c>
      <c r="L161" s="24" t="n">
        <f aca="false">+(K161/K160-1)/(F161-F160)*360</f>
        <v>0.0181007589965598</v>
      </c>
      <c r="M161" s="18" t="n">
        <f aca="false">+M160*(1+L161)</f>
        <v>124.934752800553</v>
      </c>
    </row>
    <row r="162" customFormat="false" ht="15" hidden="false" customHeight="false" outlineLevel="0" collapsed="false">
      <c r="A162" s="17" t="n">
        <v>43496</v>
      </c>
      <c r="B162" s="3" t="n">
        <v>18407.69</v>
      </c>
      <c r="C162" s="24" t="n">
        <f aca="false">(B162/B161-1)/(A162-A161)*360</f>
        <v>0.0284626322916966</v>
      </c>
      <c r="D162" s="19" t="n">
        <f aca="false">B162/$B$3*100</f>
        <v>168.058565854175</v>
      </c>
      <c r="F162" s="17" t="n">
        <v>43496</v>
      </c>
      <c r="I162" s="24"/>
      <c r="J162" s="18"/>
      <c r="K162" s="18" t="n">
        <v>1239.7718</v>
      </c>
      <c r="L162" s="24" t="n">
        <f aca="false">+(K162/K161-1)/(F162-F161)*360</f>
        <v>0.0198713101170534</v>
      </c>
      <c r="M162" s="18" t="n">
        <f aca="false">+M161*(1+L162)</f>
        <v>127.41737001785</v>
      </c>
    </row>
    <row r="163" customFormat="false" ht="15" hidden="false" customHeight="false" outlineLevel="0" collapsed="false">
      <c r="A163" s="17" t="n">
        <v>43524</v>
      </c>
      <c r="B163" s="3" t="n">
        <v>18449.16</v>
      </c>
      <c r="C163" s="24" t="n">
        <f aca="false">(B163/B162-1)/(A163-A162)*360</f>
        <v>0.0289653788327457</v>
      </c>
      <c r="D163" s="19" t="n">
        <f aca="false">B163/$B$3*100</f>
        <v>168.43717874509</v>
      </c>
      <c r="F163" s="17" t="n">
        <v>43524</v>
      </c>
      <c r="I163" s="24"/>
      <c r="J163" s="18"/>
      <c r="K163" s="18" t="n">
        <v>1241.6304</v>
      </c>
      <c r="L163" s="24" t="n">
        <f aca="false">+(K163/K162-1)/(F163-F162)*360</f>
        <v>0.01927474533159</v>
      </c>
      <c r="M163" s="18" t="n">
        <f aca="false">+M162*(1+L163)</f>
        <v>129.873307375765</v>
      </c>
    </row>
    <row r="164" customFormat="false" ht="15" hidden="false" customHeight="false" outlineLevel="0" collapsed="false">
      <c r="A164" s="17" t="n">
        <v>43555</v>
      </c>
      <c r="B164" s="3" t="n">
        <v>18496.82</v>
      </c>
      <c r="C164" s="24" t="n">
        <f aca="false">(B164/B163-1)/(A164-A163)*360</f>
        <v>0.0299997922800793</v>
      </c>
      <c r="D164" s="19" t="n">
        <f aca="false">B164/$B$3*100</f>
        <v>168.872305110681</v>
      </c>
      <c r="F164" s="17" t="n">
        <v>43555</v>
      </c>
      <c r="I164" s="24"/>
      <c r="J164" s="18"/>
      <c r="K164" s="18" t="n">
        <v>1243.7364</v>
      </c>
      <c r="L164" s="24" t="n">
        <f aca="false">+(K164/K163-1)/(F164-F163)*360</f>
        <v>0.0196973062141103</v>
      </c>
      <c r="M164" s="18" t="n">
        <f aca="false">+M163*(1+L164)</f>
        <v>132.431461680185</v>
      </c>
    </row>
    <row r="165" customFormat="false" ht="15" hidden="false" customHeight="false" outlineLevel="0" collapsed="false">
      <c r="A165" s="17" t="n">
        <v>43585</v>
      </c>
      <c r="B165" s="3" t="n">
        <v>18543.07</v>
      </c>
      <c r="C165" s="24" t="n">
        <f aca="false">(B165/B164-1)/(A165-A164)*360</f>
        <v>0.0300051576433145</v>
      </c>
      <c r="D165" s="19" t="n">
        <f aca="false">B165/$B$3*100</f>
        <v>169.294558455384</v>
      </c>
      <c r="F165" s="17" t="n">
        <v>43585</v>
      </c>
      <c r="I165" s="24"/>
      <c r="J165" s="18"/>
      <c r="K165" s="18" t="n">
        <v>1245.7855</v>
      </c>
      <c r="L165" s="24" t="n">
        <f aca="false">+(K165/K164-1)/(F165-F164)*360</f>
        <v>0.0197704272384396</v>
      </c>
      <c r="M165" s="18" t="n">
        <f aca="false">+M164*(1+L165)</f>
        <v>135.049688257413</v>
      </c>
    </row>
    <row r="166" customFormat="false" ht="15" hidden="false" customHeight="false" outlineLevel="0" collapsed="false">
      <c r="A166" s="17" t="n">
        <v>43616</v>
      </c>
      <c r="B166" s="3" t="n">
        <v>18591.02</v>
      </c>
      <c r="C166" s="24" t="n">
        <f aca="false">(B166/B165-1)/(A166-A165)*360</f>
        <v>0.0300294778414484</v>
      </c>
      <c r="D166" s="19" t="n">
        <f aca="false">B166/$B$3*100</f>
        <v>169.732332463568</v>
      </c>
      <c r="F166" s="17" t="n">
        <v>43616</v>
      </c>
      <c r="I166" s="24"/>
      <c r="J166" s="18"/>
      <c r="K166" s="3" t="n">
        <v>1247.8388</v>
      </c>
      <c r="L166" s="24" t="n">
        <f aca="false">+(K166/K165-1)/(F166-F165)*360</f>
        <v>0.0191403529689097</v>
      </c>
      <c r="M166" s="18" t="n">
        <f aca="false">+M165*(1+L166)</f>
        <v>137.634586959001</v>
      </c>
    </row>
    <row r="167" customFormat="false" ht="15" hidden="false" customHeight="false" outlineLevel="0" collapsed="false">
      <c r="A167" s="17" t="n">
        <v>43646</v>
      </c>
      <c r="B167" s="3" t="n">
        <v>18632.31</v>
      </c>
      <c r="C167" s="24" t="n">
        <f aca="false">(B167/B166-1)/(A167-A166)*360</f>
        <v>0.026651576944138</v>
      </c>
      <c r="D167" s="3" t="n">
        <f aca="false">B167/$B$3*100</f>
        <v>170.109301990114</v>
      </c>
      <c r="F167" s="17" t="n">
        <v>43646</v>
      </c>
      <c r="I167" s="24"/>
      <c r="J167" s="18"/>
      <c r="K167" s="3" t="n">
        <v>1249.8128</v>
      </c>
      <c r="L167" s="24" t="n">
        <f aca="false">+(K167/K166-1)/(F167-F166)*360</f>
        <v>0.0189832212301777</v>
      </c>
      <c r="M167" s="18" t="n">
        <f aca="false">+M166*(1+L167)</f>
        <v>140.247334772168</v>
      </c>
    </row>
    <row r="168" customFormat="false" ht="15" hidden="false" customHeight="false" outlineLevel="0" collapsed="false">
      <c r="A168" s="17" t="n">
        <v>43677</v>
      </c>
      <c r="B168" s="3" t="n">
        <v>18672.31</v>
      </c>
      <c r="C168" s="24" t="n">
        <f aca="false">(B168/B167-1)/(A168-A167)*360</f>
        <v>0.0249306784307603</v>
      </c>
      <c r="D168" s="3" t="n">
        <f aca="false">B168/$B$3*100</f>
        <v>170.47449407202</v>
      </c>
      <c r="F168" s="17" t="n">
        <v>43677</v>
      </c>
      <c r="I168" s="24"/>
      <c r="J168" s="18"/>
      <c r="K168" s="3" t="n">
        <v>1251.7653</v>
      </c>
      <c r="L168" s="24" t="n">
        <f aca="false">+(K168/K167-1)/(F168-F167)*360</f>
        <v>0.018142071795383</v>
      </c>
      <c r="M168" s="18" t="n">
        <f aca="false">+M167*(1+L168)</f>
        <v>142.791711988716</v>
      </c>
      <c r="AR168" s="66"/>
    </row>
    <row r="169" customFormat="false" ht="15" hidden="false" customHeight="false" outlineLevel="0" collapsed="false">
      <c r="A169" s="17" t="n">
        <v>43708</v>
      </c>
      <c r="B169" s="3" t="n">
        <v>18712.55</v>
      </c>
      <c r="C169" s="24" t="n">
        <f aca="false">(B169/B168-1)/(A169-A168)*360</f>
        <v>0.0250265353245764</v>
      </c>
      <c r="D169" s="3" t="n">
        <f aca="false">B169/$B$3*100</f>
        <v>170.841877306416</v>
      </c>
      <c r="F169" s="17" t="n">
        <v>43708</v>
      </c>
      <c r="I169" s="24"/>
      <c r="J169" s="18"/>
      <c r="K169" s="3" t="n">
        <v>1253.6594</v>
      </c>
      <c r="L169" s="24" t="n">
        <f aca="false">+(K169/K168-1)/(F169-F168)*360</f>
        <v>0.0175719841411174</v>
      </c>
      <c r="M169" s="18" t="n">
        <f aca="false">+M168*(1+L169)</f>
        <v>145.300845687265</v>
      </c>
    </row>
    <row r="170" customFormat="false" ht="15" hidden="false" customHeight="false" outlineLevel="0" collapsed="false">
      <c r="A170" s="17" t="n">
        <v>43738</v>
      </c>
      <c r="B170" s="3" t="n">
        <v>18744.77</v>
      </c>
      <c r="C170" s="24" t="n">
        <f aca="false">(B170/B169-1)/(A170-A169)*360</f>
        <v>0.0206620690392274</v>
      </c>
      <c r="D170" s="3" t="n">
        <f aca="false">B170/$B$3*100</f>
        <v>171.136039528391</v>
      </c>
      <c r="F170" s="17" t="n">
        <v>43738</v>
      </c>
      <c r="I170" s="24"/>
      <c r="J170" s="18"/>
      <c r="K170" s="3" t="n">
        <v>1255.4578</v>
      </c>
      <c r="L170" s="24" t="n">
        <f aca="false">+(K170/K169-1)/(F170-F169)*360</f>
        <v>0.0172142449536121</v>
      </c>
      <c r="M170" s="18" t="n">
        <f aca="false">+M169*(1+L170)</f>
        <v>147.802090036892</v>
      </c>
    </row>
    <row r="171" customFormat="false" ht="15" hidden="false" customHeight="false" outlineLevel="0" collapsed="false">
      <c r="A171" s="17" t="n">
        <v>43769</v>
      </c>
      <c r="B171" s="3" t="n">
        <v>18776.102</v>
      </c>
      <c r="C171" s="24" t="n">
        <f aca="false">(B171/B170-1)/(A171-A170)*360</f>
        <v>0.0194110401925957</v>
      </c>
      <c r="D171" s="3" t="n">
        <f aca="false">B171/$B$3*100</f>
        <v>171.422094486147</v>
      </c>
      <c r="F171" s="17" t="n">
        <v>43769</v>
      </c>
      <c r="I171" s="24"/>
      <c r="J171" s="18"/>
      <c r="K171" s="3" t="n">
        <v>1257.2878</v>
      </c>
      <c r="L171" s="24" t="n">
        <f aca="false">+(K171/K170-1)/(F171-F170)*360</f>
        <v>0.0169273813131973</v>
      </c>
      <c r="M171" s="18" t="n">
        <f aca="false">+M170*(1+L171)</f>
        <v>150.303992373834</v>
      </c>
    </row>
    <row r="172" customFormat="false" ht="15" hidden="false" customHeight="false" outlineLevel="0" collapsed="false">
      <c r="A172" s="17" t="n">
        <v>43799</v>
      </c>
      <c r="B172" s="3" t="n">
        <v>18802.79</v>
      </c>
      <c r="C172" s="24" t="n">
        <f aca="false">(B172/B171-1)/(A172-A171)*360</f>
        <v>0.0170565754276382</v>
      </c>
      <c r="D172" s="3" t="n">
        <f aca="false">B172/$B$3*100</f>
        <v>171.665750643195</v>
      </c>
      <c r="F172" s="17" t="n">
        <v>43799</v>
      </c>
      <c r="I172" s="24"/>
      <c r="J172" s="18"/>
      <c r="K172" s="3" t="n">
        <v>1259.0622</v>
      </c>
      <c r="L172" s="24" t="n">
        <f aca="false">+(K172/K171-1)/(F172-F171)*360</f>
        <v>0.0169355019590594</v>
      </c>
      <c r="M172" s="18" t="n">
        <f aca="false">+M171*(1+L172)</f>
        <v>152.849465931136</v>
      </c>
    </row>
    <row r="173" customFormat="false" ht="15" hidden="false" customHeight="false" outlineLevel="0" collapsed="false">
      <c r="A173" s="17" t="n">
        <v>43830</v>
      </c>
      <c r="B173" s="3" t="n">
        <v>18830.68</v>
      </c>
      <c r="C173" s="24" t="n">
        <f aca="false">(B173/B172-1)/(A173-A172)*360</f>
        <v>0.0172253091678265</v>
      </c>
      <c r="D173" s="3" t="n">
        <f aca="false">B173/$B$3*100</f>
        <v>171.920380822303</v>
      </c>
      <c r="F173" s="17" t="n">
        <v>43830</v>
      </c>
      <c r="I173" s="24"/>
      <c r="J173" s="18"/>
      <c r="K173" s="3" t="n">
        <v>1260.7946</v>
      </c>
      <c r="L173" s="24" t="n">
        <f aca="false">+(K173/K172-1)/(F173-F172)*360</f>
        <v>0.0159787130043181</v>
      </c>
      <c r="M173" s="18" t="n">
        <f aca="false">+M172*(1+L173)</f>
        <v>155.291803680113</v>
      </c>
    </row>
    <row r="174" customFormat="false" ht="15" hidden="false" customHeight="false" outlineLevel="0" collapsed="false">
      <c r="A174" s="17" t="n">
        <v>43861</v>
      </c>
      <c r="B174" s="3" t="n">
        <v>18861.86</v>
      </c>
      <c r="C174" s="24" t="n">
        <f aca="false">(B174/B173-1)/(A174-A173)*360</f>
        <v>0.0192287438680207</v>
      </c>
      <c r="D174" s="3" t="n">
        <f aca="false">B174/$B$3*100</f>
        <v>172.205048050148</v>
      </c>
      <c r="F174" s="17" t="n">
        <v>43861</v>
      </c>
      <c r="I174" s="24"/>
      <c r="J174" s="18"/>
      <c r="K174" s="3" t="n">
        <v>1262.5754</v>
      </c>
      <c r="L174" s="24" t="n">
        <f aca="false">+(K174/K173-1)/(F174-F173)*360</f>
        <v>0.0164025591991872</v>
      </c>
      <c r="M174" s="18" t="n">
        <f aca="false">+M173*(1+L174)</f>
        <v>157.838986683124</v>
      </c>
    </row>
    <row r="175" customFormat="false" ht="15" hidden="false" customHeight="false" outlineLevel="0" collapsed="false">
      <c r="A175" s="17" t="n">
        <v>43890</v>
      </c>
      <c r="B175" s="3" t="n">
        <v>18887.8867</v>
      </c>
      <c r="C175" s="24" t="n">
        <f aca="false">(B175/B174-1)/(A175-A174)*360</f>
        <v>0.0171292793481409</v>
      </c>
      <c r="D175" s="3" t="n">
        <f aca="false">B175/$B$3*100</f>
        <v>172.442666669101</v>
      </c>
      <c r="F175" s="17" t="n">
        <v>43890</v>
      </c>
      <c r="I175" s="24"/>
      <c r="J175" s="18"/>
      <c r="K175" s="3" t="n">
        <v>1264.0601</v>
      </c>
      <c r="L175" s="24" t="n">
        <f aca="false">+(K175/K174-1)/(F175-F174)*360</f>
        <v>0.0145977488716231</v>
      </c>
      <c r="M175" s="18" t="n">
        <f aca="false">+M174*(1+L175)</f>
        <v>160.143080572876</v>
      </c>
    </row>
    <row r="176" customFormat="false" ht="15" hidden="false" customHeight="false" outlineLevel="0" collapsed="false">
      <c r="A176" s="17" t="n">
        <v>43921</v>
      </c>
      <c r="B176" s="3" t="n">
        <v>18908.77</v>
      </c>
      <c r="C176" s="24" t="n">
        <f aca="false">(B176/B175-1)/(A176-A175)*360</f>
        <v>0.0128397499300714</v>
      </c>
      <c r="D176" s="3" t="n">
        <f aca="false">B176/$B$3*100</f>
        <v>172.633327064203</v>
      </c>
      <c r="F176" s="17" t="n">
        <v>43921</v>
      </c>
      <c r="I176" s="24"/>
      <c r="J176" s="18"/>
      <c r="K176" s="3" t="n">
        <v>1265.4909</v>
      </c>
      <c r="L176" s="24" t="n">
        <f aca="false">+(K176/K175-1)/(F176-F175)*360</f>
        <v>0.0131447404561574</v>
      </c>
      <c r="M176" s="18" t="n">
        <f aca="false">+M175*(1+L176)</f>
        <v>162.248119802856</v>
      </c>
    </row>
    <row r="177" customFormat="false" ht="15" hidden="false" customHeight="false" outlineLevel="0" collapsed="false">
      <c r="A177" s="17" t="n">
        <v>43951</v>
      </c>
      <c r="B177" s="3" t="n">
        <v>18917.93</v>
      </c>
      <c r="C177" s="24" t="n">
        <f aca="false">(B177/B176-1)/(A177-A176)*360</f>
        <v>0.00581317557937489</v>
      </c>
      <c r="D177" s="3" t="n">
        <f aca="false">B177/$B$3*100</f>
        <v>172.716956050959</v>
      </c>
      <c r="F177" s="17" t="n">
        <v>43951</v>
      </c>
      <c r="I177" s="24"/>
      <c r="J177" s="18"/>
      <c r="K177" s="3" t="n">
        <v>1266.7001</v>
      </c>
      <c r="L177" s="24" t="n">
        <f aca="false">+(K177/K176-1)/(F177-F176)*360</f>
        <v>0.0114662223173632</v>
      </c>
      <c r="M177" s="18" t="n">
        <f aca="false">+M176*(1+L177)</f>
        <v>164.10849281509</v>
      </c>
    </row>
    <row r="178" customFormat="false" ht="15" hidden="false" customHeight="false" outlineLevel="0" collapsed="false">
      <c r="A178" s="17" t="n">
        <v>43982</v>
      </c>
      <c r="B178" s="3" t="n">
        <v>18925.24</v>
      </c>
      <c r="C178" s="24" t="n">
        <f aca="false">(B178/B177-1)/(A178-A177)*360</f>
        <v>0.00448729446512788</v>
      </c>
      <c r="D178" s="3" t="n">
        <f aca="false">B178/$B$3*100</f>
        <v>172.783694903927</v>
      </c>
      <c r="F178" s="17" t="n">
        <v>43982</v>
      </c>
      <c r="I178" s="24"/>
      <c r="J178" s="18"/>
      <c r="K178" s="3" t="n">
        <v>1268.0009</v>
      </c>
      <c r="L178" s="24" t="n">
        <f aca="false">+(K178/K177-1)/(F178-F177)*360</f>
        <v>0.01192552563636</v>
      </c>
      <c r="M178" s="18" t="n">
        <f aca="false">+M177*(1+L178)</f>
        <v>166.0655728533</v>
      </c>
    </row>
    <row r="179" customFormat="false" ht="15" hidden="false" customHeight="false" outlineLevel="0" collapsed="false">
      <c r="A179" s="17" t="n">
        <v>44012</v>
      </c>
      <c r="B179" s="3" t="n">
        <v>18932.63</v>
      </c>
      <c r="C179" s="24" t="n">
        <f aca="false">(B179/B178-1)/(A179-A178)*360</f>
        <v>0.00468580583390299</v>
      </c>
      <c r="D179" s="3" t="n">
        <f aca="false">B179/$B$3*100</f>
        <v>172.851164141059</v>
      </c>
      <c r="F179" s="17" t="n">
        <v>44012</v>
      </c>
      <c r="I179" s="24"/>
      <c r="J179" s="18"/>
      <c r="K179" s="3" t="n">
        <v>1268.1358</v>
      </c>
      <c r="L179" s="24" t="n">
        <f aca="false">+(K179/K178-1)/(F179-F178)*360</f>
        <v>0.00127665524527654</v>
      </c>
      <c r="M179" s="18" t="n">
        <f aca="false">+M178*(1+L179)</f>
        <v>166.277581337943</v>
      </c>
      <c r="AD179" s="66"/>
      <c r="AE179" s="66"/>
      <c r="AF179" s="66"/>
      <c r="AG179" s="66"/>
      <c r="AH179" s="66"/>
      <c r="AI179" s="66"/>
      <c r="AJ179" s="66"/>
      <c r="AK179" s="66"/>
      <c r="AL179" s="66"/>
      <c r="AM179" s="66"/>
      <c r="AN179" s="66"/>
      <c r="AO179" s="66"/>
      <c r="AP179" s="66"/>
      <c r="AQ179" s="66"/>
    </row>
    <row r="180" customFormat="false" ht="15" hidden="false" customHeight="false" outlineLevel="0" collapsed="false">
      <c r="A180" s="17" t="n">
        <v>44043</v>
      </c>
      <c r="B180" s="3" t="n">
        <v>18940.74</v>
      </c>
      <c r="C180" s="24" t="n">
        <f aca="false">(B180/B179-1)/(A180-A179)*360</f>
        <v>0.00497451464277853</v>
      </c>
      <c r="D180" s="3" t="n">
        <f aca="false">B180/$B$3*100</f>
        <v>172.925206835665</v>
      </c>
      <c r="F180" s="17" t="n">
        <v>44043</v>
      </c>
      <c r="I180" s="24"/>
      <c r="J180" s="18"/>
      <c r="K180" s="3" t="n">
        <v>1268.1553</v>
      </c>
      <c r="L180" s="24" t="n">
        <f aca="false">+(K180/K179-1)/(F180-F179)*360</f>
        <v>0.000178570475577957</v>
      </c>
      <c r="M180" s="18" t="n">
        <f aca="false">+M179*(1+L180)</f>
        <v>166.307273604721</v>
      </c>
    </row>
    <row r="181" customFormat="false" ht="15" hidden="false" customHeight="false" outlineLevel="0" collapsed="false">
      <c r="A181" s="17" t="n">
        <v>44074</v>
      </c>
      <c r="B181" s="3" t="n">
        <v>18948.69</v>
      </c>
      <c r="C181" s="24" t="n">
        <f aca="false">(B181/B180-1)/(A181-A180)*360</f>
        <v>0.0048742858328198</v>
      </c>
      <c r="D181" s="3" t="n">
        <f aca="false">B181/$B$3*100</f>
        <v>172.997788761944</v>
      </c>
      <c r="F181" s="17" t="n">
        <v>44074</v>
      </c>
      <c r="I181" s="24"/>
      <c r="J181" s="18"/>
      <c r="K181" s="3" t="n">
        <v>1268.1782</v>
      </c>
      <c r="L181" s="24" t="n">
        <f aca="false">+(K181/K180-1)/(F181-F180)*360</f>
        <v>0.000209702615976486</v>
      </c>
      <c r="M181" s="18" t="n">
        <f aca="false">+M180*(1+L181)</f>
        <v>166.342148675052</v>
      </c>
    </row>
    <row r="182" customFormat="false" ht="15" hidden="false" customHeight="false" outlineLevel="0" collapsed="false">
      <c r="A182" s="17" t="n">
        <v>44104</v>
      </c>
      <c r="B182" s="3" t="n">
        <v>18956.17</v>
      </c>
      <c r="C182" s="24" t="n">
        <f aca="false">(B182/B181-1)/(A182-A181)*360</f>
        <v>0.00473700292737966</v>
      </c>
      <c r="D182" s="3" t="n">
        <f aca="false">B182/$B$3*100</f>
        <v>173.06607968126</v>
      </c>
      <c r="F182" s="17" t="n">
        <v>44104</v>
      </c>
      <c r="I182" s="24"/>
      <c r="J182" s="18"/>
      <c r="K182" s="3" t="n">
        <v>1268.1967</v>
      </c>
      <c r="L182" s="24" t="n">
        <f aca="false">+(K182/K181-1)/(F182-F181)*360</f>
        <v>0.000175054262877339</v>
      </c>
      <c r="M182" s="18" t="n">
        <f aca="false">+M181*(1+L182)</f>
        <v>166.371267577273</v>
      </c>
    </row>
    <row r="183" customFormat="false" ht="15" hidden="false" customHeight="false" outlineLevel="0" collapsed="false">
      <c r="A183" s="17" t="n">
        <v>44135</v>
      </c>
      <c r="B183" s="3" t="n">
        <v>18963.23</v>
      </c>
      <c r="C183" s="24" t="n">
        <f aca="false">(B183/B182-1)/(A183-A182)*360</f>
        <v>0.00432508765084043</v>
      </c>
      <c r="D183" s="3" t="n">
        <f aca="false">B183/$B$3*100</f>
        <v>173.130536083717</v>
      </c>
      <c r="F183" s="17" t="n">
        <v>44135</v>
      </c>
      <c r="I183" s="24"/>
      <c r="J183" s="18"/>
      <c r="K183" s="3" t="n">
        <v>1268.2118</v>
      </c>
      <c r="L183" s="24" t="n">
        <f aca="false">+(K183/K182-1)/(F183-F182)*360</f>
        <v>0.000138271010097152</v>
      </c>
      <c r="M183" s="18" t="n">
        <f aca="false">+M182*(1+L183)</f>
        <v>166.394271900492</v>
      </c>
    </row>
    <row r="184" customFormat="false" ht="15" hidden="false" customHeight="false" outlineLevel="0" collapsed="false">
      <c r="A184" s="17" t="n">
        <v>44165</v>
      </c>
      <c r="B184" s="19" t="n">
        <v>18969.48</v>
      </c>
      <c r="C184" s="24" t="n">
        <f aca="false">(B184/B183-1)/(A184-A183)*360</f>
        <v>0.00395502243025092</v>
      </c>
      <c r="D184" s="3" t="n">
        <f aca="false">B184/$B$3*100</f>
        <v>173.187597346514</v>
      </c>
      <c r="F184" s="17" t="n">
        <v>44165</v>
      </c>
      <c r="I184" s="24"/>
      <c r="J184" s="18"/>
      <c r="K184" s="3" t="n">
        <v>1268.2675</v>
      </c>
      <c r="L184" s="24" t="n">
        <f aca="false">+(K184/K183-1)/(F184-F183)*360</f>
        <v>0.000527041303351794</v>
      </c>
      <c r="M184" s="18" t="n">
        <f aca="false">+M183*(1+L184)</f>
        <v>166.481968554425</v>
      </c>
    </row>
    <row r="185" customFormat="false" ht="15" hidden="false" customHeight="false" outlineLevel="0" collapsed="false">
      <c r="A185" s="17" t="n">
        <v>44196</v>
      </c>
      <c r="B185" s="3" t="n">
        <v>18976.88</v>
      </c>
      <c r="C185" s="24" t="n">
        <f aca="false">(B185/B184-1)/(A185-A184)*360</f>
        <v>0.0045301971309169</v>
      </c>
      <c r="D185" s="3" t="n">
        <f aca="false">B185/$B$3*100</f>
        <v>173.255157881667</v>
      </c>
      <c r="F185" s="17" t="n">
        <v>44196</v>
      </c>
      <c r="I185" s="24"/>
      <c r="J185" s="18"/>
      <c r="K185" s="3" t="n">
        <v>1268.2985</v>
      </c>
      <c r="L185" s="24" t="n">
        <f aca="false">+(K185/K184-1)/(F185-F184)*360</f>
        <v>0.000283851789943802</v>
      </c>
      <c r="M185" s="18" t="n">
        <f aca="false">+M184*(1+L185)</f>
        <v>166.529224759193</v>
      </c>
    </row>
    <row r="186" customFormat="false" ht="15" hidden="false" customHeight="false" outlineLevel="0" collapsed="false">
      <c r="A186" s="17" t="n">
        <v>44227</v>
      </c>
      <c r="B186" s="3" t="n">
        <v>18982.04</v>
      </c>
      <c r="C186" s="24" t="n">
        <f aca="false">(B186/B185-1)/(A186-A185)*360</f>
        <v>0.00315766241052995</v>
      </c>
      <c r="D186" s="3" t="n">
        <f aca="false">B186/$B$3*100</f>
        <v>173.302267660233</v>
      </c>
      <c r="F186" s="17" t="n">
        <v>44227</v>
      </c>
      <c r="I186" s="24"/>
      <c r="J186" s="18"/>
      <c r="K186" s="3" t="n">
        <v>1268.4135</v>
      </c>
      <c r="L186" s="24" t="n">
        <f aca="false">+(K186/K185-1)/(F186-F185)*360</f>
        <v>0.00105297283799363</v>
      </c>
      <c r="M186" s="18" t="n">
        <f aca="false">+M185*(1+L186)</f>
        <v>166.704575509596</v>
      </c>
    </row>
    <row r="187" customFormat="false" ht="15" hidden="false" customHeight="false" outlineLevel="0" collapsed="false">
      <c r="A187" s="17" t="n">
        <v>44255</v>
      </c>
      <c r="B187" s="3" t="n">
        <v>18986.58</v>
      </c>
      <c r="C187" s="24" t="n">
        <f aca="false">(B187/B186-1)/(A187-A186)*360</f>
        <v>0.00307508721778316</v>
      </c>
      <c r="D187" s="3" t="n">
        <f aca="false">B187/$B$3*100</f>
        <v>173.343716961529</v>
      </c>
      <c r="F187" s="17" t="n">
        <v>44255</v>
      </c>
      <c r="I187" s="24"/>
      <c r="J187" s="18"/>
      <c r="K187" s="3" t="n">
        <v>1268.4572</v>
      </c>
      <c r="L187" s="24" t="n">
        <f aca="false">+(K187/K186-1)/(F187-F186)*360</f>
        <v>0.000442960550999239</v>
      </c>
      <c r="M187" s="18" t="n">
        <f aca="false">+M186*(1+L187)</f>
        <v>166.778419060218</v>
      </c>
    </row>
    <row r="188" customFormat="false" ht="15" hidden="false" customHeight="false" outlineLevel="0" collapsed="false">
      <c r="A188" s="17" t="n">
        <v>44286</v>
      </c>
      <c r="B188" s="19" t="n">
        <v>18991.5</v>
      </c>
      <c r="C188" s="24" t="n">
        <f aca="false">(B188/B187-1)/(A188-A187)*360</f>
        <v>0.00300925621522816</v>
      </c>
      <c r="D188" s="3" t="n">
        <f aca="false">B188/$B$3*100</f>
        <v>173.388635587603</v>
      </c>
      <c r="F188" s="17" t="n">
        <v>44286</v>
      </c>
      <c r="I188" s="24"/>
      <c r="J188" s="18"/>
      <c r="K188" s="3" t="n">
        <v>1268.4863</v>
      </c>
      <c r="L188" s="24" t="n">
        <f aca="false">+(K188/K187-1)/(F188-F187)*360</f>
        <v>0.000266414573444698</v>
      </c>
      <c r="M188" s="18" t="n">
        <f aca="false">+M187*(1+L188)</f>
        <v>166.822851261592</v>
      </c>
    </row>
    <row r="189" customFormat="false" ht="15" hidden="false" customHeight="false" outlineLevel="0" collapsed="false">
      <c r="A189" s="17" t="n">
        <v>44316</v>
      </c>
      <c r="B189" s="3" t="n">
        <v>18997.09</v>
      </c>
      <c r="C189" s="24" t="n">
        <f aca="false">(B189/B188-1)/(A189-A188)*360</f>
        <v>0.00353210646868263</v>
      </c>
      <c r="D189" s="3" t="n">
        <f aca="false">B189/$B$3*100</f>
        <v>173.439671181049</v>
      </c>
      <c r="F189" s="17" t="n">
        <v>44316</v>
      </c>
      <c r="I189" s="24"/>
      <c r="J189" s="18"/>
      <c r="K189" s="18" t="n">
        <v>1268.5684</v>
      </c>
      <c r="L189" s="24" t="n">
        <f aca="false">+(K189/K188-1)/(F189-F188)*360</f>
        <v>0.000776673740979561</v>
      </c>
      <c r="M189" s="18" t="n">
        <f aca="false">+M188*(1+L189)</f>
        <v>166.952418189562</v>
      </c>
    </row>
    <row r="190" customFormat="false" ht="15" hidden="false" customHeight="false" outlineLevel="0" collapsed="false">
      <c r="A190" s="17" t="n">
        <v>44347</v>
      </c>
      <c r="B190" s="3" t="n">
        <v>19001.7</v>
      </c>
      <c r="C190" s="24" t="n">
        <f aca="false">(B190/B189-1)/(A190-A189)*360</f>
        <v>0.00281808865836759</v>
      </c>
      <c r="D190" s="3" t="n">
        <f aca="false">B190/$B$3*100</f>
        <v>173.481759568489</v>
      </c>
      <c r="F190" s="17" t="n">
        <v>44356</v>
      </c>
      <c r="I190" s="24"/>
      <c r="J190" s="18"/>
      <c r="K190" s="18" t="n">
        <v>1268.5887</v>
      </c>
      <c r="L190" s="24" t="n">
        <f aca="false">+(K190/K189-1)/(F190-F189)*360</f>
        <v>0.000144020614102569</v>
      </c>
      <c r="M190" s="18" t="n">
        <f aca="false">+M189*(1+L190)</f>
        <v>166.976462779356</v>
      </c>
    </row>
    <row r="191" customFormat="false" ht="15" hidden="false" customHeight="false" outlineLevel="0" collapsed="false">
      <c r="A191" s="17" t="n">
        <v>44377</v>
      </c>
      <c r="B191" s="3" t="n">
        <v>19006.88</v>
      </c>
      <c r="C191" s="24" t="n">
        <f aca="false">(B191/B190-1)/(A191-A190)*360</f>
        <v>0.00327128625333462</v>
      </c>
      <c r="D191" s="3" t="n">
        <f aca="false">B191/$B$3*100</f>
        <v>173.529051943096</v>
      </c>
      <c r="F191" s="17" t="n">
        <v>44377</v>
      </c>
      <c r="I191" s="24"/>
      <c r="J191" s="18"/>
      <c r="K191" s="3" t="n">
        <v>1268.5979</v>
      </c>
      <c r="L191" s="24" t="n">
        <f aca="false">+(K191/K190-1)/(F191-F190)*360</f>
        <v>0.000124322631686523</v>
      </c>
      <c r="M191" s="18" t="n">
        <f aca="false">+M190*(1+L191)</f>
        <v>166.997221732638</v>
      </c>
    </row>
    <row r="192" customFormat="false" ht="15" hidden="false" customHeight="false" outlineLevel="0" collapsed="false">
      <c r="A192" s="17" t="n">
        <v>44408</v>
      </c>
      <c r="B192" s="3" t="n">
        <v>19016.42</v>
      </c>
      <c r="C192" s="24" t="n">
        <f aca="false">(B192/B191-1)/(A192-A191)*360</f>
        <v>0.00582878919497308</v>
      </c>
      <c r="D192" s="3" t="n">
        <f aca="false">B192/$B$3*100</f>
        <v>173.61615025463</v>
      </c>
      <c r="F192" s="17" t="n">
        <v>44408</v>
      </c>
      <c r="I192" s="24"/>
      <c r="J192" s="18"/>
      <c r="K192" s="18" t="n">
        <v>1268.6157</v>
      </c>
      <c r="L192" s="24" t="n">
        <f aca="false">+(K192/K191-1)/(F192-F191)*360</f>
        <v>0.000162943417625779</v>
      </c>
      <c r="M192" s="18" t="n">
        <f aca="false">+M191*(1+L192)</f>
        <v>167.024432830681</v>
      </c>
    </row>
    <row r="193" customFormat="false" ht="15" hidden="false" customHeight="false" outlineLevel="0" collapsed="false">
      <c r="A193" s="17" t="n">
        <v>44439</v>
      </c>
      <c r="B193" s="3" t="n">
        <v>19028.38</v>
      </c>
      <c r="C193" s="24" t="n">
        <f aca="false">(B193/B192-1)/(A193-A192)*360</f>
        <v>0.0073037050391556</v>
      </c>
      <c r="D193" s="3" t="n">
        <f aca="false">B193/$B$3*100</f>
        <v>173.72534268712</v>
      </c>
      <c r="F193" s="17" t="n">
        <v>44439</v>
      </c>
      <c r="I193" s="24"/>
      <c r="J193" s="18"/>
      <c r="K193" s="18" t="n">
        <v>1268.6364</v>
      </c>
      <c r="L193" s="24" t="n">
        <f aca="false">+(K193/K192-1)/(F193-F192)*360</f>
        <v>0.000189487720177909</v>
      </c>
      <c r="M193" s="18" t="n">
        <f aca="false">+M192*(1+L193)</f>
        <v>167.056081909672</v>
      </c>
    </row>
    <row r="194" customFormat="false" ht="15" hidden="false" customHeight="false" outlineLevel="0" collapsed="false">
      <c r="A194" s="17" t="n">
        <v>44469</v>
      </c>
      <c r="B194" s="3" t="n">
        <v>19052.12</v>
      </c>
      <c r="C194" s="24" t="n">
        <f aca="false">(B194/B193-1)/(A194-A193)*360</f>
        <v>0.0149713217835661</v>
      </c>
      <c r="D194" s="3" t="n">
        <f aca="false">B194/$B$3*100</f>
        <v>173.942084187731</v>
      </c>
      <c r="F194" s="17" t="n">
        <v>44469</v>
      </c>
      <c r="I194" s="24"/>
      <c r="J194" s="18"/>
      <c r="K194" s="18" t="n">
        <v>1268.654</v>
      </c>
      <c r="L194" s="24" t="n">
        <f aca="false">+(K194/K193-1)/(F194-F193)*360</f>
        <v>0.000166477960113376</v>
      </c>
      <c r="M194" s="18" t="n">
        <f aca="false">+M193*(1+L194)</f>
        <v>167.083893065413</v>
      </c>
    </row>
    <row r="195" customFormat="false" ht="15" hidden="false" customHeight="false" outlineLevel="0" collapsed="false">
      <c r="A195" s="17" t="n">
        <v>44500</v>
      </c>
      <c r="B195" s="3" t="n">
        <v>19091.59</v>
      </c>
      <c r="C195" s="24" t="n">
        <f aca="false">(B195/B194-1)/(A195-A194)*360</f>
        <v>0.0240582827697175</v>
      </c>
      <c r="D195" s="3" t="n">
        <f aca="false">B195/$B$3*100</f>
        <v>174.302437474551</v>
      </c>
      <c r="F195" s="17" t="n">
        <v>44500</v>
      </c>
      <c r="I195" s="24"/>
      <c r="J195" s="18"/>
      <c r="K195" s="18" t="n">
        <v>1268.6726</v>
      </c>
      <c r="L195" s="24" t="n">
        <f aca="false">+(K195/K194-1)/(F195-F194)*360</f>
        <v>0.000170259188084883</v>
      </c>
      <c r="M195" s="18" t="n">
        <f aca="false">+M194*(1+L195)</f>
        <v>167.112340633388</v>
      </c>
    </row>
    <row r="196" customFormat="false" ht="15" hidden="false" customHeight="false" outlineLevel="0" collapsed="false">
      <c r="A196" s="17" t="n">
        <v>44530</v>
      </c>
      <c r="B196" s="3" t="n">
        <v>19132.47</v>
      </c>
      <c r="C196" s="24" t="n">
        <f aca="false">(B196/B195-1)/(A196-A195)*360</f>
        <v>0.0256950835420211</v>
      </c>
      <c r="D196" s="3" t="n">
        <f aca="false">B196/$B$3*100</f>
        <v>174.675663782258</v>
      </c>
      <c r="F196" s="17" t="n">
        <v>44530</v>
      </c>
      <c r="I196" s="24"/>
      <c r="J196" s="18"/>
      <c r="K196" s="18" t="n">
        <v>1268.7193</v>
      </c>
      <c r="L196" s="24" t="n">
        <f aca="false">+(K196/K195-1)/(F196-F195)*360</f>
        <v>0.00044172152846933</v>
      </c>
      <c r="M196" s="18" t="n">
        <f aca="false">+M195*(1+L196)</f>
        <v>167.186157751919</v>
      </c>
    </row>
    <row r="197" customFormat="false" ht="15" hidden="false" customHeight="false" outlineLevel="0" collapsed="false">
      <c r="A197" s="17" t="n">
        <v>44561</v>
      </c>
      <c r="B197" s="3" t="n">
        <v>19193.41</v>
      </c>
      <c r="C197" s="24" t="n">
        <f aca="false">(B197/B196-1)/(A197-A196)*360</f>
        <v>0.0369889681039943</v>
      </c>
      <c r="D197" s="3" t="n">
        <f aca="false">B197/$B$3*100</f>
        <v>175.232033919041</v>
      </c>
      <c r="F197" s="17" t="n">
        <v>44561</v>
      </c>
      <c r="I197" s="24"/>
      <c r="J197" s="18"/>
      <c r="K197" s="3" t="n">
        <v>1268.7577</v>
      </c>
      <c r="L197" s="24" t="n">
        <f aca="false">+(K197/K196-1)/(F197-F196)*360</f>
        <v>0.000351484748338829</v>
      </c>
      <c r="M197" s="18" t="n">
        <f aca="false">+M196*(1+L197)</f>
        <v>167.244921136502</v>
      </c>
    </row>
    <row r="198" customFormat="false" ht="15" hidden="false" customHeight="false" outlineLevel="0" collapsed="false">
      <c r="A198" s="17" t="n">
        <v>44592</v>
      </c>
      <c r="B198" s="3" t="n">
        <v>19259.35</v>
      </c>
      <c r="C198" s="24" t="n">
        <f aca="false">(B198/B197-1)/(A198-A197)*360</f>
        <v>0.0398967582472135</v>
      </c>
      <c r="D198" s="3" t="n">
        <f aca="false">B198/$B$3*100</f>
        <v>175.834053066061</v>
      </c>
      <c r="F198" s="17" t="n">
        <v>44592</v>
      </c>
      <c r="I198" s="24"/>
      <c r="J198" s="18"/>
      <c r="K198" s="3" t="n">
        <v>1268.8066</v>
      </c>
      <c r="L198" s="24" t="n">
        <f aca="false">+(K198/K197-1)/(F198-F197)*360</f>
        <v>0.000447580312410076</v>
      </c>
      <c r="M198" s="18" t="n">
        <f aca="false">+M197*(1+L198)</f>
        <v>167.319776670554</v>
      </c>
    </row>
    <row r="199" customFormat="false" ht="15" hidden="false" customHeight="false" outlineLevel="0" collapsed="false">
      <c r="A199" s="17" t="n">
        <v>44620</v>
      </c>
      <c r="B199" s="19" t="n">
        <v>19341.9</v>
      </c>
      <c r="C199" s="24" t="n">
        <f aca="false">(B199/B198-1)/(A199-A198)*360</f>
        <v>0.0551086689248164</v>
      </c>
      <c r="D199" s="3" t="n">
        <f aca="false">B199/$B$3*100</f>
        <v>176.587718225093</v>
      </c>
      <c r="F199" s="17" t="n">
        <v>44620</v>
      </c>
      <c r="I199" s="24"/>
      <c r="J199" s="18"/>
      <c r="K199" s="18" t="n">
        <v>1268.8627</v>
      </c>
      <c r="L199" s="24" t="n">
        <f aca="false">+(K199/K198-1)/(F199-F198)*360</f>
        <v>0.000568475695417181</v>
      </c>
      <c r="M199" s="18" t="n">
        <f aca="false">+M198*(1+L199)</f>
        <v>167.414893896953</v>
      </c>
    </row>
    <row r="200" customFormat="false" ht="15" hidden="false" customHeight="false" outlineLevel="0" collapsed="false">
      <c r="A200" s="17" t="n">
        <v>44651</v>
      </c>
      <c r="B200" s="3" t="n">
        <v>19435.35</v>
      </c>
      <c r="C200" s="24" t="n">
        <f aca="false">(B200/B199-1)/(A200-A199)*360</f>
        <v>0.0561075078690079</v>
      </c>
      <c r="D200" s="3" t="n">
        <f aca="false">B200/$B$3*100</f>
        <v>177.440898226445</v>
      </c>
      <c r="F200" s="17" t="n">
        <v>44651</v>
      </c>
      <c r="I200" s="24"/>
      <c r="J200" s="18"/>
      <c r="K200" s="18" t="n">
        <v>1268.9288</v>
      </c>
      <c r="L200" s="24" t="n">
        <f aca="false">+(K200/K199-1)/(F200-F199)*360</f>
        <v>0.00060496135888121</v>
      </c>
      <c r="M200" s="18" t="n">
        <f aca="false">+M199*(1+L200)</f>
        <v>167.516173438662</v>
      </c>
    </row>
    <row r="201" customFormat="false" ht="15" hidden="false" customHeight="false" outlineLevel="0" collapsed="false">
      <c r="A201" s="17" t="n">
        <v>44681</v>
      </c>
      <c r="B201" s="3" t="n">
        <v>19541.32</v>
      </c>
      <c r="C201" s="24" t="n">
        <f aca="false">(B201/B200-1)/(A201-A200)*360</f>
        <v>0.0654292307573581</v>
      </c>
      <c r="D201" s="3" t="n">
        <f aca="false">B201/$B$3*100</f>
        <v>178.408383349432</v>
      </c>
      <c r="F201" s="17" t="n">
        <v>44681</v>
      </c>
      <c r="I201" s="24"/>
      <c r="J201" s="18"/>
      <c r="K201" s="18" t="n">
        <v>1269.0457</v>
      </c>
      <c r="L201" s="24" t="n">
        <f aca="false">+(K201/K200-1)/(F201-F200)*360</f>
        <v>0.00110549937868765</v>
      </c>
      <c r="M201" s="18" t="n">
        <f aca="false">+M200*(1+L201)</f>
        <v>167.701362464319</v>
      </c>
    </row>
    <row r="202" customFormat="false" ht="15" hidden="false" customHeight="false" outlineLevel="0" collapsed="false">
      <c r="A202" s="17" t="n">
        <v>44712</v>
      </c>
      <c r="B202" s="3" t="n">
        <v>19680.32</v>
      </c>
      <c r="C202" s="24" t="n">
        <f aca="false">(B202/B201-1)/(A202-A201)*360</f>
        <v>0.0826041203146517</v>
      </c>
      <c r="D202" s="3" t="n">
        <f aca="false">B202/$B$3*100</f>
        <v>179.677425834053</v>
      </c>
      <c r="F202" s="17" t="n">
        <v>44712</v>
      </c>
      <c r="I202" s="24"/>
      <c r="J202" s="18"/>
      <c r="K202" s="3" t="n">
        <v>1269.4677</v>
      </c>
      <c r="L202" s="24" t="n">
        <f aca="false">+(K202/K201-1)/(F202-F201)*360</f>
        <v>0.00386167744888149</v>
      </c>
      <c r="M202" s="18" t="n">
        <f aca="false">+M201*(1+L202)</f>
        <v>168.348971033894</v>
      </c>
    </row>
    <row r="203" customFormat="false" ht="15" hidden="false" customHeight="false" outlineLevel="0" collapsed="false">
      <c r="A203" s="17" t="n">
        <v>44742</v>
      </c>
      <c r="B203" s="3" t="n">
        <v>19825.16</v>
      </c>
      <c r="C203" s="24" t="n">
        <f aca="false">(B203/B202-1)/(A203-A202)*360</f>
        <v>0.0883156371441105</v>
      </c>
      <c r="D203" s="3" t="n">
        <f aca="false">B203/$B$3*100</f>
        <v>180.999786362632</v>
      </c>
      <c r="F203" s="17" t="n">
        <v>44742</v>
      </c>
      <c r="I203" s="24"/>
      <c r="J203" s="18"/>
      <c r="K203" s="18" t="n">
        <v>1269.9794</v>
      </c>
      <c r="L203" s="24" t="n">
        <f aca="false">+(K203/K202-1)/(F203-F202)*360</f>
        <v>0.00483698797535404</v>
      </c>
      <c r="M203" s="18" t="n">
        <f aca="false">+M202*(1+L203)</f>
        <v>169.163272982448</v>
      </c>
    </row>
    <row r="204" customFormat="false" ht="15" hidden="false" customHeight="false" outlineLevel="0" collapsed="false">
      <c r="A204" s="17" t="n">
        <v>44773</v>
      </c>
      <c r="B204" s="3" t="n">
        <v>19975.62</v>
      </c>
      <c r="C204" s="24" t="n">
        <f aca="false">(B204/B203-1)/(A204-A203)*360</f>
        <v>0.0881343413800863</v>
      </c>
      <c r="D204" s="3" t="n">
        <f aca="false">B204/$B$3*100</f>
        <v>182.373456378719</v>
      </c>
      <c r="F204" s="17" t="n">
        <v>44773</v>
      </c>
      <c r="I204" s="24"/>
      <c r="J204" s="18"/>
      <c r="K204" s="18" t="n">
        <v>1270.7479</v>
      </c>
      <c r="L204" s="24" t="n">
        <f aca="false">+(K204/K203-1)/(F204-F203)*360</f>
        <v>0.00702729204035357</v>
      </c>
      <c r="M204" s="18" t="n">
        <f aca="false">+M203*(1+L204)</f>
        <v>170.352032704198</v>
      </c>
    </row>
    <row r="205" customFormat="false" ht="15" hidden="false" customHeight="false" outlineLevel="0" collapsed="false">
      <c r="A205" s="17" t="n">
        <v>44804</v>
      </c>
      <c r="B205" s="3" t="n">
        <v>20154.92</v>
      </c>
      <c r="C205" s="24" t="n">
        <f aca="false">(B205/B204-1)/(A205-A204)*360</f>
        <v>0.104236742007861</v>
      </c>
      <c r="D205" s="3" t="n">
        <f aca="false">B205/$B$3*100</f>
        <v>184.010429885859</v>
      </c>
      <c r="F205" s="17" t="n">
        <v>44804</v>
      </c>
      <c r="I205" s="24"/>
      <c r="J205" s="18"/>
      <c r="K205" s="18" t="n">
        <v>1272.075</v>
      </c>
      <c r="L205" s="24" t="n">
        <f aca="false">+(K205/K204-1)/(F205-F204)*360</f>
        <v>0.0121278845874681</v>
      </c>
      <c r="M205" s="18" t="n">
        <f aca="false">+M204*(1+L205)</f>
        <v>172.418042496075</v>
      </c>
    </row>
    <row r="206" customFormat="false" ht="15" hidden="false" customHeight="false" outlineLevel="0" collapsed="false">
      <c r="A206" s="17" t="n">
        <v>44834</v>
      </c>
      <c r="B206" s="3" t="n">
        <v>20332.28</v>
      </c>
      <c r="C206" s="24" t="n">
        <f aca="false">(B206/B205-1)/(A206-A205)*360</f>
        <v>0.105598037600745</v>
      </c>
      <c r="D206" s="3" t="n">
        <f aca="false">B206/$B$3*100</f>
        <v>185.629691577027</v>
      </c>
      <c r="F206" s="17" t="n">
        <v>44834</v>
      </c>
      <c r="I206" s="24"/>
      <c r="J206" s="18"/>
      <c r="K206" s="18" t="n">
        <v>1273.8575</v>
      </c>
      <c r="L206" s="24" t="n">
        <f aca="false">+(K206/K205-1)/(F206-F205)*360</f>
        <v>0.01681504628265</v>
      </c>
      <c r="M206" s="18" t="n">
        <f aca="false">+M205*(1+L206)</f>
        <v>175.31725986061</v>
      </c>
    </row>
    <row r="207" customFormat="false" ht="15" hidden="false" customHeight="false" outlineLevel="0" collapsed="false">
      <c r="A207" s="17" t="n">
        <v>44862</v>
      </c>
      <c r="B207" s="3" t="n">
        <v>20507.2</v>
      </c>
      <c r="C207" s="24" t="n">
        <f aca="false">(B207/B206-1)/(A207-A206)*360</f>
        <v>0.110610882231184</v>
      </c>
      <c r="D207" s="3" t="n">
        <f aca="false">B207/$B$3*100</f>
        <v>187.226676551199</v>
      </c>
      <c r="F207" s="17" t="n">
        <v>44862</v>
      </c>
      <c r="I207" s="24"/>
      <c r="J207" s="18"/>
      <c r="K207" s="18" t="n">
        <v>1275.941</v>
      </c>
      <c r="L207" s="24" t="n">
        <f aca="false">+(K207/K206-1)/(F207-F206)*360</f>
        <v>0.0210289276020714</v>
      </c>
      <c r="M207" s="18" t="n">
        <f aca="false">+M206*(1+L207)</f>
        <v>179.003993825613</v>
      </c>
    </row>
    <row r="208" customFormat="false" ht="15" hidden="false" customHeight="false" outlineLevel="0" collapsed="false">
      <c r="A208" s="17" t="n">
        <v>44895</v>
      </c>
      <c r="B208" s="3" t="n">
        <v>20719.68</v>
      </c>
      <c r="C208" s="24" t="n">
        <f aca="false">(B208/B207-1)/(A208-A207)*360</f>
        <v>0.113031697957967</v>
      </c>
      <c r="D208" s="3" t="n">
        <f aca="false">B208/$B$3*100</f>
        <v>189.16657689028</v>
      </c>
      <c r="F208" s="17" t="n">
        <v>44895</v>
      </c>
      <c r="I208" s="24"/>
      <c r="J208" s="18"/>
      <c r="K208" s="18" t="n">
        <v>1278.9082</v>
      </c>
      <c r="L208" s="24" t="n">
        <f aca="false">+(K208/K207-1)/(F208-F207)*360</f>
        <v>0.0253690841076949</v>
      </c>
      <c r="M208" s="18" t="n">
        <f aca="false">+M207*(1+L208)</f>
        <v>183.545161200588</v>
      </c>
    </row>
    <row r="209" customFormat="false" ht="15" hidden="false" customHeight="false" outlineLevel="0" collapsed="false">
      <c r="A209" s="17" t="n">
        <v>44925</v>
      </c>
      <c r="B209" s="3" t="n">
        <v>20914.79</v>
      </c>
      <c r="C209" s="24" t="n">
        <f aca="false">(B209/B208-1)/(A209-A208)*360</f>
        <v>0.112999814668953</v>
      </c>
      <c r="D209" s="3" t="n">
        <f aca="false">B209/$B$3*100</f>
        <v>190.947892567793</v>
      </c>
      <c r="F209" s="17" t="n">
        <v>44925</v>
      </c>
      <c r="I209" s="24"/>
      <c r="J209" s="18"/>
      <c r="K209" s="18" t="n">
        <v>1282.3101</v>
      </c>
      <c r="L209" s="24" t="n">
        <f aca="false">+(K209/K208-1)/(F209-F208)*360</f>
        <v>0.0319200392960157</v>
      </c>
      <c r="M209" s="18" t="n">
        <f aca="false">+M208*(1+L209)</f>
        <v>189.403929958704</v>
      </c>
    </row>
    <row r="210" customFormat="false" ht="15" hidden="false" customHeight="false" outlineLevel="0" collapsed="false">
      <c r="A210" s="17" t="n">
        <v>44957</v>
      </c>
      <c r="B210" s="3" t="n">
        <v>21124.92</v>
      </c>
      <c r="C210" s="24" t="n">
        <f aca="false">(B210/B209-1)/(A210-A209)*360</f>
        <v>0.113028268512377</v>
      </c>
      <c r="D210" s="3" t="n">
        <f aca="false">B210/$B$3*100</f>
        <v>192.866337872062</v>
      </c>
      <c r="F210" s="17" t="n">
        <v>44957</v>
      </c>
      <c r="G210" s="4" t="n">
        <v>1</v>
      </c>
      <c r="H210" s="4" t="n">
        <v>1</v>
      </c>
      <c r="I210" s="24"/>
      <c r="J210" s="18" t="n">
        <v>100</v>
      </c>
      <c r="K210" s="18" t="n">
        <v>1286.6788</v>
      </c>
      <c r="L210" s="24" t="n">
        <f aca="false">+(K210/K209-1)/(F210-F209)*360</f>
        <v>0.0383276049997572</v>
      </c>
      <c r="M210" s="18" t="n">
        <v>100</v>
      </c>
    </row>
    <row r="211" customFormat="false" ht="15" hidden="false" customHeight="false" outlineLevel="0" collapsed="false">
      <c r="A211" s="17" t="n">
        <v>44985</v>
      </c>
      <c r="B211" s="3" t="n">
        <v>21310.51</v>
      </c>
      <c r="C211" s="24" t="n">
        <f aca="false">(B211/B210-1)/(A211-A210)*360</f>
        <v>0.112954612034372</v>
      </c>
      <c r="D211" s="3" t="n">
        <f aca="false">B211/$B$3*100</f>
        <v>194.560737834082</v>
      </c>
      <c r="F211" s="17" t="n">
        <v>44985</v>
      </c>
      <c r="G211" s="4" t="n">
        <v>1.0015</v>
      </c>
      <c r="H211" s="4" t="n">
        <f aca="false">+G211+$S$148+$S$150+$S$154</f>
        <v>1.0015</v>
      </c>
      <c r="I211" s="24" t="n">
        <f aca="false">+(H211/H210-1)/(F211-F210)*360</f>
        <v>0.019285714285715</v>
      </c>
      <c r="J211" s="18" t="n">
        <f aca="false">+J210*(1+I211)</f>
        <v>101.928571428572</v>
      </c>
      <c r="K211" s="18" t="n">
        <v>1290.7943</v>
      </c>
      <c r="L211" s="24" t="n">
        <f aca="false">+(K211/K210-1)/(F211-F210)*360</f>
        <v>0.0411241495768592</v>
      </c>
      <c r="M211" s="18" t="n">
        <f aca="false">+M210*(1+L211)</f>
        <v>104.112414957686</v>
      </c>
    </row>
    <row r="212" customFormat="false" ht="15" hidden="false" customHeight="false" outlineLevel="0" collapsed="false">
      <c r="A212" s="17" t="n">
        <v>45016</v>
      </c>
      <c r="B212" s="3" t="n">
        <v>21517.9</v>
      </c>
      <c r="C212" s="24" t="n">
        <f aca="false">(B212/B211-1)/(A212-A211)*360</f>
        <v>0.11301465802555</v>
      </c>
      <c r="D212" s="3" t="n">
        <f aca="false">B212/$B$3*100</f>
        <v>196.454167480741</v>
      </c>
      <c r="F212" s="17" t="n">
        <v>45016</v>
      </c>
      <c r="G212" s="4" t="n">
        <v>1.0049</v>
      </c>
      <c r="H212" s="4" t="n">
        <f aca="false">+G212+$S$148+$S$150+$S$154</f>
        <v>1.0049</v>
      </c>
      <c r="I212" s="24" t="n">
        <f aca="false">+(H212/H211-1)/(F212-F211)*360</f>
        <v>0.0394247338669394</v>
      </c>
      <c r="J212" s="18" t="n">
        <f aca="false">+J211*(1+I212)</f>
        <v>105.94707823058</v>
      </c>
      <c r="K212" s="3" t="n">
        <v>1295.4368</v>
      </c>
      <c r="L212" s="24" t="n">
        <f aca="false">+(K212/K211-1)/(F212-F211)*360</f>
        <v>0.0417672306314064</v>
      </c>
      <c r="M212" s="18" t="n">
        <f aca="false">+M211*(1+L212)</f>
        <v>108.460902204816</v>
      </c>
    </row>
    <row r="213" customFormat="false" ht="15" hidden="false" customHeight="false" outlineLevel="0" collapsed="false">
      <c r="A213" s="17" t="n">
        <v>45044</v>
      </c>
      <c r="B213" s="3" t="n">
        <v>21706.94</v>
      </c>
      <c r="C213" s="24" t="n">
        <f aca="false">(B213/B212-1)/(A213-A212)*360</f>
        <v>0.112953136026947</v>
      </c>
      <c r="D213" s="3" t="n">
        <f aca="false">B213/$B$3*100</f>
        <v>198.180065259825</v>
      </c>
      <c r="F213" s="17" t="n">
        <v>45044</v>
      </c>
      <c r="G213" s="4" t="n">
        <v>1.0088</v>
      </c>
      <c r="H213" s="4" t="n">
        <f aca="false">+G213+$S$148+$S$150+$S$154</f>
        <v>1.0088</v>
      </c>
      <c r="I213" s="24" t="n">
        <f aca="false">+(H213/H212-1)/(F213-F212)*360</f>
        <v>0.0498983552023662</v>
      </c>
      <c r="J213" s="18" t="n">
        <f aca="false">+J212*(1+I213)</f>
        <v>111.233663172783</v>
      </c>
      <c r="K213" s="18" t="n">
        <v>1299.7442</v>
      </c>
      <c r="L213" s="24" t="n">
        <f aca="false">+(K213/K212-1)/(F213-F212)*360</f>
        <v>0.0427507209482243</v>
      </c>
      <c r="M213" s="18" t="n">
        <f aca="false">+M212*(1+L213)</f>
        <v>113.097683968767</v>
      </c>
    </row>
    <row r="214" customFormat="false" ht="15" hidden="false" customHeight="false" outlineLevel="0" collapsed="false">
      <c r="A214" s="17" t="n">
        <v>45077</v>
      </c>
      <c r="B214" s="3" t="n">
        <v>21931.86</v>
      </c>
      <c r="C214" s="24" t="n">
        <f aca="false">(B214/B213-1)/(A214-A213)*360</f>
        <v>0.113036325123335</v>
      </c>
      <c r="D214" s="3" t="n">
        <f aca="false">B214/$B$3*100</f>
        <v>200.233540336378</v>
      </c>
      <c r="F214" s="17" t="n">
        <v>45077</v>
      </c>
      <c r="G214" s="4" t="n">
        <v>1.0136</v>
      </c>
      <c r="H214" s="4" t="n">
        <f aca="false">+G214+$S$148+$S$150+$S$154</f>
        <v>1.0136</v>
      </c>
      <c r="I214" s="24" t="n">
        <f aca="false">+(H214/H213-1)/(F214-F213)*360</f>
        <v>0.0519068560305696</v>
      </c>
      <c r="J214" s="18" t="n">
        <f aca="false">+J213*(1+I214)</f>
        <v>117.007452912845</v>
      </c>
      <c r="K214" s="18" t="n">
        <v>1304.993</v>
      </c>
      <c r="L214" s="24" t="n">
        <f aca="false">+(K214/K213-1)/(F214-F213)*360</f>
        <v>0.044054542704353</v>
      </c>
      <c r="M214" s="18" t="n">
        <f aca="false">+M213*(1+L214)</f>
        <v>118.080150716932</v>
      </c>
    </row>
    <row r="215" customFormat="false" ht="15" hidden="false" customHeight="false" outlineLevel="0" collapsed="false">
      <c r="A215" s="17" t="n">
        <v>45107</v>
      </c>
      <c r="B215" s="3" t="n">
        <v>22138.35</v>
      </c>
      <c r="C215" s="24" t="n">
        <f aca="false">(B215/B214-1)/(A215-A214)*360</f>
        <v>0.112980841570208</v>
      </c>
      <c r="D215" s="3" t="n">
        <f aca="false">B215/$B$3*100</f>
        <v>202.118753161194</v>
      </c>
      <c r="F215" s="17" t="n">
        <v>45107</v>
      </c>
      <c r="G215" s="4" t="n">
        <v>1.0174</v>
      </c>
      <c r="H215" s="4" t="n">
        <f aca="false">+G215+$S$148+$S$150+$S$154</f>
        <v>1.0174</v>
      </c>
      <c r="I215" s="24" t="n">
        <f aca="false">+(H215/H214-1)/(F215-F214)*360</f>
        <v>0.0449881610102612</v>
      </c>
      <c r="J215" s="18" t="n">
        <f aca="false">+J214*(1+I215)</f>
        <v>122.271403043889</v>
      </c>
      <c r="K215" s="3" t="n">
        <v>1309.9118</v>
      </c>
      <c r="L215" s="24" t="n">
        <f aca="false">+(K215/K214-1)/(F215-F214)*360</f>
        <v>0.0452305874437649</v>
      </c>
      <c r="M215" s="18" t="n">
        <f aca="false">+M214*(1+L215)</f>
        <v>123.420985299308</v>
      </c>
    </row>
    <row r="216" customFormat="false" ht="15" hidden="false" customHeight="false" outlineLevel="0" collapsed="false">
      <c r="A216" s="17" t="n">
        <v>45138</v>
      </c>
      <c r="B216" s="3" t="n">
        <v>22353.79</v>
      </c>
      <c r="C216" s="24" t="n">
        <f aca="false">(B216/B215-1)/(A216-A215)*360</f>
        <v>0.113011307119445</v>
      </c>
      <c r="D216" s="3" t="n">
        <f aca="false">B216/$B$3*100</f>
        <v>204.085677714336</v>
      </c>
      <c r="F216" s="17" t="n">
        <v>45138</v>
      </c>
      <c r="G216" s="4" t="n">
        <v>1.0222</v>
      </c>
      <c r="H216" s="4" t="n">
        <f aca="false">+G216+$S$148+$S$150+$S$154</f>
        <v>1.0222</v>
      </c>
      <c r="I216" s="24" t="n">
        <f aca="false">+(H216/H215-1)/(F216-F215)*360</f>
        <v>0.0547886136071062</v>
      </c>
      <c r="J216" s="18" t="n">
        <f aca="false">+J215*(1+I216)</f>
        <v>128.970483700459</v>
      </c>
      <c r="K216" s="3" t="n">
        <v>1315.0768</v>
      </c>
      <c r="L216" s="24" t="n">
        <f aca="false">+(K216/K215-1)/(F216-F215)*360</f>
        <v>0.0457898349807127</v>
      </c>
      <c r="M216" s="18" t="n">
        <f aca="false">+M215*(1+L216)</f>
        <v>129.07241184932</v>
      </c>
    </row>
    <row r="217" customFormat="false" ht="15" hidden="false" customHeight="false" outlineLevel="0" collapsed="false">
      <c r="A217" s="17" t="n">
        <v>45169</v>
      </c>
      <c r="B217" s="3" t="n">
        <v>22551.92</v>
      </c>
      <c r="C217" s="24" t="n">
        <f aca="false">(B217/B216-1)/(A217-A216)*360</f>
        <v>0.102929503951187</v>
      </c>
      <c r="D217" s="3" t="n">
        <f aca="false">B217/$B$3*100</f>
        <v>205.894565394033</v>
      </c>
      <c r="F217" s="17" t="n">
        <v>45169</v>
      </c>
      <c r="G217" s="4" t="n">
        <v>1.0272</v>
      </c>
      <c r="H217" s="4" t="n">
        <f aca="false">+G217+$S$148+$S$150+$S$154</f>
        <v>1.0272</v>
      </c>
      <c r="I217" s="24" t="n">
        <f aca="false">+(H217/H216-1)/(F217-F216)*360</f>
        <v>0.0568034788975063</v>
      </c>
      <c r="J217" s="18" t="n">
        <f aca="false">+J216*(1+I217)</f>
        <v>136.296455849739</v>
      </c>
      <c r="K217" s="18" t="n">
        <v>1320.4591</v>
      </c>
      <c r="L217" s="24" t="n">
        <f aca="false">+(K217/K216-1)/(F217-F216)*360</f>
        <v>0.0475288812275132</v>
      </c>
      <c r="M217" s="18" t="n">
        <f aca="false">+M216*(1+L217)</f>
        <v>135.207079181855</v>
      </c>
    </row>
    <row r="218" customFormat="false" ht="15" hidden="false" customHeight="false" outlineLevel="0" collapsed="false">
      <c r="A218" s="17" t="n">
        <v>45199</v>
      </c>
      <c r="B218" s="3" t="n">
        <v>22727.72</v>
      </c>
      <c r="C218" s="24" t="n">
        <f aca="false">(B218/B217-1)/(A218-A217)*360</f>
        <v>0.0935441416961407</v>
      </c>
      <c r="D218" s="3" t="n">
        <f aca="false">B218/$B$3*100</f>
        <v>207.499584594007</v>
      </c>
      <c r="F218" s="17" t="n">
        <v>45199</v>
      </c>
      <c r="G218" s="4" t="n">
        <v>1.0321</v>
      </c>
      <c r="H218" s="4" t="n">
        <f aca="false">+G218+$S$148+$S$150+$S$154</f>
        <v>1.0321</v>
      </c>
      <c r="I218" s="24" t="n">
        <f aca="false">+(H218/H217-1)/(F218-F217)*360</f>
        <v>0.0572429906542062</v>
      </c>
      <c r="J218" s="18" t="n">
        <f aca="false">+J217*(1+I218)</f>
        <v>144.098472598147</v>
      </c>
      <c r="K218" s="18" t="n">
        <v>1325.6035</v>
      </c>
      <c r="L218" s="24" t="n">
        <f aca="false">+(K218/K217-1)/(F218-F217)*360</f>
        <v>0.0467510125834263</v>
      </c>
      <c r="M218" s="18" t="n">
        <f aca="false">+M217*(1+L218)</f>
        <v>141.528147042054</v>
      </c>
    </row>
    <row r="219" customFormat="false" ht="15" hidden="false" customHeight="false" outlineLevel="0" collapsed="false">
      <c r="A219" s="17" t="n">
        <v>45230</v>
      </c>
      <c r="B219" s="19" t="n">
        <v>22920</v>
      </c>
      <c r="C219" s="24" t="n">
        <f aca="false">(B219/B218-1)/(A219-A218)*360</f>
        <v>0.0982469439194987</v>
      </c>
      <c r="D219" s="3" t="n">
        <f aca="false">B219/$B$3*100</f>
        <v>209.255062931726</v>
      </c>
      <c r="F219" s="17" t="n">
        <v>45230</v>
      </c>
      <c r="G219" s="4" t="n">
        <v>1.0375</v>
      </c>
      <c r="H219" s="4" t="n">
        <f aca="false">+G219+$S$148+$S$150+$S$154</f>
        <v>1.0375</v>
      </c>
      <c r="I219" s="24" t="n">
        <f aca="false">+(H219/H218-1)/(F219-F218)*360</f>
        <v>0.0607593037683908</v>
      </c>
      <c r="J219" s="18" t="n">
        <f aca="false">+J218*(1+I219)</f>
        <v>152.853795467299</v>
      </c>
      <c r="K219" s="18" t="n">
        <v>1330.8203</v>
      </c>
      <c r="L219" s="24" t="n">
        <f aca="false">+(K219/K218-1)/(F219-F218)*360</f>
        <v>0.0457015944423733</v>
      </c>
      <c r="M219" s="18" t="n">
        <f aca="false">+M218*(1+L219)</f>
        <v>147.996209020351</v>
      </c>
    </row>
    <row r="220" customFormat="false" ht="15" hidden="false" customHeight="false" outlineLevel="0" collapsed="false">
      <c r="A220" s="17" t="n">
        <v>45260</v>
      </c>
      <c r="B220" s="3" t="n">
        <v>23092.51</v>
      </c>
      <c r="C220" s="24" t="n">
        <f aca="false">(B220/B219-1)/(A220-A219)*360</f>
        <v>0.0903193717277473</v>
      </c>
      <c r="D220" s="3" t="n">
        <f aca="false">B220/$B$3*100</f>
        <v>210.830045082963</v>
      </c>
      <c r="F220" s="17" t="n">
        <v>45260</v>
      </c>
      <c r="G220" s="4" t="n">
        <v>1.0422</v>
      </c>
      <c r="H220" s="4" t="n">
        <f aca="false">+G220+$S$148+$S$150+$S$154</f>
        <v>1.0422</v>
      </c>
      <c r="I220" s="24" t="n">
        <f aca="false">+(H220/H219-1)/(F220-F219)*360</f>
        <v>0.0543614457831323</v>
      </c>
      <c r="J220" s="18" t="n">
        <f aca="false">+J219*(1+I220)</f>
        <v>161.163148782341</v>
      </c>
      <c r="K220" s="18" t="n">
        <v>1335.498</v>
      </c>
      <c r="L220" s="24" t="n">
        <f aca="false">+(K220/K219-1)/(F220-F219)*360</f>
        <v>0.0421787975431398</v>
      </c>
      <c r="M220" s="18" t="n">
        <f aca="false">+M219*(1+L220)</f>
        <v>154.238511157772</v>
      </c>
    </row>
    <row r="221" customFormat="false" ht="15" hidden="false" customHeight="false" outlineLevel="0" collapsed="false">
      <c r="A221" s="17" t="n">
        <v>45291</v>
      </c>
      <c r="B221" s="3" t="n">
        <v>23256.05</v>
      </c>
      <c r="C221" s="24" t="n">
        <f aca="false">(B221/B220-1)/(A221-A220)*360</f>
        <v>0.0822419993993025</v>
      </c>
      <c r="D221" s="3" t="n">
        <f aca="false">B221/$B$3*100</f>
        <v>212.323132909832</v>
      </c>
      <c r="F221" s="17" t="n">
        <v>45291</v>
      </c>
      <c r="G221" s="4" t="n">
        <v>1.0469</v>
      </c>
      <c r="H221" s="4" t="n">
        <f aca="false">+G221+$S$148+$S$150+$S$154</f>
        <v>1.0469</v>
      </c>
      <c r="I221" s="24" t="n">
        <f aca="false">+(H221/H220-1)/(F221-F220)*360</f>
        <v>0.0523706056047676</v>
      </c>
      <c r="J221" s="18" t="n">
        <f aca="false">+J220*(1+I221)</f>
        <v>169.603360485243</v>
      </c>
      <c r="K221" s="3" t="n">
        <v>1340.7416</v>
      </c>
      <c r="L221" s="24" t="n">
        <f aca="false">+(K221/K220-1)/(F221-F220)*360</f>
        <v>0.0455960393462514</v>
      </c>
      <c r="M221" s="18" t="n">
        <f aca="false">+M220*(1+L221)</f>
        <v>161.271176381229</v>
      </c>
    </row>
    <row r="222" customFormat="false" ht="15" hidden="false" customHeight="false" outlineLevel="0" collapsed="false">
      <c r="A222" s="17" t="n">
        <v>45322</v>
      </c>
      <c r="B222" s="3" t="n">
        <v>23427.15</v>
      </c>
      <c r="C222" s="24" t="n">
        <f aca="false">(B222/B221-1)/(A222-A221)*360</f>
        <v>0.0854387456999593</v>
      </c>
      <c r="D222" s="3" t="n">
        <f aca="false">B222/$B$3*100</f>
        <v>213.885242040182</v>
      </c>
      <c r="F222" s="17" t="n">
        <v>45322</v>
      </c>
      <c r="G222" s="4" t="n">
        <v>1.0517</v>
      </c>
      <c r="H222" s="4" t="n">
        <f aca="false">+G222+$S$148+$S$150+$S$154</f>
        <v>1.0517</v>
      </c>
      <c r="I222" s="24" t="n">
        <f aca="false">+(H222/H221-1)/(F222-F221)*360</f>
        <v>0.0532447564083218</v>
      </c>
      <c r="J222" s="18" t="n">
        <f aca="false">+J221*(1+I222)</f>
        <v>178.633850100313</v>
      </c>
      <c r="K222" s="18" t="n">
        <v>1345.8845</v>
      </c>
      <c r="L222" s="24" t="n">
        <f aca="false">+(K222/K221-1)/(F222-F221)*360</f>
        <v>0.0445454963133814</v>
      </c>
      <c r="M222" s="18" t="n">
        <f aca="false">+M221*(1+L222)</f>
        <v>168.455080974174</v>
      </c>
    </row>
    <row r="223" customFormat="false" ht="15" hidden="false" customHeight="false" outlineLevel="0" collapsed="false">
      <c r="A223" s="17" t="n">
        <v>45351</v>
      </c>
      <c r="B223" s="3" t="n">
        <v>23570.34</v>
      </c>
      <c r="C223" s="24" t="n">
        <f aca="false">(B223/B222-1)/(A223-A222)*360</f>
        <v>0.0758748304630623</v>
      </c>
      <c r="D223" s="3" t="n">
        <f aca="false">B223/$B$3*100</f>
        <v>215.192538395383</v>
      </c>
      <c r="F223" s="17" t="n">
        <v>45351</v>
      </c>
      <c r="G223" s="4" t="n">
        <v>1.0558</v>
      </c>
      <c r="H223" s="4" t="n">
        <f aca="false">+G223+$S$148+$S$150+$S$154</f>
        <v>1.0558</v>
      </c>
      <c r="I223" s="24" t="n">
        <f aca="false">+(H223/H222-1)/(F223-F222)*360</f>
        <v>0.0483945533176177</v>
      </c>
      <c r="J223" s="18" t="n">
        <f aca="false">+J222*(1+I223)</f>
        <v>187.278755483324</v>
      </c>
      <c r="K223" s="3" t="n">
        <v>1350.6209</v>
      </c>
      <c r="L223" s="24" t="n">
        <f aca="false">+(K223/K222-1)/(F223-F222)*360</f>
        <v>0.0436862818876143</v>
      </c>
      <c r="M223" s="18" t="n">
        <f aca="false">+M222*(1+L223)</f>
        <v>175.814257127013</v>
      </c>
    </row>
    <row r="224" customFormat="false" ht="15" hidden="false" customHeight="false" outlineLevel="0" collapsed="false">
      <c r="A224" s="17" t="n">
        <v>45379</v>
      </c>
      <c r="B224" s="3" t="n">
        <v>23703.45</v>
      </c>
      <c r="C224" s="24" t="n">
        <f aca="false">(B224/B223-1)/(A224-A223)*360</f>
        <v>0.0726088077522121</v>
      </c>
      <c r="D224" s="3" t="n">
        <f aca="false">B224/$B$3*100</f>
        <v>216.407806345943</v>
      </c>
      <c r="F224" s="17" t="n">
        <v>45382</v>
      </c>
      <c r="G224" s="4" t="n">
        <v>1.0598</v>
      </c>
      <c r="H224" s="4" t="n">
        <f aca="false">+G224+$S$148+$S$150+$S$154</f>
        <v>1.0598</v>
      </c>
      <c r="I224" s="24" t="n">
        <f aca="false">+(H224/H223-1)/(F224-F223)*360</f>
        <v>0.0439966024845872</v>
      </c>
      <c r="J224" s="18" t="n">
        <f aca="false">+J223*(1+I224)</f>
        <v>195.518384442132</v>
      </c>
      <c r="K224" s="3" t="n">
        <v>1355.1433</v>
      </c>
      <c r="L224" s="24" t="n">
        <f aca="false">+(K224/K223-1)/(F224-F223)*360</f>
        <v>0.038884481610189</v>
      </c>
      <c r="M224" s="18" t="n">
        <f aca="false">+M223*(1+L224)</f>
        <v>182.650703375077</v>
      </c>
    </row>
    <row r="225" customFormat="false" ht="15" hidden="false" customHeight="false" outlineLevel="0" collapsed="false">
      <c r="A225" s="17" t="n">
        <v>45412</v>
      </c>
      <c r="B225" s="3" t="n">
        <v>23847.87</v>
      </c>
      <c r="C225" s="24" t="n">
        <f aca="false">(B225/B224-1)/(A225-A224)*360</f>
        <v>0.0664667341290363</v>
      </c>
      <c r="D225" s="3" t="n">
        <f aca="false">B225/$B$3*100</f>
        <v>217.726332357662</v>
      </c>
      <c r="F225" s="17" t="n">
        <v>45412</v>
      </c>
      <c r="G225" s="4" t="n">
        <v>1.0647</v>
      </c>
      <c r="H225" s="4" t="n">
        <f aca="false">+G225+$S$148+$S$150+$S$154</f>
        <v>1.0647</v>
      </c>
      <c r="I225" s="24" t="n">
        <f aca="false">+(H225/H224-1)/(F225-F224)*360</f>
        <v>0.055482166446498</v>
      </c>
      <c r="J225" s="18" t="n">
        <f aca="false">+J224*(1+I225)</f>
        <v>206.366167991101</v>
      </c>
      <c r="K225" s="3" t="n">
        <v>1360.4607</v>
      </c>
      <c r="L225" s="24" t="n">
        <f aca="false">+(K225/K224-1)/(F225-F224)*360</f>
        <v>0.0470863856243113</v>
      </c>
      <c r="M225" s="18" t="n">
        <f aca="false">+M224*(1+L225)</f>
        <v>191.251064828747</v>
      </c>
    </row>
    <row r="226" customFormat="false" ht="15" hidden="false" customHeight="false" outlineLevel="0" collapsed="false">
      <c r="A226" s="17" t="n">
        <v>45443</v>
      </c>
      <c r="B226" s="3" t="n">
        <v>23979.37</v>
      </c>
      <c r="C226" s="24" t="n">
        <f aca="false">(B226/B225-1)/(A226-A225)*360</f>
        <v>0.0640349336940165</v>
      </c>
      <c r="D226" s="3" t="n">
        <f aca="false">B226/$B$3*100</f>
        <v>218.926901326925</v>
      </c>
      <c r="F226" s="17" t="n">
        <v>45443</v>
      </c>
      <c r="G226" s="4" t="n">
        <v>1.069</v>
      </c>
      <c r="H226" s="4" t="n">
        <f aca="false">+G226+$S$148+$S$150+$S$154</f>
        <v>1.069</v>
      </c>
      <c r="I226" s="24" t="n">
        <f aca="false">+(H226/H225-1)/(F226-F225)*360</f>
        <v>0.0469009898290282</v>
      </c>
      <c r="J226" s="18" t="n">
        <f aca="false">+J225*(1+I226)</f>
        <v>216.044945537107</v>
      </c>
      <c r="K226" s="3" t="n">
        <v>1365.4448</v>
      </c>
      <c r="L226" s="24" t="n">
        <f aca="false">+(K226/K225-1)/(F226-F225)*360</f>
        <v>0.0425443167654457</v>
      </c>
      <c r="M226" s="18" t="n">
        <f aca="false">+M225*(1+L226)</f>
        <v>199.387710712551</v>
      </c>
    </row>
    <row r="227" customFormat="false" ht="15" hidden="false" customHeight="false" outlineLevel="0" collapsed="false">
      <c r="A227" s="17" t="n">
        <v>45473</v>
      </c>
      <c r="B227" s="19" t="n">
        <v>24090</v>
      </c>
      <c r="C227" s="24" t="n">
        <f aca="false">(B227/B226-1)/(A227-A226)*360</f>
        <v>0.0553625887585865</v>
      </c>
      <c r="D227" s="3" t="n">
        <f aca="false">B227/$B$3*100</f>
        <v>219.936931327455</v>
      </c>
      <c r="F227" s="17" t="n">
        <v>45473</v>
      </c>
      <c r="G227" s="4" t="n">
        <v>1.0739</v>
      </c>
      <c r="H227" s="4" t="n">
        <f aca="false">+G227+$S$148+$S$150+$S$154</f>
        <v>1.0739</v>
      </c>
      <c r="I227" s="24" t="n">
        <f aca="false">+(H227/H226-1)/(F227-F226)*360</f>
        <v>0.0550046772684771</v>
      </c>
      <c r="J227" s="18" t="n">
        <f aca="false">+J226*(1+I227)</f>
        <v>227.928428041861</v>
      </c>
      <c r="K227" s="3" t="n">
        <v>1370.2829</v>
      </c>
      <c r="L227" s="24" t="n">
        <f aca="false">+(K227/K226-1)/(F227-F226)*360</f>
        <v>0.0425188920123318</v>
      </c>
      <c r="M227" s="18" t="n">
        <f aca="false">+M226*(1+L227)</f>
        <v>207.865455252923</v>
      </c>
    </row>
    <row r="228" customFormat="false" ht="15" hidden="false" customHeight="false" outlineLevel="0" collapsed="false">
      <c r="A228" s="17" t="n">
        <v>45504</v>
      </c>
      <c r="B228" s="3" t="n">
        <v>24217.3</v>
      </c>
      <c r="C228" s="24" t="n">
        <f aca="false">(B228/B227-1)/(A228-A227)*360</f>
        <v>0.0613666492588274</v>
      </c>
      <c r="D228" s="3" t="n">
        <f aca="false">B228/$B$3*100</f>
        <v>221.099155128119</v>
      </c>
      <c r="F228" s="17" t="n">
        <v>45504</v>
      </c>
      <c r="G228" s="4" t="n">
        <v>1.0772</v>
      </c>
      <c r="H228" s="4" t="n">
        <f aca="false">+G228+$S$148+$S$150+$S$154</f>
        <v>1.0772</v>
      </c>
      <c r="I228" s="24" t="n">
        <f aca="false">+(H228/H227-1)/(F228-F227)*360</f>
        <v>0.035685427549268</v>
      </c>
      <c r="J228" s="18" t="n">
        <f aca="false">+J227*(1+I228)</f>
        <v>236.062151447168</v>
      </c>
      <c r="K228" s="3" t="n">
        <v>1375.2636</v>
      </c>
      <c r="L228" s="24" t="n">
        <f aca="false">+(K228/K227-1)/(F228-F227)*360</f>
        <v>0.0422105443312281</v>
      </c>
      <c r="M228" s="18" t="n">
        <f aca="false">+M227*(1+L228)</f>
        <v>216.639569266808</v>
      </c>
    </row>
    <row r="229" customFormat="false" ht="15" hidden="false" customHeight="false" outlineLevel="0" collapsed="false">
      <c r="A229" s="17" t="n">
        <v>45535</v>
      </c>
      <c r="B229" s="3" t="n">
        <v>24333.6</v>
      </c>
      <c r="C229" s="24" t="n">
        <f aca="false">(B229/B228-1)/(A229-A228)*360</f>
        <v>0.0557692494688199</v>
      </c>
      <c r="D229" s="3" t="n">
        <f aca="false">B229/$B$3*100</f>
        <v>222.160951106258</v>
      </c>
      <c r="F229" s="17" t="n">
        <v>45535</v>
      </c>
      <c r="G229" s="4" t="n">
        <v>1.0808</v>
      </c>
      <c r="H229" s="4" t="n">
        <f aca="false">+G229+$S$148+$S$150+$S$154</f>
        <v>1.0808</v>
      </c>
      <c r="I229" s="24" t="n">
        <f aca="false">+(H229/H228-1)/(F229-F228)*360</f>
        <v>0.0388102967071142</v>
      </c>
      <c r="J229" s="18" t="n">
        <f aca="false">+J228*(1+I229)</f>
        <v>245.223793586152</v>
      </c>
      <c r="K229" s="3" t="n">
        <v>1380.2956</v>
      </c>
      <c r="L229" s="24" t="n">
        <f aca="false">+(K229/K228-1)/(F229-F228)*360</f>
        <v>0.0424908570489727</v>
      </c>
      <c r="M229" s="18" t="n">
        <f aca="false">+M228*(1+L229)</f>
        <v>225.844770235675</v>
      </c>
    </row>
    <row r="230" customFormat="false" ht="15" hidden="false" customHeight="false" outlineLevel="0" collapsed="false">
      <c r="A230" s="17" t="n">
        <v>45565</v>
      </c>
      <c r="B230" s="3" t="n">
        <v>24449.94</v>
      </c>
      <c r="C230" s="24" t="n">
        <f aca="false">(B230/B229-1)/(A230-A229)*360</f>
        <v>0.0573725219449663</v>
      </c>
      <c r="D230" s="3" t="n">
        <f aca="false">B230/$B$3*100</f>
        <v>223.22311227648</v>
      </c>
      <c r="F230" s="17" t="n">
        <v>45565</v>
      </c>
      <c r="G230" s="4" t="n">
        <v>1.0843</v>
      </c>
      <c r="H230" s="4" t="n">
        <f aca="false">+G230+$S$148+$S$150+$S$154</f>
        <v>1.0843</v>
      </c>
      <c r="I230" s="24" t="n">
        <f aca="false">+(H230/H229-1)/(F230-F229)*360</f>
        <v>0.0388601036269431</v>
      </c>
      <c r="J230" s="18" t="n">
        <f aca="false">+J229*(1+I230)</f>
        <v>254.753215616702</v>
      </c>
      <c r="K230" s="3" t="n">
        <v>1384.9927</v>
      </c>
      <c r="L230" s="24" t="n">
        <f aca="false">+(K230/K229-1)/(F230-F229)*360</f>
        <v>0.0408356007220485</v>
      </c>
      <c r="M230" s="18" t="n">
        <f aca="false">+M229*(1+L230)</f>
        <v>235.067277098182</v>
      </c>
    </row>
    <row r="231" customFormat="false" ht="15" hidden="false" customHeight="false" outlineLevel="0" collapsed="false">
      <c r="A231" s="17" t="n">
        <v>45596</v>
      </c>
      <c r="B231" s="3" t="n">
        <v>24560.22</v>
      </c>
      <c r="C231" s="24" t="n">
        <f aca="false">(B231/B230-1)/(A231-A230)*360</f>
        <v>0.0523793092229241</v>
      </c>
      <c r="D231" s="3" t="n">
        <f aca="false">B231/$B$3*100</f>
        <v>224.229946846293</v>
      </c>
      <c r="F231" s="17" t="n">
        <v>45596</v>
      </c>
      <c r="G231" s="4" t="n">
        <v>1.0881</v>
      </c>
      <c r="H231" s="4" t="n">
        <f aca="false">+G231+$S$148+$S$150+$S$154</f>
        <v>1.0881</v>
      </c>
      <c r="I231" s="24" t="n">
        <f aca="false">+(H231/H230-1)/(F231-F230)*360</f>
        <v>0.0406981760196111</v>
      </c>
      <c r="J231" s="18" t="n">
        <f aca="false">+J230*(1+I231)</f>
        <v>265.121206827432</v>
      </c>
      <c r="K231" s="3" t="n">
        <v>1389.7002</v>
      </c>
      <c r="L231" s="24" t="n">
        <f aca="false">+(K231/K230-1)/(F231-F230)*360</f>
        <v>0.0394715018609717</v>
      </c>
      <c r="M231" s="18" t="n">
        <f aca="false">+M230*(1+L231)</f>
        <v>244.345735563616</v>
      </c>
    </row>
    <row r="232" customFormat="false" ht="15" hidden="false" customHeight="false" outlineLevel="0" collapsed="false">
      <c r="A232" s="17" t="n">
        <v>45626</v>
      </c>
      <c r="B232" s="3" t="n">
        <v>24667.9</v>
      </c>
      <c r="C232" s="24" t="n">
        <f aca="false">(B232/B231-1)/(A232-A231)*360</f>
        <v>0.0526119065708688</v>
      </c>
      <c r="D232" s="3" t="n">
        <f aca="false">B232/$B$3*100</f>
        <v>225.213043930782</v>
      </c>
      <c r="F232" s="17" t="n">
        <v>45626</v>
      </c>
      <c r="G232" s="4" t="n">
        <v>1.0921</v>
      </c>
      <c r="H232" s="4" t="n">
        <f aca="false">+G232+$S$148+$S$150+$S$154</f>
        <v>1.0921</v>
      </c>
      <c r="I232" s="24" t="n">
        <f aca="false">+(H232/H231-1)/(F232-F231)*360</f>
        <v>0.0441135925006888</v>
      </c>
      <c r="J232" s="18" t="n">
        <f aca="false">+J231*(1+I232)</f>
        <v>276.816655708708</v>
      </c>
      <c r="K232" s="3" t="n">
        <v>1394.0594</v>
      </c>
      <c r="L232" s="24" t="n">
        <f aca="false">+(K232/K231-1)/(F232-F231)*360</f>
        <v>0.0376414999436587</v>
      </c>
      <c r="M232" s="18" t="n">
        <f aca="false">+M231*(1+L232)</f>
        <v>253.543275555067</v>
      </c>
    </row>
    <row r="233" customFormat="false" ht="15" hidden="false" customHeight="false" outlineLevel="0" collapsed="false">
      <c r="A233" s="17" t="n">
        <v>45657</v>
      </c>
      <c r="B233" s="3" t="n">
        <v>24777.58</v>
      </c>
      <c r="C233" s="24" t="n">
        <f aca="false">(B233/B232-1)/(A233-A232)*360</f>
        <v>0.0516340355606462</v>
      </c>
      <c r="D233" s="3" t="n">
        <f aca="false">B233/$B$3*100</f>
        <v>226.214400619366</v>
      </c>
      <c r="F233" s="17" t="n">
        <v>45657</v>
      </c>
      <c r="G233" s="4" t="n">
        <v>1.0916</v>
      </c>
      <c r="H233" s="4" t="n">
        <f aca="false">+G233+$S$148+$S$150+$S$154+$S$156</f>
        <v>1.0961507403797</v>
      </c>
      <c r="I233" s="24" t="n">
        <f aca="false">+(H233/H232-1)/(F233-F232)*360</f>
        <v>0.043073762496416</v>
      </c>
      <c r="J233" s="18" t="n">
        <f aca="false">+J232*(1+I233)</f>
        <v>288.740190591758</v>
      </c>
      <c r="K233" s="3" t="n">
        <v>1398.4869</v>
      </c>
      <c r="L233" s="24" t="n">
        <f aca="false">+(K233/K232-1)/(F233-F232)*360</f>
        <v>0.0368823086249106</v>
      </c>
      <c r="M233" s="18" t="n">
        <f aca="false">+M232*(1+L233)</f>
        <v>262.89453689386</v>
      </c>
    </row>
    <row r="234" customFormat="false" ht="15" hidden="false" customHeight="false" outlineLevel="0" collapsed="false">
      <c r="A234" s="17" t="n">
        <v>45688</v>
      </c>
      <c r="B234" s="3" t="n">
        <v>24887.95</v>
      </c>
      <c r="C234" s="24" t="n">
        <f aca="false">(B234/B233-1)/(A234-A233)*360</f>
        <v>0.0517288665411338</v>
      </c>
      <c r="D234" s="3" t="n">
        <f aca="false">B234/$B$3*100</f>
        <v>227.222056871363</v>
      </c>
      <c r="F234" s="17" t="n">
        <v>45688</v>
      </c>
      <c r="G234" s="4" t="n">
        <v>1.0954</v>
      </c>
      <c r="H234" s="4" t="n">
        <f aca="false">+G234+$S$148+$S$150+$S$154+$S$156</f>
        <v>1.0999507403797</v>
      </c>
      <c r="I234" s="24" t="n">
        <f aca="false">+(H234/H233-1)/(F234-F233)*360</f>
        <v>0.0402581785811478</v>
      </c>
      <c r="J234" s="18" t="n">
        <f aca="false">+J233*(1+I234)</f>
        <v>300.364344748155</v>
      </c>
      <c r="K234" s="3" t="n">
        <v>1402.801</v>
      </c>
      <c r="L234" s="24" t="n">
        <f aca="false">+(K234/K233-1)/(F234-F233)*360</f>
        <v>0.03582387922722</v>
      </c>
      <c r="M234" s="18" t="n">
        <f aca="false">+M233*(1+L234)</f>
        <v>272.312439033042</v>
      </c>
    </row>
    <row r="235" customFormat="false" ht="15" hidden="false" customHeight="false" outlineLevel="0" collapsed="false">
      <c r="A235" s="17" t="n">
        <v>45716</v>
      </c>
      <c r="B235" s="3" t="n">
        <v>24984.92</v>
      </c>
      <c r="C235" s="24" t="n">
        <f aca="false">(B235/B234-1)/(A235-A234)*360</f>
        <v>0.0500948106556428</v>
      </c>
      <c r="D235" s="3" t="n">
        <f aca="false">B235/$B$3*100</f>
        <v>228.107373775922</v>
      </c>
      <c r="F235" s="17" t="n">
        <v>45716</v>
      </c>
      <c r="G235" s="4" t="n">
        <v>1.0989</v>
      </c>
      <c r="H235" s="4" t="n">
        <f aca="false">+G235+$S$148+$S$150+$S$154+$S$156</f>
        <v>1.1034507403797</v>
      </c>
      <c r="I235" s="24" t="n">
        <f aca="false">+(H235/H234-1)/(F235-F234)*360</f>
        <v>0.0409109229604843</v>
      </c>
      <c r="J235" s="18" t="n">
        <f aca="false">+J234*(1+I235)</f>
        <v>312.652527316223</v>
      </c>
      <c r="K235" s="3" t="n">
        <v>1406.6703</v>
      </c>
      <c r="L235" s="24" t="n">
        <f aca="false">+(K235/K234-1)/(F235-F234)*360</f>
        <v>0.0354634355529712</v>
      </c>
      <c r="M235" s="18" t="n">
        <f aca="false">+M234*(1+L235)</f>
        <v>281.969573664962</v>
      </c>
    </row>
    <row r="236" customFormat="false" ht="15" hidden="false" customHeight="false" outlineLevel="0" collapsed="false">
      <c r="A236" s="17" t="n">
        <v>45747</v>
      </c>
      <c r="B236" s="3" t="n">
        <v>25092.7</v>
      </c>
      <c r="C236" s="24" t="n">
        <f aca="false">(B236/B235-1)/(A236-A235)*360</f>
        <v>0.0500957661532424</v>
      </c>
      <c r="D236" s="3" t="n">
        <f aca="false">B236/$B$3*100</f>
        <v>229.091383840616</v>
      </c>
      <c r="F236" s="17" t="n">
        <v>45747</v>
      </c>
      <c r="G236" s="4" t="n">
        <v>1.103</v>
      </c>
      <c r="H236" s="4" t="n">
        <f aca="false">+G236+$S$148+$S$150+$S$154+$S$156</f>
        <v>1.1075507403797</v>
      </c>
      <c r="I236" s="24" t="n">
        <f aca="false">+(H236/H235-1)/(F236-F235)*360</f>
        <v>0.0431490971762111</v>
      </c>
      <c r="J236" s="18" t="n">
        <f aca="false">+J235*(1+I236)</f>
        <v>326.143201599779</v>
      </c>
      <c r="K236" s="3" t="n">
        <v>1410.8411</v>
      </c>
      <c r="L236" s="24" t="n">
        <f aca="false">+(K236/K235-1)/(F236-F235)*360</f>
        <v>0.0344324443149157</v>
      </c>
      <c r="M236" s="18" t="n">
        <f aca="false">+M235*(1+L236)</f>
        <v>291.678475308682</v>
      </c>
    </row>
    <row r="237" customFormat="false" ht="15" hidden="false" customHeight="false" outlineLevel="0" collapsed="false">
      <c r="A237" s="17" t="n">
        <v>45777</v>
      </c>
      <c r="B237" s="3" t="n">
        <v>25197.48</v>
      </c>
      <c r="C237" s="24" t="n">
        <f aca="false">(B237/B236-1)/(A237-A236)*360</f>
        <v>0.0501085973211328</v>
      </c>
      <c r="D237" s="3" t="n">
        <f aca="false">B237/$B$3*100</f>
        <v>230.048004499166</v>
      </c>
      <c r="F237" s="17" t="n">
        <v>45777</v>
      </c>
      <c r="G237" s="4" t="n">
        <v>1.1072</v>
      </c>
      <c r="H237" s="4" t="n">
        <f aca="false">+G237+$S$148+$S$150+$S$154+$S$156</f>
        <v>1.1117507403797</v>
      </c>
      <c r="I237" s="24" t="n">
        <f aca="false">+(H237/H236-1)/(F237-F236)*360</f>
        <v>0.0455058158172701</v>
      </c>
      <c r="J237" s="18" t="n">
        <f aca="false">+J236*(1+I237)</f>
        <v>340.984614061833</v>
      </c>
      <c r="K237" s="3" t="n">
        <v>1414.8711</v>
      </c>
      <c r="L237" s="24" t="n">
        <f aca="false">+(K237/K236-1)/(F237-F236)*360</f>
        <v>0.0342774250055511</v>
      </c>
      <c r="M237" s="18" t="n">
        <f aca="false">+M236*(1+L237)</f>
        <v>301.676462371808</v>
      </c>
    </row>
    <row r="238" customFormat="false" ht="15" hidden="false" customHeight="false" outlineLevel="0" collapsed="false">
      <c r="A238" s="17" t="n">
        <v>45808</v>
      </c>
      <c r="B238" s="3" t="n">
        <v>25302.66</v>
      </c>
      <c r="C238" s="24" t="n">
        <f aca="false">(B238/B237-1)/(A238-A237)*360</f>
        <v>0.0484748935723063</v>
      </c>
      <c r="D238" s="3" t="n">
        <f aca="false">B238/$B$3*100</f>
        <v>231.008277078536</v>
      </c>
      <c r="F238" s="17" t="n">
        <v>45808</v>
      </c>
      <c r="G238" s="4" t="n">
        <v>1.1112</v>
      </c>
      <c r="H238" s="4" t="n">
        <f aca="false">+G238+$S$148+$S$150+$S$154+$S$156</f>
        <v>1.1157507403797</v>
      </c>
      <c r="I238" s="24" t="n">
        <f aca="false">+(H238/H237-1)/(F238-F237)*360</f>
        <v>0.0417823988921854</v>
      </c>
      <c r="J238" s="18" t="n">
        <f aca="false">+J237*(1+I238)</f>
        <v>355.231769222663</v>
      </c>
      <c r="K238" s="3" t="n">
        <v>1419.0076</v>
      </c>
      <c r="L238" s="24" t="n">
        <f aca="false">+(K238/K237-1)/(F238-F237)*360</f>
        <v>0.0339513431248578</v>
      </c>
      <c r="M238" s="18" t="n">
        <f aca="false">+M237*(1+L238)</f>
        <v>311.918783458487</v>
      </c>
    </row>
    <row r="239" customFormat="false" ht="15" hidden="false" customHeight="false" outlineLevel="0" collapsed="false">
      <c r="A239" s="17" t="n">
        <v>45838</v>
      </c>
      <c r="B239" s="3" t="n">
        <v>25411.83</v>
      </c>
      <c r="C239" s="24" t="n">
        <f aca="false">(B239/B238-1)/(A239-A238)*360</f>
        <v>0.0517747936382991</v>
      </c>
      <c r="D239" s="3" t="n">
        <f aca="false">B239/$B$3*100</f>
        <v>232.004977568076</v>
      </c>
      <c r="F239" s="17" t="n">
        <v>45838</v>
      </c>
      <c r="G239" s="4" t="n">
        <v>1.1154</v>
      </c>
      <c r="H239" s="4" t="n">
        <f aca="false">+G239+$S$148+$S$150+$S$154+$S$156</f>
        <v>1.1199507403797</v>
      </c>
      <c r="I239" s="24" t="n">
        <f aca="false">+(H239/H238-1)/(F239-F238)*360</f>
        <v>0.0451713793914665</v>
      </c>
      <c r="J239" s="18" t="n">
        <f aca="false">+J238*(1+I239)</f>
        <v>371.278078242121</v>
      </c>
      <c r="K239" s="3" t="n">
        <v>1423.0496</v>
      </c>
      <c r="L239" s="24" t="n">
        <f aca="false">+(K239/K238-1)/(F239-F238)*360</f>
        <v>0.034181635108931</v>
      </c>
      <c r="M239" s="18" t="n">
        <f aca="false">+M238*(1+L239)</f>
        <v>322.580677498287</v>
      </c>
    </row>
    <row r="240" customFormat="false" ht="15" hidden="false" customHeight="false" outlineLevel="0" collapsed="false">
      <c r="A240" s="17" t="n">
        <v>45869</v>
      </c>
      <c r="B240" s="3" t="n">
        <v>25521.26</v>
      </c>
      <c r="C240" s="24" t="n">
        <f aca="false">(B240/B239-1)/(A240-A239)*360</f>
        <v>0.0500082048400281</v>
      </c>
      <c r="D240" s="3" t="n">
        <f aca="false">B240/$B$3*100</f>
        <v>233.004051806149</v>
      </c>
      <c r="F240" s="17" t="n">
        <v>45869</v>
      </c>
      <c r="G240" s="4" t="n">
        <v>1.12</v>
      </c>
      <c r="H240" s="4" t="n">
        <f aca="false">+G240+$S$148+$S$150+$S$154+$S$156</f>
        <v>1.1245507403797</v>
      </c>
      <c r="I240" s="24" t="n">
        <f aca="false">+(H240/H239-1)/(F240-F239)*360</f>
        <v>0.0476979503764599</v>
      </c>
      <c r="J240" s="18" t="n">
        <f aca="false">+J239*(1+I240)</f>
        <v>388.987281593982</v>
      </c>
      <c r="K240" s="3" t="n">
        <v>1427.2889</v>
      </c>
      <c r="L240" s="24" t="n">
        <f aca="false">+(K240/K239-1)/(F240-F239)*360</f>
        <v>0.0345951263014041</v>
      </c>
      <c r="M240" s="18" t="n">
        <f aca="false">+M239*(1+L240)</f>
        <v>333.740396778732</v>
      </c>
    </row>
    <row r="241" customFormat="false" ht="15" hidden="false" customHeight="false" outlineLevel="0" collapsed="false">
      <c r="A241" s="17" t="n">
        <v>45900</v>
      </c>
      <c r="B241" s="3" t="n">
        <v>25619.09</v>
      </c>
      <c r="C241" s="24" t="n">
        <f aca="false">(B241/B240-1)/(A241-A240)*360</f>
        <v>0.0445154480061196</v>
      </c>
      <c r="D241" s="3" t="n">
        <f aca="false">B241/$B$3*100</f>
        <v>233.897220340469</v>
      </c>
      <c r="F241" s="17" t="n">
        <v>45900</v>
      </c>
      <c r="G241" s="4" t="n">
        <v>1.125</v>
      </c>
      <c r="H241" s="4" t="n">
        <f aca="false">+G241+$S$148+$S$150+$S$154+$S$156</f>
        <v>1.1295507403797</v>
      </c>
      <c r="I241" s="24" t="n">
        <f aca="false">+(H241/H240-1)/(F241-F240)*360</f>
        <v>0.0516335226540568</v>
      </c>
      <c r="J241" s="18" t="n">
        <f aca="false">+J240*(1+I241)</f>
        <v>409.072065210304</v>
      </c>
      <c r="K241" s="3" t="n">
        <v>1431.5828</v>
      </c>
      <c r="L241" s="24" t="n">
        <f aca="false">+(K241/K240-1)/(F241-F240)*360</f>
        <v>0.0349366166592406</v>
      </c>
      <c r="M241" s="18" t="n">
        <f aca="false">+M240*(1+L241)</f>
        <v>345.400157084694</v>
      </c>
    </row>
    <row r="242" customFormat="false" ht="15" hidden="false" customHeight="false" outlineLevel="0" collapsed="false">
      <c r="A242" s="17" t="n">
        <v>45930</v>
      </c>
      <c r="B242" s="3" t="n">
        <v>25757.46</v>
      </c>
      <c r="C242" s="24" t="n">
        <f aca="false">(B242/B241-1)/(A242-A241)*360</f>
        <v>0.0648126065367647</v>
      </c>
      <c r="D242" s="3" t="n">
        <f aca="false">B242/$B$3*100</f>
        <v>235.160511049799</v>
      </c>
      <c r="F242" s="17" t="n">
        <v>45930</v>
      </c>
      <c r="G242" s="4" t="n">
        <v>1.1296</v>
      </c>
      <c r="H242" s="4" t="n">
        <f aca="false">+G242+$S$148+$S$150+$S$154+$S$156</f>
        <v>1.1341507403797</v>
      </c>
      <c r="I242" s="24" t="n">
        <f aca="false">+(H242/H241-1)/(F242-F241)*360</f>
        <v>0.0488689866038641</v>
      </c>
      <c r="J242" s="18" t="n">
        <f aca="false">+J241*(1+I242)</f>
        <v>429.063002485082</v>
      </c>
      <c r="K242" s="3" t="n">
        <v>1435.7485</v>
      </c>
      <c r="L242" s="24" t="n">
        <f aca="false">+(K242/K241-1)/(F242-F241)*360</f>
        <v>0.0349182736758227</v>
      </c>
      <c r="M242" s="18" t="n">
        <f aca="false">+M241*(1+L242)</f>
        <v>357.460934297449</v>
      </c>
    </row>
    <row r="243" customFormat="false" ht="15" hidden="false" customHeight="false" outlineLevel="0" collapsed="false">
      <c r="A243" s="17" t="n">
        <v>45961</v>
      </c>
      <c r="B243" s="3" t="n">
        <v>25829.5</v>
      </c>
      <c r="C243" s="24" t="n">
        <f aca="false">(B243/B242-1)/(A243-A242)*360</f>
        <v>0.0324796601989129</v>
      </c>
      <c r="D243" s="3" t="n">
        <f aca="false">B243/$B$3*100</f>
        <v>235.818221989311</v>
      </c>
      <c r="F243" s="17" t="n">
        <v>45961</v>
      </c>
      <c r="G243" s="4" t="n">
        <v>1.1344</v>
      </c>
      <c r="H243" s="4" t="n">
        <f aca="false">+G243+$S$148+$S$150+$S$154+$S$156</f>
        <v>1.1389507403797</v>
      </c>
      <c r="I243" s="24" t="n">
        <f aca="false">+(H243/H242-1)/(F243-F242)*360</f>
        <v>0.0491486127013515</v>
      </c>
      <c r="J243" s="18" t="n">
        <f aca="false">+J242*(1+I243)</f>
        <v>450.1508538187</v>
      </c>
      <c r="K243" s="3" t="n">
        <v>1439.9873</v>
      </c>
      <c r="L243" s="24" t="n">
        <f aca="false">+(K243/K242-1)/(F243-F242)*360</f>
        <v>0.034285095330797</v>
      </c>
      <c r="M243" s="18" t="n">
        <f aca="false">+M242*(1+L243)</f>
        <v>369.716516506873</v>
      </c>
    </row>
    <row r="244" customFormat="false" ht="15" hidden="false" customHeight="false" outlineLevel="0" collapsed="false">
      <c r="A244" s="17" t="n">
        <v>45991</v>
      </c>
      <c r="B244" s="3" t="n">
        <v>25928.49</v>
      </c>
      <c r="C244" s="24" t="n">
        <f aca="false">(B244/B243-1)/(A244-A243)*360</f>
        <v>0.0459892758280258</v>
      </c>
      <c r="D244" s="3" t="n">
        <f aca="false">B244/$B$3*100</f>
        <v>236.721981094006</v>
      </c>
      <c r="F244" s="17" t="n">
        <v>45991</v>
      </c>
      <c r="G244" s="4" t="n">
        <v>1.1389</v>
      </c>
      <c r="H244" s="4" t="n">
        <f aca="false">+G244+$S$148+$S$150+$S$154+$S$156</f>
        <v>1.1434507403797</v>
      </c>
      <c r="I244" s="24" t="n">
        <f aca="false">+(H244/H243-1)/(F244-F243)*360</f>
        <v>0.047412059262542</v>
      </c>
      <c r="J244" s="18" t="n">
        <f aca="false">+J243*(1+I244)</f>
        <v>471.493432777036</v>
      </c>
      <c r="K244" s="3" t="n">
        <v>1444.0294</v>
      </c>
      <c r="L244" s="24" t="n">
        <f aca="false">+(K244/K243-1)/(F244-F243)*360</f>
        <v>0.0336844637449225</v>
      </c>
      <c r="M244" s="18" t="n">
        <f aca="false">+M243*(1+L244)</f>
        <v>382.170219103048</v>
      </c>
    </row>
    <row r="245" customFormat="false" ht="15" hidden="false" customHeight="false" outlineLevel="0" collapsed="false">
      <c r="A245" s="17" t="n">
        <v>46022</v>
      </c>
      <c r="B245" s="3" t="n">
        <v>26035.82</v>
      </c>
      <c r="C245" s="24" t="n">
        <f aca="false">(B245/B244-1)/(A245-A244)*360</f>
        <v>0.0480711720283662</v>
      </c>
      <c r="D245" s="3" t="n">
        <f aca="false">B245/$B$3*100</f>
        <v>237.701882747778</v>
      </c>
      <c r="F245" s="17" t="n">
        <v>46022</v>
      </c>
      <c r="G245" s="67" t="n">
        <v>1.144</v>
      </c>
      <c r="H245" s="4" t="n">
        <f aca="false">+G245+$S$148+$S$150+$S$154+$S$156</f>
        <v>1.1485507403797</v>
      </c>
      <c r="I245" s="24" t="n">
        <f aca="false">+(H245/H244-1)/(F245-F244)*360</f>
        <v>0.0517956780822437</v>
      </c>
      <c r="J245" s="18" t="n">
        <f aca="false">+J244*(1+I245)</f>
        <v>495.914754839047</v>
      </c>
      <c r="K245" s="68" t="n">
        <v>1448.2102</v>
      </c>
      <c r="L245" s="24" t="n">
        <f aca="false">+(K245/K244-1)/(F245-F244)*360</f>
        <v>0.0336220480043213</v>
      </c>
      <c r="M245" s="18" t="n">
        <f aca="false">+M244*(1+L245)</f>
        <v>395.019564555552</v>
      </c>
    </row>
    <row r="246" customFormat="false" ht="15" hidden="false" customHeight="false" outlineLevel="0" collapsed="false">
      <c r="A246" s="17" t="n">
        <v>46053</v>
      </c>
      <c r="B246" s="3" t="n">
        <v>26136.9</v>
      </c>
      <c r="C246" s="24" t="n">
        <f aca="false">(B246/B245-1)/(A246-A245)*360</f>
        <v>0.0450852808962631</v>
      </c>
      <c r="D246" s="3" t="n">
        <f aca="false">B246/$B$3*100</f>
        <v>238.624723138753</v>
      </c>
      <c r="F246" s="17" t="n">
        <v>46053</v>
      </c>
      <c r="G246" s="67" t="n">
        <v>1.1488</v>
      </c>
      <c r="H246" s="4" t="n">
        <f aca="false">+G246+$S$148+$S$150+$S$154+$S$156</f>
        <v>1.1533507403797</v>
      </c>
      <c r="I246" s="24" t="n">
        <f aca="false">+(H246/H245-1)/(F246-F245)*360</f>
        <v>0.0485324100400162</v>
      </c>
      <c r="J246" s="18" t="n">
        <f aca="false">+J245*(1+I246)</f>
        <v>519.98269306579</v>
      </c>
      <c r="K246" s="68" t="n">
        <v>1452.3852</v>
      </c>
      <c r="L246" s="24" t="n">
        <f aca="false">+(K246/K245-1)/(F246-F245)*360</f>
        <v>0.0334784763756968</v>
      </c>
      <c r="M246" s="18" t="n">
        <f aca="false">+M245*(1+L246)</f>
        <v>408.244217715464</v>
      </c>
    </row>
    <row r="247" customFormat="false" ht="15" hidden="false" customHeight="false" outlineLevel="0" collapsed="false">
      <c r="A247" s="69" t="n">
        <v>46081</v>
      </c>
      <c r="B247" s="70" t="n">
        <v>26231.81</v>
      </c>
      <c r="C247" s="24" t="n">
        <f aca="false">(B247/B246-1)/(A247-A246)*360</f>
        <v>0.0466876878501808</v>
      </c>
      <c r="D247" s="3" t="n">
        <f aca="false">B247/$B$3*100</f>
        <v>239.491232651094</v>
      </c>
      <c r="F247" s="69" t="n">
        <v>46081</v>
      </c>
      <c r="G247" s="67" t="n">
        <v>1.1523</v>
      </c>
      <c r="H247" s="4" t="n">
        <f aca="false">+G247+$S$148+$S$150+$S$154+$S$156</f>
        <v>1.1568507403797</v>
      </c>
      <c r="I247" s="24" t="n">
        <f aca="false">+(H247/H246-1)/(F247-F246)*360</f>
        <v>0.0390167521678486</v>
      </c>
      <c r="J247" s="18" t="n">
        <f aca="false">+J246*(1+I247)</f>
        <v>540.270728932709</v>
      </c>
      <c r="K247" s="68" t="n">
        <v>1456.0571</v>
      </c>
      <c r="L247" s="24" t="n">
        <f aca="false">+(K247/K246-1)/(F247-F246)*360</f>
        <v>0.0325052491977638</v>
      </c>
      <c r="M247" s="18" t="n">
        <f aca="false">+M246*(1+L247)</f>
        <v>421.514297745851</v>
      </c>
    </row>
    <row r="248" customFormat="false" ht="15" hidden="false" customHeight="false" outlineLevel="0" collapsed="false">
      <c r="A248" s="69" t="n">
        <v>46112</v>
      </c>
      <c r="B248" s="70" t="n">
        <v>26333.64</v>
      </c>
      <c r="C248" s="24" t="n">
        <f aca="false">(B248/B247-1)/(A248-A247)*360</f>
        <v>0.0450804551986255</v>
      </c>
      <c r="D248" s="3" t="n">
        <f aca="false">B248/$B$3*100</f>
        <v>240.420920393604</v>
      </c>
      <c r="F248" s="69" t="n">
        <v>46112</v>
      </c>
      <c r="G248" s="71" t="n">
        <v>1.1578</v>
      </c>
      <c r="H248" s="4" t="n">
        <f aca="false">+G248+$S$148+$S$150+$S$154+$S$156</f>
        <v>1.1623507403797</v>
      </c>
      <c r="I248" s="24" t="n">
        <f aca="false">+(H248/H247-1)/(F248-F247)*360</f>
        <v>0.055211070462702</v>
      </c>
      <c r="J248" s="18" t="n">
        <f aca="false">+J247*(1+I248)</f>
        <v>570.099654216748</v>
      </c>
      <c r="K248" s="72" t="n">
        <v>1460.0275</v>
      </c>
      <c r="L248" s="24" t="n">
        <f aca="false">+(K248/K247-1)/(F248-F247)*360</f>
        <v>0.0316662519400793</v>
      </c>
      <c r="M248" s="18" t="n">
        <f aca="false">+M247*(1+L248)</f>
        <v>434.862075694616</v>
      </c>
    </row>
    <row r="249" customFormat="false" ht="15" hidden="false" customHeight="false" outlineLevel="0" collapsed="false">
      <c r="A249" s="17" t="n">
        <v>46142</v>
      </c>
      <c r="B249" s="3" t="n">
        <v>19916.8502383877</v>
      </c>
      <c r="C249" s="24" t="n">
        <f aca="false">(B249/B248-1)/(A249-A248)*360</f>
        <v>-2.92407267431875</v>
      </c>
      <c r="D249" s="3" t="n">
        <f aca="false">B249/$B$3*100</f>
        <v>181.836900088812</v>
      </c>
      <c r="F249" s="17" t="n">
        <v>46142</v>
      </c>
      <c r="G249" s="73" t="n">
        <v>1.1625</v>
      </c>
      <c r="H249" s="4" t="n">
        <f aca="false">+G249+$S$148+$S$150+$S$154+$S$156</f>
        <v>1.1670507403797</v>
      </c>
      <c r="I249" s="24" t="n">
        <f aca="false">+(H249/H248-1)/(F249-F248)*360</f>
        <v>0.0485223590786186</v>
      </c>
      <c r="J249" s="18" t="n">
        <f aca="false">+J248*(1+I249)</f>
        <v>597.762234349249</v>
      </c>
      <c r="K249" s="68"/>
      <c r="L249" s="24" t="n">
        <f aca="false">+(K249/K248-1)/(F249-F248)*360</f>
        <v>-12</v>
      </c>
      <c r="M249" s="18" t="n">
        <f aca="false">+M248*(1+L249)</f>
        <v>-4783.48283264078</v>
      </c>
    </row>
  </sheetData>
  <mergeCells count="11">
    <mergeCell ref="AV28:AV29"/>
    <mergeCell ref="AC59:AC60"/>
    <mergeCell ref="AC61:AC62"/>
    <mergeCell ref="AC63:AC64"/>
    <mergeCell ref="AC65:AC66"/>
    <mergeCell ref="AC68:AC69"/>
    <mergeCell ref="AC71:AC72"/>
    <mergeCell ref="AC74:AC75"/>
    <mergeCell ref="AC76:AC77"/>
    <mergeCell ref="AC78:AC79"/>
    <mergeCell ref="AC80:AC8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X27"/>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selection pane="topLeft" activeCell="H21" activeCellId="0" sqref="H21"/>
    </sheetView>
  </sheetViews>
  <sheetFormatPr defaultColWidth="11.42578125" defaultRowHeight="15" zeroHeight="false" outlineLevelRow="0" outlineLevelCol="0"/>
  <cols>
    <col collapsed="false" customWidth="true" hidden="false" outlineLevel="0" max="3" min="3" style="74" width="7.15"/>
    <col collapsed="false" customWidth="true" hidden="false" outlineLevel="0" max="4" min="4" style="0" width="28.86"/>
    <col collapsed="false" customWidth="true" hidden="false" outlineLevel="0" max="16" min="5" style="0" width="8"/>
    <col collapsed="false" customWidth="true" hidden="false" outlineLevel="0" max="17" min="17" style="0" width="10.14"/>
    <col collapsed="false" customWidth="true" hidden="false" outlineLevel="0" max="19" min="19" style="0" width="20"/>
    <col collapsed="false" customWidth="true" hidden="false" outlineLevel="0" max="20" min="20" style="0" width="9"/>
    <col collapsed="false" customWidth="true" hidden="false" outlineLevel="0" max="21" min="21" style="0" width="11.14"/>
    <col collapsed="false" customWidth="true" hidden="false" outlineLevel="0" max="22" min="22" style="0" width="10.85"/>
    <col collapsed="false" customWidth="true" hidden="false" outlineLevel="0" max="23" min="23" style="0" width="6.71"/>
    <col collapsed="false" customWidth="true" hidden="false" outlineLevel="0" max="24" min="24" style="0" width="9.42"/>
  </cols>
  <sheetData>
    <row r="1" customFormat="false" ht="25.5" hidden="false" customHeight="true" outlineLevel="0" collapsed="false">
      <c r="C1" s="75"/>
      <c r="D1" s="76"/>
      <c r="E1" s="76"/>
      <c r="F1" s="76"/>
      <c r="G1" s="76"/>
      <c r="H1" s="76"/>
      <c r="I1" s="76"/>
      <c r="J1" s="76"/>
      <c r="K1" s="76"/>
      <c r="L1" s="76"/>
      <c r="M1" s="76"/>
      <c r="N1" s="76"/>
      <c r="O1" s="76"/>
      <c r="P1" s="76"/>
      <c r="Q1" s="76"/>
      <c r="R1" s="76"/>
      <c r="S1" s="77" t="s">
        <v>29</v>
      </c>
      <c r="T1" s="78" t="s">
        <v>30</v>
      </c>
      <c r="U1" s="78" t="s">
        <v>31</v>
      </c>
      <c r="V1" s="78" t="s">
        <v>32</v>
      </c>
      <c r="W1" s="78" t="s">
        <v>33</v>
      </c>
      <c r="X1" s="79" t="s">
        <v>44</v>
      </c>
    </row>
    <row r="2" customFormat="false" ht="15" hidden="false" customHeight="false" outlineLevel="0" collapsed="false">
      <c r="C2" s="75"/>
      <c r="D2" s="76"/>
      <c r="E2" s="76"/>
      <c r="F2" s="76"/>
      <c r="G2" s="76"/>
      <c r="H2" s="76"/>
      <c r="I2" s="76"/>
      <c r="J2" s="76"/>
      <c r="K2" s="76"/>
      <c r="L2" s="76"/>
      <c r="M2" s="76"/>
      <c r="N2" s="76"/>
      <c r="O2" s="76"/>
      <c r="P2" s="76"/>
      <c r="Q2" s="76"/>
      <c r="R2" s="76"/>
      <c r="S2" s="80" t="s">
        <v>25</v>
      </c>
      <c r="T2" s="81" t="n">
        <f aca="false">+'Datos ICP (2)'!AX28</f>
        <v>-12</v>
      </c>
      <c r="U2" s="81" t="n">
        <f aca="false">+'Datos ICP (2)'!AY28</f>
        <v>-4.04494382022472</v>
      </c>
      <c r="V2" s="81" t="n">
        <f aca="false">+'Datos ICP (2)'!AZ28</f>
        <v>0.0331794316970022</v>
      </c>
      <c r="W2" s="81"/>
      <c r="X2" s="81" t="n">
        <f aca="false">+'Datos ICP (2)'!BB28</f>
        <v>-3</v>
      </c>
    </row>
    <row r="3" customFormat="false" ht="15" hidden="false" customHeight="false" outlineLevel="0" collapsed="false">
      <c r="C3" s="75"/>
      <c r="D3" s="76"/>
      <c r="E3" s="76"/>
      <c r="F3" s="76"/>
      <c r="G3" s="76"/>
      <c r="H3" s="76"/>
      <c r="I3" s="76"/>
      <c r="J3" s="76"/>
      <c r="K3" s="76"/>
      <c r="L3" s="76"/>
      <c r="M3" s="76"/>
      <c r="N3" s="76"/>
      <c r="O3" s="76"/>
      <c r="P3" s="76"/>
      <c r="Q3" s="76"/>
      <c r="R3" s="76"/>
      <c r="S3" s="82" t="s">
        <v>26</v>
      </c>
      <c r="T3" s="81" t="n">
        <f aca="false">+'Datos ICP (2)'!AX29</f>
        <v>0.0485223590786186</v>
      </c>
      <c r="U3" s="81" t="n">
        <f aca="false">+'Datos ICP (2)'!AY29</f>
        <v>0.0480475959280484</v>
      </c>
      <c r="V3" s="81" t="n">
        <f aca="false">+'Datos ICP (2)'!AZ29</f>
        <v>0.0489819949997132</v>
      </c>
      <c r="W3" s="81"/>
      <c r="X3" s="81" t="n">
        <f aca="false">+'Datos ICP (2)'!BB29</f>
        <v>0.0356353003133025</v>
      </c>
    </row>
    <row r="4" customFormat="false" ht="15" hidden="false" customHeight="false" outlineLevel="0" collapsed="false">
      <c r="C4" s="75"/>
      <c r="D4" s="76"/>
      <c r="E4" s="76"/>
      <c r="F4" s="76"/>
      <c r="G4" s="76"/>
      <c r="H4" s="76"/>
      <c r="I4" s="76"/>
      <c r="J4" s="76"/>
      <c r="K4" s="76"/>
      <c r="L4" s="76"/>
      <c r="M4" s="76"/>
      <c r="N4" s="76"/>
      <c r="O4" s="76"/>
      <c r="P4" s="76"/>
      <c r="Q4" s="76"/>
      <c r="R4" s="76"/>
      <c r="S4" s="76"/>
      <c r="T4" s="76"/>
      <c r="U4" s="76"/>
      <c r="V4" s="76"/>
      <c r="W4" s="76"/>
      <c r="X4" s="76"/>
    </row>
    <row r="5" customFormat="false" ht="15" hidden="false" customHeight="false" outlineLevel="0" collapsed="false">
      <c r="B5" s="83"/>
      <c r="C5" s="75"/>
      <c r="D5" s="76"/>
      <c r="E5" s="76"/>
      <c r="F5" s="76"/>
      <c r="G5" s="76"/>
      <c r="H5" s="76"/>
      <c r="I5" s="76"/>
      <c r="J5" s="76"/>
      <c r="K5" s="76"/>
      <c r="L5" s="76"/>
      <c r="M5" s="76"/>
      <c r="N5" s="76"/>
      <c r="O5" s="76"/>
      <c r="P5" s="76"/>
      <c r="Q5" s="76"/>
      <c r="R5" s="76"/>
      <c r="S5" s="76"/>
      <c r="T5" s="76"/>
      <c r="U5" s="76"/>
      <c r="V5" s="76"/>
      <c r="W5" s="76"/>
      <c r="X5" s="76"/>
    </row>
    <row r="6" customFormat="false" ht="28.5" hidden="false" customHeight="true" outlineLevel="0" collapsed="false">
      <c r="B6" s="83"/>
      <c r="C6" s="84" t="s">
        <v>36</v>
      </c>
      <c r="D6" s="85" t="s">
        <v>37</v>
      </c>
      <c r="E6" s="86" t="s">
        <v>4</v>
      </c>
      <c r="F6" s="86" t="s">
        <v>5</v>
      </c>
      <c r="G6" s="86" t="s">
        <v>6</v>
      </c>
      <c r="H6" s="86" t="s">
        <v>7</v>
      </c>
      <c r="I6" s="86" t="s">
        <v>8</v>
      </c>
      <c r="J6" s="86" t="s">
        <v>9</v>
      </c>
      <c r="K6" s="86" t="s">
        <v>10</v>
      </c>
      <c r="L6" s="86" t="s">
        <v>11</v>
      </c>
      <c r="M6" s="86" t="s">
        <v>12</v>
      </c>
      <c r="N6" s="86" t="s">
        <v>13</v>
      </c>
      <c r="O6" s="86" t="s">
        <v>14</v>
      </c>
      <c r="P6" s="86" t="s">
        <v>15</v>
      </c>
      <c r="Q6" s="87" t="s">
        <v>45</v>
      </c>
      <c r="R6" s="88"/>
      <c r="S6" s="76"/>
      <c r="T6" s="76"/>
      <c r="U6" s="76"/>
      <c r="V6" s="76"/>
      <c r="W6" s="76"/>
      <c r="X6" s="76"/>
    </row>
    <row r="7" customFormat="false" ht="19.5" hidden="true" customHeight="true" outlineLevel="0" collapsed="false">
      <c r="B7" s="83"/>
      <c r="C7" s="75"/>
      <c r="D7" s="76"/>
      <c r="E7" s="89"/>
      <c r="F7" s="89"/>
      <c r="G7" s="89"/>
      <c r="H7" s="89"/>
      <c r="I7" s="89"/>
      <c r="J7" s="89"/>
      <c r="K7" s="89"/>
      <c r="L7" s="89"/>
      <c r="M7" s="89"/>
      <c r="N7" s="89"/>
      <c r="O7" s="89"/>
      <c r="P7" s="89"/>
      <c r="Q7" s="89"/>
      <c r="R7" s="88"/>
      <c r="S7" s="76"/>
      <c r="T7" s="76"/>
      <c r="U7" s="76"/>
      <c r="V7" s="76"/>
      <c r="W7" s="76"/>
      <c r="X7" s="76"/>
    </row>
    <row r="8" customFormat="false" ht="19.5" hidden="true" customHeight="true" outlineLevel="0" collapsed="false">
      <c r="B8" s="83"/>
      <c r="C8" s="75" t="n">
        <v>2017</v>
      </c>
      <c r="D8" s="76" t="s">
        <v>25</v>
      </c>
      <c r="E8" s="90"/>
      <c r="F8" s="90"/>
      <c r="G8" s="90"/>
      <c r="H8" s="90"/>
      <c r="I8" s="90"/>
      <c r="J8" s="90"/>
      <c r="K8" s="90"/>
      <c r="L8" s="90"/>
      <c r="M8" s="90"/>
      <c r="N8" s="90"/>
      <c r="O8" s="90"/>
      <c r="P8" s="90"/>
      <c r="Q8" s="90"/>
      <c r="R8" s="76"/>
      <c r="S8" s="76"/>
      <c r="T8" s="76"/>
      <c r="U8" s="76"/>
      <c r="V8" s="76"/>
      <c r="W8" s="76"/>
      <c r="X8" s="76"/>
    </row>
    <row r="9" customFormat="false" ht="19.5" hidden="true" customHeight="true" outlineLevel="0" collapsed="false">
      <c r="B9" s="83"/>
      <c r="C9" s="75"/>
      <c r="D9" s="76" t="s">
        <v>26</v>
      </c>
      <c r="E9" s="90"/>
      <c r="F9" s="90"/>
      <c r="G9" s="90"/>
      <c r="H9" s="90"/>
      <c r="I9" s="90"/>
      <c r="J9" s="90"/>
      <c r="K9" s="90"/>
      <c r="L9" s="90"/>
      <c r="M9" s="90"/>
      <c r="N9" s="90"/>
      <c r="O9" s="90"/>
      <c r="P9" s="90"/>
      <c r="Q9" s="90"/>
      <c r="R9" s="76"/>
      <c r="S9" s="76"/>
      <c r="T9" s="76"/>
      <c r="U9" s="76"/>
      <c r="V9" s="76"/>
      <c r="W9" s="76"/>
      <c r="X9" s="76"/>
    </row>
    <row r="10" customFormat="false" ht="19.5" hidden="true" customHeight="true" outlineLevel="0" collapsed="false">
      <c r="B10" s="83"/>
      <c r="C10" s="75" t="n">
        <v>2018</v>
      </c>
      <c r="D10" s="76" t="s">
        <v>25</v>
      </c>
      <c r="E10" s="90"/>
      <c r="F10" s="90"/>
      <c r="G10" s="90"/>
      <c r="H10" s="90"/>
      <c r="I10" s="90"/>
      <c r="J10" s="90"/>
      <c r="K10" s="90"/>
      <c r="L10" s="90"/>
      <c r="M10" s="90"/>
      <c r="N10" s="90"/>
      <c r="O10" s="90"/>
      <c r="P10" s="90"/>
      <c r="Q10" s="90"/>
      <c r="R10" s="76"/>
      <c r="S10" s="76"/>
      <c r="T10" s="76"/>
      <c r="U10" s="76"/>
      <c r="V10" s="76"/>
      <c r="W10" s="76"/>
      <c r="X10" s="76"/>
    </row>
    <row r="11" customFormat="false" ht="19.5" hidden="true" customHeight="true" outlineLevel="0" collapsed="false">
      <c r="B11" s="83"/>
      <c r="C11" s="75"/>
      <c r="D11" s="76" t="s">
        <v>26</v>
      </c>
      <c r="E11" s="90"/>
      <c r="F11" s="90"/>
      <c r="G11" s="90"/>
      <c r="H11" s="90"/>
      <c r="I11" s="90"/>
      <c r="J11" s="90"/>
      <c r="K11" s="90"/>
      <c r="L11" s="90"/>
      <c r="M11" s="90"/>
      <c r="N11" s="90"/>
      <c r="O11" s="90"/>
      <c r="P11" s="90"/>
      <c r="Q11" s="90"/>
      <c r="R11" s="76"/>
      <c r="S11" s="76"/>
      <c r="T11" s="76"/>
      <c r="U11" s="76"/>
      <c r="V11" s="76"/>
      <c r="W11" s="76"/>
      <c r="X11" s="76"/>
    </row>
    <row r="12" customFormat="false" ht="19.5" hidden="true" customHeight="true" outlineLevel="0" collapsed="false">
      <c r="B12" s="83"/>
      <c r="C12" s="75" t="n">
        <v>2019</v>
      </c>
      <c r="D12" s="76" t="s">
        <v>25</v>
      </c>
      <c r="E12" s="90"/>
      <c r="F12" s="90"/>
      <c r="G12" s="90"/>
      <c r="H12" s="90"/>
      <c r="I12" s="90"/>
      <c r="J12" s="90"/>
      <c r="K12" s="90"/>
      <c r="L12" s="90"/>
      <c r="M12" s="90"/>
      <c r="N12" s="90"/>
      <c r="O12" s="90"/>
      <c r="P12" s="90"/>
      <c r="Q12" s="90"/>
      <c r="R12" s="76"/>
      <c r="S12" s="76"/>
      <c r="T12" s="76"/>
      <c r="U12" s="76"/>
      <c r="V12" s="76"/>
      <c r="W12" s="76"/>
      <c r="X12" s="76"/>
    </row>
    <row r="13" customFormat="false" ht="19.5" hidden="true" customHeight="true" outlineLevel="0" collapsed="false">
      <c r="B13" s="83"/>
      <c r="C13" s="75"/>
      <c r="D13" s="76" t="s">
        <v>26</v>
      </c>
      <c r="E13" s="90"/>
      <c r="F13" s="90"/>
      <c r="G13" s="90"/>
      <c r="H13" s="90"/>
      <c r="I13" s="90"/>
      <c r="J13" s="90"/>
      <c r="K13" s="90"/>
      <c r="L13" s="90"/>
      <c r="M13" s="90"/>
      <c r="N13" s="90"/>
      <c r="O13" s="90"/>
      <c r="P13" s="90"/>
      <c r="Q13" s="90"/>
      <c r="R13" s="76"/>
      <c r="S13" s="76"/>
      <c r="T13" s="76"/>
      <c r="U13" s="76"/>
      <c r="V13" s="76"/>
      <c r="W13" s="76"/>
      <c r="X13" s="76"/>
    </row>
    <row r="14" customFormat="false" ht="19.5" hidden="true" customHeight="true" outlineLevel="0" collapsed="false">
      <c r="B14" s="83"/>
      <c r="C14" s="75" t="n">
        <v>2020</v>
      </c>
      <c r="D14" s="76" t="s">
        <v>25</v>
      </c>
      <c r="E14" s="90"/>
      <c r="F14" s="90"/>
      <c r="G14" s="90"/>
      <c r="H14" s="90"/>
      <c r="I14" s="90"/>
      <c r="J14" s="90"/>
      <c r="K14" s="90"/>
      <c r="L14" s="90"/>
      <c r="M14" s="90"/>
      <c r="N14" s="90"/>
      <c r="O14" s="90"/>
      <c r="P14" s="90"/>
      <c r="Q14" s="90"/>
      <c r="R14" s="76"/>
      <c r="S14" s="76"/>
      <c r="T14" s="76"/>
      <c r="U14" s="76"/>
      <c r="V14" s="76"/>
      <c r="W14" s="76"/>
      <c r="X14" s="76"/>
    </row>
    <row r="15" customFormat="false" ht="19.5" hidden="true" customHeight="true" outlineLevel="0" collapsed="false">
      <c r="B15" s="83"/>
      <c r="C15" s="75"/>
      <c r="D15" s="76" t="s">
        <v>26</v>
      </c>
      <c r="E15" s="90"/>
      <c r="F15" s="90"/>
      <c r="G15" s="90"/>
      <c r="H15" s="90"/>
      <c r="I15" s="90"/>
      <c r="J15" s="90"/>
      <c r="K15" s="90"/>
      <c r="L15" s="90"/>
      <c r="M15" s="90"/>
      <c r="N15" s="90"/>
      <c r="O15" s="90"/>
      <c r="P15" s="90"/>
      <c r="Q15" s="90"/>
      <c r="R15" s="76"/>
      <c r="S15" s="76"/>
      <c r="T15" s="76"/>
      <c r="U15" s="76"/>
      <c r="V15" s="76"/>
      <c r="W15" s="76"/>
      <c r="X15" s="76"/>
    </row>
    <row r="16" customFormat="false" ht="19.5" hidden="true" customHeight="true" outlineLevel="0" collapsed="false">
      <c r="B16" s="83"/>
      <c r="C16" s="75" t="n">
        <v>2021</v>
      </c>
      <c r="D16" s="76" t="s">
        <v>25</v>
      </c>
      <c r="E16" s="90"/>
      <c r="F16" s="90"/>
      <c r="G16" s="90"/>
      <c r="H16" s="90"/>
      <c r="I16" s="90"/>
      <c r="J16" s="90"/>
      <c r="K16" s="90"/>
      <c r="L16" s="90"/>
      <c r="M16" s="90"/>
      <c r="N16" s="90"/>
      <c r="O16" s="90"/>
      <c r="P16" s="90"/>
      <c r="Q16" s="90"/>
      <c r="R16" s="76"/>
      <c r="S16" s="76"/>
      <c r="T16" s="76"/>
      <c r="U16" s="76"/>
      <c r="V16" s="76"/>
      <c r="W16" s="76"/>
      <c r="X16" s="76"/>
    </row>
    <row r="17" customFormat="false" ht="19.5" hidden="true" customHeight="true" outlineLevel="0" collapsed="false">
      <c r="B17" s="83"/>
      <c r="C17" s="75"/>
      <c r="D17" s="76" t="s">
        <v>26</v>
      </c>
      <c r="E17" s="90"/>
      <c r="F17" s="90"/>
      <c r="G17" s="90"/>
      <c r="H17" s="90"/>
      <c r="I17" s="90"/>
      <c r="J17" s="90"/>
      <c r="K17" s="90"/>
      <c r="L17" s="90"/>
      <c r="M17" s="90"/>
      <c r="N17" s="90"/>
      <c r="O17" s="90"/>
      <c r="P17" s="90"/>
      <c r="Q17" s="90"/>
      <c r="R17" s="76"/>
      <c r="S17" s="76"/>
      <c r="T17" s="76"/>
      <c r="U17" s="76"/>
      <c r="V17" s="76"/>
      <c r="W17" s="76"/>
      <c r="X17" s="76"/>
    </row>
    <row r="18" customFormat="false" ht="15" hidden="true" customHeight="false" outlineLevel="0" collapsed="false">
      <c r="C18" s="75" t="n">
        <v>2022</v>
      </c>
      <c r="D18" s="76" t="s">
        <v>25</v>
      </c>
      <c r="E18" s="90"/>
      <c r="F18" s="90"/>
      <c r="G18" s="90"/>
      <c r="H18" s="90"/>
      <c r="I18" s="90"/>
      <c r="J18" s="90"/>
      <c r="K18" s="90"/>
      <c r="L18" s="90"/>
      <c r="M18" s="90"/>
      <c r="N18" s="90"/>
      <c r="O18" s="90"/>
      <c r="P18" s="90"/>
      <c r="Q18" s="90"/>
      <c r="R18" s="76"/>
      <c r="S18" s="76"/>
      <c r="T18" s="76"/>
      <c r="U18" s="76"/>
      <c r="V18" s="76"/>
      <c r="W18" s="76"/>
      <c r="X18" s="76"/>
    </row>
    <row r="19" customFormat="false" ht="15" hidden="true" customHeight="false" outlineLevel="0" collapsed="false">
      <c r="C19" s="75"/>
      <c r="D19" s="76" t="s">
        <v>26</v>
      </c>
      <c r="E19" s="90"/>
      <c r="F19" s="90"/>
      <c r="G19" s="90"/>
      <c r="H19" s="90"/>
      <c r="I19" s="90"/>
      <c r="J19" s="90"/>
      <c r="K19" s="90"/>
      <c r="L19" s="90"/>
      <c r="M19" s="90"/>
      <c r="N19" s="90"/>
      <c r="O19" s="90"/>
      <c r="P19" s="90"/>
      <c r="Q19" s="90"/>
      <c r="R19" s="76"/>
      <c r="S19" s="76"/>
      <c r="T19" s="76"/>
      <c r="U19" s="76"/>
      <c r="V19" s="76"/>
      <c r="W19" s="76"/>
      <c r="X19" s="76"/>
    </row>
    <row r="20" customFormat="false" ht="15" hidden="true" customHeight="false" outlineLevel="0" collapsed="false">
      <c r="C20" s="75" t="n">
        <v>2023</v>
      </c>
      <c r="D20" s="76" t="s">
        <v>25</v>
      </c>
      <c r="E20" s="90"/>
      <c r="F20" s="90"/>
      <c r="G20" s="90"/>
      <c r="H20" s="90"/>
      <c r="I20" s="90"/>
      <c r="J20" s="90"/>
      <c r="K20" s="90"/>
      <c r="L20" s="90"/>
      <c r="M20" s="90"/>
      <c r="N20" s="90"/>
      <c r="O20" s="90"/>
      <c r="P20" s="90"/>
      <c r="Q20" s="90"/>
      <c r="R20" s="76"/>
      <c r="S20" s="76"/>
      <c r="T20" s="76"/>
      <c r="U20" s="76"/>
      <c r="V20" s="76"/>
      <c r="W20" s="76"/>
      <c r="X20" s="76"/>
    </row>
    <row r="21" customFormat="false" ht="15" hidden="false" customHeight="false" outlineLevel="0" collapsed="false">
      <c r="C21" s="75"/>
      <c r="D21" s="76" t="s">
        <v>26</v>
      </c>
      <c r="E21" s="90"/>
      <c r="F21" s="90" t="n">
        <f aca="false">+'Datos ICP (2)'!AF75</f>
        <v>0.019285714285715</v>
      </c>
      <c r="G21" s="90" t="n">
        <f aca="false">+'Datos ICP (2)'!AG75</f>
        <v>0.0394247338669394</v>
      </c>
      <c r="H21" s="90" t="n">
        <f aca="false">+'Datos ICP (2)'!AH75</f>
        <v>0.0498983552023662</v>
      </c>
      <c r="I21" s="90" t="n">
        <f aca="false">+'Datos ICP (2)'!AI75</f>
        <v>0.0519068560305696</v>
      </c>
      <c r="J21" s="90" t="n">
        <f aca="false">+'Datos ICP (2)'!AJ75</f>
        <v>0.0449881610102612</v>
      </c>
      <c r="K21" s="90" t="n">
        <f aca="false">+'Datos ICP (2)'!AK75</f>
        <v>0.0547886136071062</v>
      </c>
      <c r="L21" s="90" t="n">
        <f aca="false">+'Datos ICP (2)'!AL75</f>
        <v>0.0568034788975063</v>
      </c>
      <c r="M21" s="90" t="n">
        <f aca="false">+'Datos ICP (2)'!AM75</f>
        <v>0.0572429906542062</v>
      </c>
      <c r="N21" s="90" t="n">
        <f aca="false">+'Datos ICP (2)'!AN75</f>
        <v>0.0607593037683908</v>
      </c>
      <c r="O21" s="90" t="n">
        <f aca="false">+'Datos ICP (2)'!AO75</f>
        <v>0.0543614457831323</v>
      </c>
      <c r="P21" s="90" t="n">
        <f aca="false">+'Datos ICP (2)'!AP75</f>
        <v>0.0523706056047676</v>
      </c>
      <c r="Q21" s="90" t="n">
        <f aca="false">+'Datos ICP (2)'!AQ75</f>
        <v>0.0468999999999999</v>
      </c>
      <c r="R21" s="76"/>
    </row>
    <row r="22" customFormat="false" ht="15" hidden="false" customHeight="false" outlineLevel="0" collapsed="false">
      <c r="C22" s="75" t="n">
        <v>2024</v>
      </c>
      <c r="D22" s="76" t="s">
        <v>25</v>
      </c>
      <c r="E22" s="90" t="n">
        <f aca="false">+'Datos ICP (2)'!AE76</f>
        <v>0.0445454963133814</v>
      </c>
      <c r="F22" s="90" t="n">
        <f aca="false">+'Datos ICP (2)'!AF76</f>
        <v>0.0436862818876143</v>
      </c>
      <c r="G22" s="90" t="n">
        <f aca="false">+'Datos ICP (2)'!AG76</f>
        <v>0.038884481610189</v>
      </c>
      <c r="H22" s="90" t="n">
        <f aca="false">+'Datos ICP (2)'!AH76</f>
        <v>0.0470863856243113</v>
      </c>
      <c r="I22" s="90" t="n">
        <f aca="false">+'Datos ICP (2)'!AI76</f>
        <v>0.0425443167654457</v>
      </c>
      <c r="J22" s="90" t="n">
        <f aca="false">+'Datos ICP (2)'!AJ76</f>
        <v>0.0425188920123318</v>
      </c>
      <c r="K22" s="90" t="n">
        <f aca="false">+'Datos ICP (2)'!AK76</f>
        <v>0.0422105443312281</v>
      </c>
      <c r="L22" s="90" t="n">
        <f aca="false">+'Datos ICP (2)'!AL76</f>
        <v>0.0424908570489727</v>
      </c>
      <c r="M22" s="90" t="n">
        <f aca="false">+'Datos ICP (2)'!AM76</f>
        <v>0.0408356007220485</v>
      </c>
      <c r="N22" s="90" t="n">
        <f aca="false">+'Datos ICP (2)'!AN76</f>
        <v>0.0394715018609717</v>
      </c>
      <c r="O22" s="90" t="n">
        <f aca="false">+'Datos ICP (2)'!AO76</f>
        <v>0.0376414999436587</v>
      </c>
      <c r="P22" s="90" t="n">
        <f aca="false">+'Datos ICP (2)'!AP76</f>
        <v>0.0368823086249106</v>
      </c>
      <c r="Q22" s="90" t="n">
        <f aca="false">+'Datos ICP (2)'!AQ76</f>
        <v>0.0430696712923655</v>
      </c>
      <c r="R22" s="76"/>
      <c r="S22" s="76"/>
      <c r="T22" s="76"/>
      <c r="U22" s="76"/>
      <c r="V22" s="76"/>
      <c r="W22" s="76"/>
      <c r="X22" s="76"/>
    </row>
    <row r="23" customFormat="false" ht="15" hidden="false" customHeight="false" outlineLevel="0" collapsed="false">
      <c r="C23" s="75"/>
      <c r="D23" s="76" t="s">
        <v>26</v>
      </c>
      <c r="E23" s="90" t="n">
        <f aca="false">+'Datos ICP (2)'!AE77</f>
        <v>0.0532447564083218</v>
      </c>
      <c r="F23" s="90" t="n">
        <f aca="false">+'Datos ICP (2)'!AF77</f>
        <v>0.0483945533176177</v>
      </c>
      <c r="G23" s="90" t="n">
        <f aca="false">+'Datos ICP (2)'!AG77</f>
        <v>0.0439966024845872</v>
      </c>
      <c r="H23" s="90" t="n">
        <f aca="false">+'Datos ICP (2)'!AH77</f>
        <v>0.055482166446498</v>
      </c>
      <c r="I23" s="90" t="n">
        <f aca="false">+'Datos ICP (2)'!AI77</f>
        <v>0.0469009898290282</v>
      </c>
      <c r="J23" s="90" t="n">
        <f aca="false">+'Datos ICP (2)'!AJ77</f>
        <v>0.0550046772684771</v>
      </c>
      <c r="K23" s="90" t="n">
        <f aca="false">+'Datos ICP (2)'!AK77</f>
        <v>0.035685427549268</v>
      </c>
      <c r="L23" s="90" t="n">
        <f aca="false">+'Datos ICP (2)'!AL77</f>
        <v>0.0388102967071142</v>
      </c>
      <c r="M23" s="90" t="n">
        <f aca="false">+'Datos ICP (2)'!AM77</f>
        <v>0.0388601036269431</v>
      </c>
      <c r="N23" s="90" t="n">
        <f aca="false">+'Datos ICP (2)'!AN77</f>
        <v>0.0406981760196111</v>
      </c>
      <c r="O23" s="90" t="n">
        <f aca="false">+'Datos ICP (2)'!AO77</f>
        <v>0.0441135925006888</v>
      </c>
      <c r="P23" s="90" t="n">
        <f aca="false">+'Datos ICP (2)'!AP77</f>
        <v>0.043073762496416</v>
      </c>
      <c r="Q23" s="90" t="n">
        <f aca="false">+'Datos ICP (2)'!AQ77</f>
        <v>0.0470443599003738</v>
      </c>
      <c r="R23" s="76"/>
    </row>
    <row r="24" customFormat="false" ht="15" hidden="false" customHeight="false" outlineLevel="0" collapsed="false">
      <c r="C24" s="75" t="n">
        <v>2025</v>
      </c>
      <c r="D24" s="76" t="s">
        <v>25</v>
      </c>
      <c r="E24" s="90" t="n">
        <f aca="false">+'Datos ICP (2)'!AE78</f>
        <v>0.03582387922722</v>
      </c>
      <c r="F24" s="90" t="n">
        <f aca="false">+'Datos ICP (2)'!AF78</f>
        <v>0.0354634355529712</v>
      </c>
      <c r="G24" s="90" t="n">
        <f aca="false">+'Datos ICP (2)'!AG78</f>
        <v>0.0344324443149157</v>
      </c>
      <c r="H24" s="90" t="n">
        <f aca="false">+'Datos ICP (2)'!AH78</f>
        <v>0.0342774250055511</v>
      </c>
      <c r="I24" s="90" t="n">
        <f aca="false">+'Datos ICP (2)'!AI78</f>
        <v>0.0339513431248578</v>
      </c>
      <c r="J24" s="90" t="n">
        <f aca="false">+'Datos ICP (2)'!AJ78</f>
        <v>0.034181635108931</v>
      </c>
      <c r="K24" s="90" t="n">
        <f aca="false">+'Datos ICP (2)'!AK78</f>
        <v>0.0345951263014041</v>
      </c>
      <c r="L24" s="90" t="n">
        <f aca="false">+'Datos ICP (2)'!AL78</f>
        <v>0.0349366166592406</v>
      </c>
      <c r="M24" s="90" t="n">
        <f aca="false">+'Datos ICP (2)'!AM78</f>
        <v>0.0349182736758227</v>
      </c>
      <c r="N24" s="90" t="n">
        <f aca="false">+'Datos ICP (2)'!AN78</f>
        <v>0.034285095330797</v>
      </c>
      <c r="O24" s="90" t="n">
        <f aca="false">+'Datos ICP (2)'!AO78</f>
        <v>0.0336844637449225</v>
      </c>
      <c r="P24" s="90" t="n">
        <f aca="false">+'Datos ICP (2)'!AP78</f>
        <v>0.0336220480043213</v>
      </c>
      <c r="Q24" s="90" t="n">
        <f aca="false">+'Datos ICP (2)'!AQ78</f>
        <v>0.0323703789774887</v>
      </c>
    </row>
    <row r="25" customFormat="false" ht="15" hidden="false" customHeight="false" outlineLevel="0" collapsed="false">
      <c r="C25" s="75"/>
      <c r="D25" s="76" t="s">
        <v>26</v>
      </c>
      <c r="E25" s="90" t="n">
        <f aca="false">+'Datos ICP (2)'!AE79</f>
        <v>0.0402581785811478</v>
      </c>
      <c r="F25" s="90" t="n">
        <f aca="false">+'Datos ICP (2)'!AF79</f>
        <v>0.0409109229604843</v>
      </c>
      <c r="G25" s="90" t="n">
        <f aca="false">+'Datos ICP (2)'!AG79</f>
        <v>0.0431490971762111</v>
      </c>
      <c r="H25" s="90" t="n">
        <f aca="false">+'Datos ICP (2)'!AH79</f>
        <v>0.0455058158172701</v>
      </c>
      <c r="I25" s="90" t="n">
        <f aca="false">+'Datos ICP (2)'!AI79</f>
        <v>0.0417823988921854</v>
      </c>
      <c r="J25" s="90" t="n">
        <f aca="false">+'Datos ICP (2)'!AJ79</f>
        <v>0.0451713793914665</v>
      </c>
      <c r="K25" s="90" t="n">
        <f aca="false">+'Datos ICP (2)'!AK79</f>
        <v>0.0476979503764599</v>
      </c>
      <c r="L25" s="90" t="n">
        <f aca="false">+'Datos ICP (2)'!AL79</f>
        <v>0.0516335226540568</v>
      </c>
      <c r="M25" s="90" t="n">
        <f aca="false">+'Datos ICP (2)'!AM79</f>
        <v>0.0488689866038641</v>
      </c>
      <c r="N25" s="90" t="n">
        <f aca="false">+'Datos ICP (2)'!AN79</f>
        <v>0.0491486127013515</v>
      </c>
      <c r="O25" s="90" t="n">
        <f aca="false">+'Datos ICP (2)'!AO79</f>
        <v>0.047412059262542</v>
      </c>
      <c r="P25" s="90" t="n">
        <f aca="false">+'Datos ICP (2)'!AP79</f>
        <v>0.0517956780822437</v>
      </c>
      <c r="Q25" s="90" t="n">
        <f aca="false">+'Datos ICP (2)'!AQ79</f>
        <v>0.0441837967973213</v>
      </c>
    </row>
    <row r="26" customFormat="false" ht="15" hidden="false" customHeight="false" outlineLevel="0" collapsed="false">
      <c r="C26" s="75" t="n">
        <v>2026</v>
      </c>
      <c r="D26" s="76" t="s">
        <v>25</v>
      </c>
      <c r="E26" s="90" t="n">
        <f aca="false">+'Datos ICP (2)'!AE80</f>
        <v>0.0334784763756968</v>
      </c>
      <c r="F26" s="90" t="n">
        <f aca="false">+'Datos ICP (2)'!AF80</f>
        <v>0.0325052491977638</v>
      </c>
      <c r="G26" s="90" t="n">
        <f aca="false">+'Datos ICP (2)'!AG80</f>
        <v>0.0316662519400793</v>
      </c>
      <c r="H26" s="90" t="n">
        <f aca="false">+'Datos ICP (2)'!AH80</f>
        <v>-12</v>
      </c>
      <c r="I26" s="90"/>
      <c r="J26" s="90"/>
      <c r="K26" s="90"/>
      <c r="L26" s="90"/>
      <c r="M26" s="90"/>
      <c r="N26" s="90"/>
      <c r="O26" s="90"/>
      <c r="P26" s="90"/>
      <c r="Q26" s="90" t="n">
        <f aca="false">+'Datos ICP (2)'!AQ80</f>
        <v>-3</v>
      </c>
    </row>
    <row r="27" customFormat="false" ht="15" hidden="false" customHeight="false" outlineLevel="0" collapsed="false">
      <c r="C27" s="75"/>
      <c r="D27" s="76" t="s">
        <v>26</v>
      </c>
      <c r="E27" s="90" t="n">
        <f aca="false">+'Datos ICP (2)'!AE81</f>
        <v>0.0485324100400162</v>
      </c>
      <c r="F27" s="90" t="n">
        <f aca="false">+'Datos ICP (2)'!AF81</f>
        <v>0.0390167521678486</v>
      </c>
      <c r="G27" s="90" t="n">
        <f aca="false">+'Datos ICP (2)'!AG81</f>
        <v>0.055211070462702</v>
      </c>
      <c r="H27" s="90" t="n">
        <f aca="false">+'Datos ICP (2)'!AH81</f>
        <v>0.0485223590786186</v>
      </c>
      <c r="I27" s="90"/>
      <c r="J27" s="90"/>
      <c r="K27" s="90"/>
      <c r="L27" s="90"/>
      <c r="M27" s="90"/>
      <c r="N27" s="90"/>
      <c r="O27" s="90"/>
      <c r="P27" s="90"/>
      <c r="Q27" s="90" t="n">
        <f aca="false">+'Datos ICP (2)'!AQ81</f>
        <v>0.0356353003133025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4"/>
  <sheetViews>
    <sheetView showFormulas="false" showGridLines="false" showRowColHeaders="true" showZeros="true" rightToLeft="false" tabSelected="false" showOutlineSymbols="true" defaultGridColor="true" view="normal" topLeftCell="J1" colorId="64" zoomScale="100" zoomScaleNormal="100" zoomScalePageLayoutView="100" workbookViewId="0">
      <selection pane="topLeft" activeCell="P6" activeCellId="0" sqref="P6"/>
    </sheetView>
  </sheetViews>
  <sheetFormatPr defaultColWidth="11.42578125" defaultRowHeight="15" zeroHeight="false" outlineLevelRow="0" outlineLevelCol="0"/>
  <cols>
    <col collapsed="false" customWidth="true" hidden="false" outlineLevel="0" max="1" min="1" style="0" width="14.29"/>
    <col collapsed="false" customWidth="true" hidden="false" outlineLevel="0" max="2" min="2" style="0" width="15.29"/>
    <col collapsed="false" customWidth="true" hidden="false" outlineLevel="0" max="9" min="9" style="0" width="11.57"/>
    <col collapsed="false" customWidth="true" hidden="false" outlineLevel="0" max="10" min="10" style="76" width="11.57"/>
    <col collapsed="false" customWidth="true" hidden="false" outlineLevel="0" max="11" min="11" style="76" width="28.42"/>
    <col collapsed="false" customWidth="true" hidden="false" outlineLevel="0" max="13" min="12" style="76" width="11.57"/>
    <col collapsed="false" customWidth="true" hidden="false" outlineLevel="0" max="14" min="14" style="76" width="16.14"/>
    <col collapsed="false" customWidth="true" hidden="false" outlineLevel="0" max="15" min="15" style="76" width="31"/>
    <col collapsed="false" customWidth="true" hidden="false" outlineLevel="0" max="16" min="16" style="76" width="11.57"/>
    <col collapsed="false" customWidth="true" hidden="false" outlineLevel="0" max="19" min="19" style="0" width="28.71"/>
  </cols>
  <sheetData>
    <row r="1" customFormat="false" ht="15" hidden="false" customHeight="false" outlineLevel="0" collapsed="false">
      <c r="B1" s="91"/>
      <c r="C1" s="92"/>
      <c r="J1" s="93" t="s">
        <v>46</v>
      </c>
      <c r="K1" s="94"/>
      <c r="L1" s="95"/>
      <c r="N1" s="93" t="s">
        <v>47</v>
      </c>
      <c r="O1" s="94"/>
      <c r="P1" s="95"/>
      <c r="R1" s="96" t="s">
        <v>48</v>
      </c>
      <c r="S1" s="91"/>
      <c r="T1" s="97"/>
    </row>
    <row r="2" customFormat="false" ht="16.5" hidden="false" customHeight="true" outlineLevel="0" collapsed="false">
      <c r="C2" s="92"/>
      <c r="O2" s="98" t="s">
        <v>49</v>
      </c>
      <c r="P2" s="99" t="n">
        <v>0</v>
      </c>
    </row>
    <row r="3" customFormat="false" ht="16.5" hidden="false" customHeight="true" outlineLevel="0" collapsed="false">
      <c r="C3" s="92"/>
      <c r="K3" s="100" t="s">
        <v>50</v>
      </c>
      <c r="L3" s="101" t="n">
        <v>0.2663</v>
      </c>
      <c r="O3" s="98" t="s">
        <v>51</v>
      </c>
      <c r="P3" s="99" t="n">
        <v>0</v>
      </c>
      <c r="S3" s="100" t="s">
        <v>52</v>
      </c>
      <c r="T3" s="101" t="n">
        <v>1</v>
      </c>
    </row>
    <row r="4" customFormat="false" ht="16.5" hidden="false" customHeight="true" outlineLevel="0" collapsed="false">
      <c r="C4" s="92"/>
      <c r="K4" s="100" t="s">
        <v>53</v>
      </c>
      <c r="L4" s="101" t="n">
        <v>0.2874</v>
      </c>
      <c r="O4" s="98" t="s">
        <v>54</v>
      </c>
      <c r="P4" s="99" t="n">
        <v>0</v>
      </c>
      <c r="S4" s="102"/>
      <c r="T4" s="103"/>
    </row>
    <row r="5" customFormat="false" ht="16.5" hidden="false" customHeight="true" outlineLevel="0" collapsed="false">
      <c r="A5" s="91"/>
      <c r="B5" s="91"/>
      <c r="C5" s="92"/>
      <c r="K5" s="100" t="s">
        <v>55</v>
      </c>
      <c r="L5" s="101" t="n">
        <v>0.2253</v>
      </c>
      <c r="O5" s="98" t="s">
        <v>56</v>
      </c>
      <c r="P5" s="99" t="n">
        <v>0</v>
      </c>
    </row>
    <row r="6" customFormat="false" ht="16.5" hidden="false" customHeight="true" outlineLevel="0" collapsed="false">
      <c r="A6" s="91"/>
      <c r="B6" s="91"/>
      <c r="C6" s="92"/>
      <c r="K6" s="100" t="s">
        <v>57</v>
      </c>
      <c r="L6" s="101" t="n">
        <v>0.221</v>
      </c>
      <c r="O6" s="98" t="s">
        <v>58</v>
      </c>
      <c r="P6" s="99" t="n">
        <v>1</v>
      </c>
    </row>
    <row r="7" customFormat="false" ht="16.5" hidden="false" customHeight="true" outlineLevel="0" collapsed="false">
      <c r="B7" s="91"/>
      <c r="C7" s="92"/>
      <c r="K7" s="100"/>
      <c r="L7" s="101" t="n">
        <f aca="false">SUM(L3:L6)</f>
        <v>1</v>
      </c>
      <c r="O7" s="98" t="s">
        <v>59</v>
      </c>
      <c r="P7" s="99" t="n">
        <v>0</v>
      </c>
    </row>
    <row r="8" customFormat="false" ht="16.5" hidden="false" customHeight="true" outlineLevel="0" collapsed="false">
      <c r="C8" s="92"/>
      <c r="O8" s="98" t="s">
        <v>60</v>
      </c>
      <c r="P8" s="99" t="n">
        <v>0</v>
      </c>
    </row>
    <row r="9" customFormat="false" ht="16.5" hidden="false" customHeight="true" outlineLevel="0" collapsed="false">
      <c r="C9" s="92"/>
      <c r="O9" s="98" t="s">
        <v>61</v>
      </c>
      <c r="P9" s="99" t="n">
        <v>0</v>
      </c>
    </row>
    <row r="10" customFormat="false" ht="16.5" hidden="false" customHeight="true" outlineLevel="0" collapsed="false">
      <c r="C10" s="92"/>
      <c r="O10" s="98" t="s">
        <v>62</v>
      </c>
      <c r="P10" s="99" t="n">
        <v>0</v>
      </c>
    </row>
    <row r="11" customFormat="false" ht="16.5" hidden="false" customHeight="true" outlineLevel="0" collapsed="false">
      <c r="C11" s="92"/>
      <c r="O11" s="98" t="s">
        <v>63</v>
      </c>
      <c r="P11" s="99" t="n">
        <v>0</v>
      </c>
    </row>
    <row r="12" customFormat="false" ht="16.5" hidden="true" customHeight="true" outlineLevel="0" collapsed="false">
      <c r="C12" s="92"/>
      <c r="O12" s="98"/>
      <c r="P12" s="99"/>
    </row>
    <row r="13" customFormat="false" ht="16.5" hidden="false" customHeight="true" outlineLevel="0" collapsed="false">
      <c r="C13" s="92"/>
      <c r="O13" s="98" t="s">
        <v>64</v>
      </c>
      <c r="P13" s="99" t="n">
        <v>0</v>
      </c>
    </row>
    <row r="14" customFormat="false" ht="15" hidden="true" customHeight="false" outlineLevel="0" collapsed="false">
      <c r="A14" s="91" t="s">
        <v>65</v>
      </c>
      <c r="B14" s="104" t="n">
        <v>0</v>
      </c>
      <c r="C14" s="92"/>
    </row>
    <row r="15" customFormat="false" ht="15" hidden="false" customHeight="false" outlineLevel="0" collapsed="false">
      <c r="A15" s="91"/>
      <c r="B15" s="104"/>
      <c r="C15" s="92"/>
      <c r="P15" s="105" t="n">
        <f aca="false">SUM(P2:P13)</f>
        <v>1</v>
      </c>
    </row>
    <row r="16" customFormat="false" ht="15" hidden="false" customHeight="false" outlineLevel="0" collapsed="false">
      <c r="B16" s="91"/>
      <c r="C16" s="92"/>
    </row>
    <row r="17" customFormat="false" ht="15" hidden="false" customHeight="false" outlineLevel="0" collapsed="false">
      <c r="C17" s="92"/>
    </row>
    <row r="18" customFormat="false" ht="15" hidden="false" customHeight="false" outlineLevel="0" collapsed="false">
      <c r="C18" s="92"/>
    </row>
    <row r="19" customFormat="false" ht="15" hidden="false" customHeight="false" outlineLevel="0" collapsed="false">
      <c r="C19" s="92"/>
    </row>
    <row r="20" customFormat="false" ht="15" hidden="false" customHeight="false" outlineLevel="0" collapsed="false">
      <c r="C20" s="92"/>
    </row>
    <row r="21" customFormat="false" ht="15" hidden="false" customHeight="false" outlineLevel="0" collapsed="false">
      <c r="C21" s="92"/>
      <c r="N21" s="106"/>
    </row>
    <row r="22" customFormat="false" ht="15" hidden="false" customHeight="false" outlineLevel="0" collapsed="false">
      <c r="A22" s="92"/>
      <c r="B22" s="92"/>
      <c r="C22" s="92"/>
    </row>
    <row r="23" customFormat="false" ht="15" hidden="false" customHeight="false" outlineLevel="0" collapsed="false">
      <c r="A23" s="92"/>
      <c r="B23" s="92"/>
      <c r="C23" s="92"/>
    </row>
    <row r="24" customFormat="false" ht="15" hidden="false" customHeight="false" outlineLevel="0" collapsed="false">
      <c r="A24" s="92"/>
      <c r="B24" s="92"/>
      <c r="C24" s="92"/>
    </row>
  </sheetData>
  <autoFilter ref="K1:T24">
    <sortState ref="K2:T24">
      <sortCondition ref="A2:A24" descending="1" customList=""/>
    </sortState>
  </autoFilter>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2018-12-10T21:02:38Z</dcterms:created>
  <dc:creator>NCABEZAS</dc:creator>
  <dc:description/>
  <dc:language>en-US</dc:language>
  <cp:lastModifiedBy/>
  <dcterms:modified xsi:type="dcterms:W3CDTF">2026-05-19T14:22:33Z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