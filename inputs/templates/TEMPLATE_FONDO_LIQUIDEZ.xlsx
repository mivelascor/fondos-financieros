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entario" sheetId="1" state="visible" r:id="rId3"/>
    <sheet name="Datos ICP (2)" sheetId="2" state="visible" r:id="rId4"/>
    <sheet name="rentabilidad" sheetId="3" state="visible" r:id="rId5"/>
    <sheet name="composición" sheetId="4" state="visible" r:id="rId6"/>
  </sheets>
  <externalReferences>
    <externalReference r:id="rId7"/>
  </externalReferences>
  <definedNames>
    <definedName function="false" hidden="true" localSheetId="3" name="_xlnm._FilterDatabase" vbProcedure="false">composición!$K$1:$T$24</definedName>
    <definedName function="false" hidden="false" localSheetId="1" name="OLE_LINK1" vbProcedure="false">'datos icp (2)'!#ref!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<sst xmlns="http://schemas.openxmlformats.org/spreadsheetml/2006/main" count="240" uniqueCount="71">
  <si>
    <t xml:space="preserve">La variación del IPC del mes de Enero fue de 1,10% que fue muy por sobre de las expectativas de mercado y la variación en 12 meses quedó, en 4,90%. Este IPC muestra que la situación todavía no está controlada, El BC tiene que evaluar muy bien las medidas a seguir, por lo pronto no deberían seguir bajando la TPM hasta que tenga datos más positivos de Inflación. Los depósitos a plazo (IIF) no reflejan movimientos de tasa por todo el año por parte del emisor.</t>
  </si>
  <si>
    <t xml:space="preserve">CLICP Index</t>
  </si>
  <si>
    <t xml:space="preserve">Cuota Liquidez</t>
  </si>
  <si>
    <t xml:space="preserve">ICP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</si>
  <si>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</si>
  <si>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</si>
  <si>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</si>
  <si>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</si>
  <si>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</si>
  <si>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</si>
  <si>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</si>
  <si>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</si>
  <si>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</si>
  <si>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</si>
  <si>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</si>
  <si>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</si>
  <si>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 Año</t>
  </si>
  <si>
    <t xml:space="preserve">Fecha</t>
  </si>
  <si>
    <t xml:space="preserve">ICP Norm.</t>
  </si>
  <si>
    <t xml:space="preserve">Fondo Liquidez</t>
  </si>
  <si>
    <t xml:space="preserve">8057-8</t>
  </si>
  <si>
    <t xml:space="preserve">Competencia Relevante (*)</t>
  </si>
  <si>
    <t xml:space="preserve">Sant. Money Market UNIV</t>
  </si>
  <si>
    <t xml:space="preserve">(*)</t>
  </si>
  <si>
    <t xml:space="preserve">Ingresar mes actual==&gt;</t>
  </si>
  <si>
    <t xml:space="preserve">Competencia</t>
  </si>
  <si>
    <t xml:space="preserve">(*) Acum a Mar</t>
  </si>
  <si>
    <t xml:space="preserve">FIP Liquidez</t>
  </si>
  <si>
    <t xml:space="preserve">FONDO LIQUIDEZ</t>
  </si>
  <si>
    <t xml:space="preserve">Liquidez</t>
  </si>
  <si>
    <t xml:space="preserve">Rentabilidad</t>
  </si>
  <si>
    <t xml:space="preserve">Mensual</t>
  </si>
  <si>
    <t xml:space="preserve">Trimestral</t>
  </si>
  <si>
    <t xml:space="preserve">Semestral</t>
  </si>
  <si>
    <t xml:space="preserve">Anual</t>
  </si>
  <si>
    <t xml:space="preserve">Acum. 2025</t>
  </si>
  <si>
    <t xml:space="preserve">ICP (Bechmark)</t>
  </si>
  <si>
    <t xml:space="preserve">Año</t>
  </si>
  <si>
    <t xml:space="preserve">Fondo</t>
  </si>
  <si>
    <t xml:space="preserve">DIVIDENDO 2016</t>
  </si>
  <si>
    <t xml:space="preserve">Dividendo 2017</t>
  </si>
  <si>
    <t xml:space="preserve">Dividendo 2018</t>
  </si>
  <si>
    <t xml:space="preserve">Dividendo 2019</t>
  </si>
  <si>
    <t xml:space="preserve">Dividendo 2020</t>
  </si>
  <si>
    <t xml:space="preserve">Dividendo 2021</t>
  </si>
  <si>
    <t xml:space="preserve">Dividendo 2022</t>
  </si>
  <si>
    <t xml:space="preserve">Dividendo 2023</t>
  </si>
  <si>
    <t xml:space="preserve">Acum
2025 (*)</t>
  </si>
  <si>
    <t xml:space="preserve">ICP (Benchmark)</t>
  </si>
  <si>
    <t xml:space="preserve">Total
Año</t>
  </si>
  <si>
    <t xml:space="preserve">Duración</t>
  </si>
  <si>
    <t xml:space="preserve">Instrumentos</t>
  </si>
  <si>
    <t xml:space="preserve">Moneda</t>
  </si>
  <si>
    <t xml:space="preserve">Bono</t>
  </si>
  <si>
    <t xml:space="preserve">Menos de 1 mes</t>
  </si>
  <si>
    <t xml:space="preserve">Depósitos</t>
  </si>
  <si>
    <t xml:space="preserve">Pesos</t>
  </si>
  <si>
    <t xml:space="preserve">1-3 meses</t>
  </si>
  <si>
    <t xml:space="preserve">Factoring</t>
  </si>
  <si>
    <t xml:space="preserve">UF</t>
  </si>
  <si>
    <t xml:space="preserve">3-4 meses</t>
  </si>
  <si>
    <t xml:space="preserve">Financiamiento Inmobiliario</t>
  </si>
  <si>
    <t xml:space="preserve">Más de 4 meses</t>
  </si>
  <si>
    <t xml:space="preserve">Financiamiento Mesa Moneda Extranjera</t>
  </si>
  <si>
    <t xml:space="preserve">Garantías</t>
  </si>
  <si>
    <t xml:space="preserve">Nota Estructurada</t>
  </si>
  <si>
    <t xml:space="preserve">Financiamiento Mesa Renta Fija</t>
  </si>
  <si>
    <t xml:space="preserve">Simultánea</t>
  </si>
  <si>
    <t xml:space="preserve">Efectos de Comercio</t>
  </si>
  <si>
    <t xml:space="preserve">Pagaré</t>
  </si>
  <si>
    <t xml:space="preserve">Facturas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</si>
</sst>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_);_(* \(#,##0\);_(* \-_);_(@_)"/>
    <numFmt numFmtId="166" formatCode="0%"/>
    <numFmt numFmtId="167" formatCode="#,##0.0000"/>
    <numFmt numFmtId="168" formatCode="0.0000"/>
    <numFmt numFmtId="169" formatCode="0.00%"/>
    <numFmt numFmtId="170" formatCode="m/d/yyyy"/>
    <numFmt numFmtId="171" formatCode="#,##0.00"/>
    <numFmt numFmtId="172" formatCode="0.00"/>
    <numFmt numFmtId="173" formatCode="#,##0.00_ ;[RED]\-#,##0.00\ "/>
    <numFmt numFmtId="174" formatCode="dd\-mm\-yyyy"/>
    <numFmt numFmtId="175" formatCode="0.000%"/>
    <numFmt numFmtId="176" formatCode="_ * #,##0.000_ ;_ * \-#,##0.000_ ;_ * \-_ ;_ @_ "/>
    <numFmt numFmtId="177" formatCode="_ * #,##0.00_ ;_ * \-#,##0.00_ ;_ * \-_ ;_ @_ "/>
    <numFmt numFmtId="178" formatCode="yyyy\-mm\-dd\ h:mm:ss"/>
    <numFmt numFmtId="179" formatCode="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9"/>
      <color theme="1"/>
      <name val="Be Vietnam Pro Light"/>
      <family val="0"/>
      <charset val="1"/>
    </font>
    <font>
      <sz val="10"/>
      <color theme="1"/>
      <name val="Be Vietnam Pro Light"/>
      <family val="0"/>
      <charset val="1"/>
    </font>
    <font>
      <sz val="11"/>
      <color theme="1"/>
      <name val="Aileron Light"/>
      <family val="3"/>
      <charset val="1"/>
    </font>
    <font>
      <b val="true"/>
      <sz val="11"/>
      <color rgb="FF000000"/>
      <name val="Aileron Light"/>
      <family val="3"/>
      <charset val="1"/>
    </font>
    <font>
      <b val="true"/>
      <sz val="8"/>
      <color rgb="FF000000"/>
      <name val="Aileron Light"/>
      <family val="3"/>
      <charset val="1"/>
    </font>
    <font>
      <sz val="7"/>
      <color rgb="FF000000"/>
      <name val="Aileron Light"/>
      <family val="3"/>
      <charset val="1"/>
    </font>
    <font>
      <b val="true"/>
      <sz val="7"/>
      <color rgb="FF000000"/>
      <name val="Aileron Light"/>
      <family val="3"/>
      <charset val="1"/>
    </font>
    <font>
      <b val="true"/>
      <sz val="8"/>
      <color theme="1"/>
      <name val="Aileron Light"/>
      <family val="3"/>
      <charset val="1"/>
    </font>
    <font>
      <b val="true"/>
      <sz val="9"/>
      <color rgb="FF000000"/>
      <name val="Aileron Light"/>
      <family val="3"/>
      <charset val="1"/>
    </font>
    <font>
      <sz val="9"/>
      <color rgb="FF000000"/>
      <name val="Aileron Light"/>
      <family val="3"/>
      <charset val="1"/>
    </font>
    <font>
      <sz val="6"/>
      <color rgb="FF000000"/>
      <name val="Aileron Light"/>
      <family val="3"/>
      <charset val="1"/>
    </font>
    <font>
      <b val="true"/>
      <sz val="10"/>
      <color theme="1"/>
      <name val="Aileron Light"/>
      <family val="3"/>
      <charset val="1"/>
    </font>
    <font>
      <b val="true"/>
      <sz val="10"/>
      <color rgb="FF000000"/>
      <name val="Aileron Light"/>
      <family val="3"/>
      <charset val="1"/>
    </font>
    <font>
      <sz val="8"/>
      <color rgb="FF000000"/>
      <name val="Aileron Light"/>
      <family val="3"/>
      <charset val="1"/>
    </font>
    <font>
      <sz val="8"/>
      <color theme="1"/>
      <name val="Aileron Light"/>
      <family val="3"/>
      <charset val="1"/>
    </font>
    <font>
      <sz val="14"/>
      <color rgb="FF808080"/>
      <name val="Calibri"/>
      <family val="2"/>
    </font>
    <font>
      <sz val="8"/>
      <color rgb="FF808080"/>
      <name val="Calibri"/>
      <family val="2"/>
    </font>
    <font>
      <b val="true"/>
      <sz val="7"/>
      <color rgb="FF808080"/>
      <name val="Calibri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sz val="12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Be Vietnam Pro Light"/>
      <family val="0"/>
      <charset val="1"/>
    </font>
    <font>
      <sz val="10"/>
      <color theme="1"/>
      <name val="Be Vietnam Pro Medium"/>
      <family val="0"/>
      <charset val="1"/>
    </font>
    <font>
      <sz val="11"/>
      <name val="Acumin Pro Extra Light"/>
      <family val="2"/>
      <charset val="1"/>
    </font>
    <font>
      <sz val="11"/>
      <name val="Calibri"/>
      <family val="2"/>
      <charset val="1"/>
    </font>
    <font>
      <b val="true"/>
      <sz val="11"/>
      <name val="Acumin Pro Extra Light"/>
      <family val="2"/>
      <charset val="1"/>
    </font>
    <font>
      <sz val="10"/>
      <color theme="0"/>
      <name val="Be Vietnam Pro Light"/>
      <family val="0"/>
      <charset val="1"/>
    </font>
    <font>
      <u val="singl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FBFBF"/>
        <bgColor rgb="FFD4D4D4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D4D4D4"/>
      </patternFill>
    </fill>
    <fill>
      <patternFill patternType="solid">
        <fgColor theme="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2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2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4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4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2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4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6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2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2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6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[0] 2" xfId="20"/>
    <cellStyle name="Normal 2" xfId="21"/>
    <cellStyle name="Normal 54" xfId="22"/>
    <cellStyle name="Porcentaje 2" xfId="23"/>
    <cellStyle name="Porcentaje 29" xfId="24"/>
    <cellStyle name="Excel Built-in Comma [0]" xfId="25"/>
  </cellStyles>
  <dxfs count="3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8585"/>
      <rgbColor rgb="FF800080"/>
      <rgbColor rgb="FF008080"/>
      <rgbColor rgb="FFBFBFBF"/>
      <rgbColor rgb="FF808080"/>
      <rgbColor rgb="FFA6A6A6"/>
      <rgbColor rgb="FFC0504D"/>
      <rgbColor rgb="FFF2F2F2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8B8B8B"/>
      <rgbColor rgb="FFFF99CC"/>
      <rgbColor rgb="FF9F9F9F"/>
      <rgbColor rgb="FFFFCC99"/>
      <rgbColor rgb="FF3366FF"/>
      <rgbColor rgb="FF33CCCC"/>
      <rgbColor rgb="FF99CC00"/>
      <rgbColor rgb="FFFDD900"/>
      <rgbColor rgb="FFFF9900"/>
      <rgbColor rgb="FFFF6600"/>
      <rgbColor rgb="FF828282"/>
      <rgbColor rgb="FF929292"/>
      <rgbColor rgb="FF003366"/>
      <rgbColor rgb="FF5B9BD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CL" sz="1400" spc="-1" strike="noStrike">
                <a:solidFill>
                  <a:srgbClr val="808080"/>
                </a:solidFill>
                <a:latin typeface="Calibri"/>
              </a:defRPr>
            </a:pPr>
            <a:r>
              <a:rPr b="0" lang="es-CL" sz="1400" spc="-1" strike="noStrike">
                <a:solidFill>
                  <a:srgbClr val="808080"/>
                </a:solidFill>
                <a:latin typeface="Calibri"/>
              </a:rPr>
              <a:t>ICP Normalizada
(Base 100 Dic 2005)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'Datos ICP (2)'!$D$2</c:f>
              <c:strCache>
                <c:ptCount val="1"/>
                <c:pt idx="0">
                  <c:v>ICP Norm.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ICP (2)'!$A$3:$A$185</c:f>
              <c:numCache>
                <c:formatCode>mmm/yyyy</c:formatCode>
                <c:ptCount val="183"/>
                <c:pt idx="0">
                  <c:v>12/31/2005</c:v>
                </c:pt>
                <c:pt idx="1">
                  <c:v>31-01-2006</c:v>
                </c:pt>
                <c:pt idx="2">
                  <c:v>2/28/2006</c:v>
                </c:pt>
                <c:pt idx="3">
                  <c:v>3/31/2006</c:v>
                </c:pt>
                <c:pt idx="4">
                  <c:v>4/28/2006</c:v>
                </c:pt>
                <c:pt idx="5">
                  <c:v>5/31/2006</c:v>
                </c:pt>
                <c:pt idx="6">
                  <c:v>6/30/2006</c:v>
                </c:pt>
                <c:pt idx="7">
                  <c:v>7/31/2006</c:v>
                </c:pt>
                <c:pt idx="8">
                  <c:v>8/31/2006</c:v>
                </c:pt>
                <c:pt idx="9">
                  <c:v>9/29/2006</c:v>
                </c:pt>
                <c:pt idx="10">
                  <c:v>10/31/2006</c:v>
                </c:pt>
                <c:pt idx="11">
                  <c:v>11/30/2006</c:v>
                </c:pt>
                <c:pt idx="12">
                  <c:v>12/29/2006</c:v>
                </c:pt>
                <c:pt idx="13">
                  <c:v>1/31/2007</c:v>
                </c:pt>
                <c:pt idx="14">
                  <c:v>2/28/2007</c:v>
                </c:pt>
                <c:pt idx="15">
                  <c:v>3/30/2007</c:v>
                </c:pt>
                <c:pt idx="16">
                  <c:v>4/30/2007</c:v>
                </c:pt>
                <c:pt idx="17">
                  <c:v>5/31/2007</c:v>
                </c:pt>
                <c:pt idx="18">
                  <c:v>6/29/2007</c:v>
                </c:pt>
                <c:pt idx="19">
                  <c:v>7/31/2007</c:v>
                </c:pt>
                <c:pt idx="20">
                  <c:v>8/31/2007</c:v>
                </c:pt>
                <c:pt idx="21">
                  <c:v>9/28/2007</c:v>
                </c:pt>
                <c:pt idx="22">
                  <c:v>10/31/2007</c:v>
                </c:pt>
                <c:pt idx="23">
                  <c:v>11/30/2007</c:v>
                </c:pt>
                <c:pt idx="24">
                  <c:v>12/31/2007</c:v>
                </c:pt>
                <c:pt idx="25">
                  <c:v>1/31/2008</c:v>
                </c:pt>
                <c:pt idx="26">
                  <c:v>2/29/2008</c:v>
                </c:pt>
                <c:pt idx="27">
                  <c:v>3/31/2008</c:v>
                </c:pt>
                <c:pt idx="28">
                  <c:v>4/30/2008</c:v>
                </c:pt>
                <c:pt idx="29">
                  <c:v>5/30/2008</c:v>
                </c:pt>
                <c:pt idx="30">
                  <c:v>6/30/2008</c:v>
                </c:pt>
                <c:pt idx="31">
                  <c:v>7/31/2008</c:v>
                </c:pt>
                <c:pt idx="32">
                  <c:v>8/29/2008</c:v>
                </c:pt>
                <c:pt idx="33">
                  <c:v>9/30/2008</c:v>
                </c:pt>
                <c:pt idx="34">
                  <c:v>10/31/2008</c:v>
                </c:pt>
                <c:pt idx="35">
                  <c:v>11/28/2008</c:v>
                </c:pt>
                <c:pt idx="36">
                  <c:v>12/31/2008</c:v>
                </c:pt>
                <c:pt idx="37">
                  <c:v>1/30/2009</c:v>
                </c:pt>
                <c:pt idx="38">
                  <c:v>2/27/2009</c:v>
                </c:pt>
                <c:pt idx="39">
                  <c:v>3/31/2009</c:v>
                </c:pt>
                <c:pt idx="40">
                  <c:v>4/30/2009</c:v>
                </c:pt>
                <c:pt idx="41">
                  <c:v>5/29/2009</c:v>
                </c:pt>
                <c:pt idx="42">
                  <c:v>6/30/2009</c:v>
                </c:pt>
                <c:pt idx="43">
                  <c:v>7/31/2009</c:v>
                </c:pt>
                <c:pt idx="44">
                  <c:v>8/31/2009</c:v>
                </c:pt>
                <c:pt idx="45">
                  <c:v>9/30/2009</c:v>
                </c:pt>
                <c:pt idx="46">
                  <c:v>10/30/2009</c:v>
                </c:pt>
                <c:pt idx="47">
                  <c:v>11/30/2009</c:v>
                </c:pt>
                <c:pt idx="48">
                  <c:v>12/31/2009</c:v>
                </c:pt>
                <c:pt idx="49">
                  <c:v>1/29/2010</c:v>
                </c:pt>
                <c:pt idx="50">
                  <c:v>2/26/2010</c:v>
                </c:pt>
                <c:pt idx="51">
                  <c:v>3/31/2010</c:v>
                </c:pt>
                <c:pt idx="52">
                  <c:v>4/30/2010</c:v>
                </c:pt>
                <c:pt idx="53">
                  <c:v>5/31/2010</c:v>
                </c:pt>
                <c:pt idx="54">
                  <c:v>6/30/2010</c:v>
                </c:pt>
                <c:pt idx="55">
                  <c:v>7/30/2010</c:v>
                </c:pt>
                <c:pt idx="56">
                  <c:v>8/31/2010</c:v>
                </c:pt>
                <c:pt idx="57">
                  <c:v>9/30/2010</c:v>
                </c:pt>
                <c:pt idx="58">
                  <c:v>10/29/2010</c:v>
                </c:pt>
                <c:pt idx="59">
                  <c:v>11/30/2010</c:v>
                </c:pt>
                <c:pt idx="60">
                  <c:v>12/31/2010</c:v>
                </c:pt>
                <c:pt idx="61">
                  <c:v>1/31/2011</c:v>
                </c:pt>
                <c:pt idx="62">
                  <c:v>2/28/2011</c:v>
                </c:pt>
                <c:pt idx="63">
                  <c:v>3/31/2011</c:v>
                </c:pt>
                <c:pt idx="64">
                  <c:v>4/29/2011</c:v>
                </c:pt>
                <c:pt idx="65">
                  <c:v>5/31/2011</c:v>
                </c:pt>
                <c:pt idx="66">
                  <c:v>6/30/2011</c:v>
                </c:pt>
                <c:pt idx="67">
                  <c:v>7/29/2011</c:v>
                </c:pt>
                <c:pt idx="68">
                  <c:v>8/31/2011</c:v>
                </c:pt>
                <c:pt idx="69">
                  <c:v>9/30/2011</c:v>
                </c:pt>
                <c:pt idx="70">
                  <c:v>10/31/2011</c:v>
                </c:pt>
                <c:pt idx="71">
                  <c:v>11/30/2011</c:v>
                </c:pt>
                <c:pt idx="72">
                  <c:v>12/30/2011</c:v>
                </c:pt>
                <c:pt idx="73">
                  <c:v>1/31/2012</c:v>
                </c:pt>
                <c:pt idx="74">
                  <c:v>2/29/2012</c:v>
                </c:pt>
                <c:pt idx="75">
                  <c:v>3/30/2012</c:v>
                </c:pt>
                <c:pt idx="76">
                  <c:v>4/30/2012</c:v>
                </c:pt>
                <c:pt idx="77">
                  <c:v>5/31/2012</c:v>
                </c:pt>
                <c:pt idx="78">
                  <c:v>6/29/2012</c:v>
                </c:pt>
                <c:pt idx="79">
                  <c:v>7/31/2012</c:v>
                </c:pt>
                <c:pt idx="80">
                  <c:v>8/31/2012</c:v>
                </c:pt>
                <c:pt idx="81">
                  <c:v>9/28/2012</c:v>
                </c:pt>
                <c:pt idx="82">
                  <c:v>10/31/2012</c:v>
                </c:pt>
                <c:pt idx="83">
                  <c:v>11/30/2012</c:v>
                </c:pt>
                <c:pt idx="84">
                  <c:v>12/31/2012</c:v>
                </c:pt>
                <c:pt idx="85">
                  <c:v>1/31/2013</c:v>
                </c:pt>
                <c:pt idx="86">
                  <c:v>2/28/2013</c:v>
                </c:pt>
                <c:pt idx="87">
                  <c:v>3/29/2013</c:v>
                </c:pt>
                <c:pt idx="88">
                  <c:v>4/30/2013</c:v>
                </c:pt>
                <c:pt idx="89">
                  <c:v>5/31/2013</c:v>
                </c:pt>
                <c:pt idx="90">
                  <c:v>6/28/2013</c:v>
                </c:pt>
                <c:pt idx="91">
                  <c:v>7/31/2013</c:v>
                </c:pt>
                <c:pt idx="92">
                  <c:v>8/30/2013</c:v>
                </c:pt>
                <c:pt idx="93">
                  <c:v>9/30/2013</c:v>
                </c:pt>
                <c:pt idx="94">
                  <c:v>10/31/2013</c:v>
                </c:pt>
                <c:pt idx="95">
                  <c:v>11/29/2013</c:v>
                </c:pt>
                <c:pt idx="96">
                  <c:v>12/31/2013</c:v>
                </c:pt>
                <c:pt idx="97">
                  <c:v>1/31/2014</c:v>
                </c:pt>
                <c:pt idx="98">
                  <c:v>2/28/2014</c:v>
                </c:pt>
                <c:pt idx="99">
                  <c:v>3/31/2014</c:v>
                </c:pt>
                <c:pt idx="100">
                  <c:v>4/30/2014</c:v>
                </c:pt>
                <c:pt idx="101">
                  <c:v>5/30/2014</c:v>
                </c:pt>
                <c:pt idx="102">
                  <c:v>6/30/2014</c:v>
                </c:pt>
                <c:pt idx="103">
                  <c:v>7/31/2014</c:v>
                </c:pt>
                <c:pt idx="104">
                  <c:v>8/29/2014</c:v>
                </c:pt>
                <c:pt idx="105">
                  <c:v>9/30/2014</c:v>
                </c:pt>
                <c:pt idx="106">
                  <c:v>10/31/2014</c:v>
                </c:pt>
                <c:pt idx="107">
                  <c:v>11/28/2014</c:v>
                </c:pt>
                <c:pt idx="108">
                  <c:v>12/31/2014</c:v>
                </c:pt>
                <c:pt idx="109">
                  <c:v>1/30/2015</c:v>
                </c:pt>
                <c:pt idx="110">
                  <c:v>2/27/2015</c:v>
                </c:pt>
                <c:pt idx="111">
                  <c:v>3/31/2015</c:v>
                </c:pt>
                <c:pt idx="112">
                  <c:v>4/30/2015</c:v>
                </c:pt>
                <c:pt idx="113">
                  <c:v>5/29/2015</c:v>
                </c:pt>
                <c:pt idx="114">
                  <c:v>6/30/2015</c:v>
                </c:pt>
                <c:pt idx="115">
                  <c:v>7/31/2015</c:v>
                </c:pt>
                <c:pt idx="116">
                  <c:v>8/31/2015</c:v>
                </c:pt>
                <c:pt idx="117">
                  <c:v>9/30/2015</c:v>
                </c:pt>
                <c:pt idx="118">
                  <c:v>10/30/2015</c:v>
                </c:pt>
                <c:pt idx="119">
                  <c:v>11/30/2015</c:v>
                </c:pt>
                <c:pt idx="120">
                  <c:v>12/31/2015</c:v>
                </c:pt>
                <c:pt idx="121">
                  <c:v>1/29/2016</c:v>
                </c:pt>
                <c:pt idx="122">
                  <c:v>2/29/2016</c:v>
                </c:pt>
                <c:pt idx="123">
                  <c:v>3/31/2016</c:v>
                </c:pt>
                <c:pt idx="124">
                  <c:v>4/29/2016</c:v>
                </c:pt>
                <c:pt idx="125">
                  <c:v>5/31/2016</c:v>
                </c:pt>
                <c:pt idx="126">
                  <c:v>6/30/2016</c:v>
                </c:pt>
                <c:pt idx="127">
                  <c:v>7/31/2016</c:v>
                </c:pt>
                <c:pt idx="128">
                  <c:v>8/31/2016</c:v>
                </c:pt>
                <c:pt idx="129">
                  <c:v>9/30/2016</c:v>
                </c:pt>
                <c:pt idx="130">
                  <c:v>10/31/2016</c:v>
                </c:pt>
                <c:pt idx="131">
                  <c:v>11/30/2016</c:v>
                </c:pt>
                <c:pt idx="132">
                  <c:v>12/31/2016</c:v>
                </c:pt>
                <c:pt idx="133">
                  <c:v>1/31/2017</c:v>
                </c:pt>
                <c:pt idx="134">
                  <c:v>2/28/2017</c:v>
                </c:pt>
                <c:pt idx="135">
                  <c:v>3/31/2017</c:v>
                </c:pt>
                <c:pt idx="136">
                  <c:v>4/30/2017</c:v>
                </c:pt>
                <c:pt idx="137">
                  <c:v>5/31/2017</c:v>
                </c:pt>
                <c:pt idx="138">
                  <c:v>6/30/2017</c:v>
                </c:pt>
                <c:pt idx="139">
                  <c:v>7/31/2017</c:v>
                </c:pt>
                <c:pt idx="140">
                  <c:v>8/31/2017</c:v>
                </c:pt>
                <c:pt idx="141">
                  <c:v>9/30/2017</c:v>
                </c:pt>
                <c:pt idx="142">
                  <c:v>10/31/2017</c:v>
                </c:pt>
                <c:pt idx="143">
                  <c:v>11/30/2017</c:v>
                </c:pt>
                <c:pt idx="144">
                  <c:v>12/31/2017</c:v>
                </c:pt>
                <c:pt idx="145">
                  <c:v>1/31/2018</c:v>
                </c:pt>
                <c:pt idx="146">
                  <c:v>2/28/2018</c:v>
                </c:pt>
                <c:pt idx="147">
                  <c:v>3/31/2018</c:v>
                </c:pt>
                <c:pt idx="148">
                  <c:v>4/30/2018</c:v>
                </c:pt>
                <c:pt idx="149">
                  <c:v>5/31/2018</c:v>
                </c:pt>
                <c:pt idx="150">
                  <c:v>6/30/2018</c:v>
                </c:pt>
                <c:pt idx="151">
                  <c:v>7/31/2018</c:v>
                </c:pt>
                <c:pt idx="152">
                  <c:v>8/31/2018</c:v>
                </c:pt>
                <c:pt idx="153">
                  <c:v>9/30/2018</c:v>
                </c:pt>
                <c:pt idx="154">
                  <c:v>10/31/2018</c:v>
                </c:pt>
                <c:pt idx="155">
                  <c:v>11/30/2018</c:v>
                </c:pt>
                <c:pt idx="156">
                  <c:v>12/31/2018</c:v>
                </c:pt>
                <c:pt idx="157">
                  <c:v>1/31/2019</c:v>
                </c:pt>
                <c:pt idx="158">
                  <c:v>2/28/2019</c:v>
                </c:pt>
                <c:pt idx="159">
                  <c:v>3/31/2019</c:v>
                </c:pt>
                <c:pt idx="160">
                  <c:v>4/30/2019</c:v>
                </c:pt>
                <c:pt idx="161">
                  <c:v>5/31/2019</c:v>
                </c:pt>
                <c:pt idx="162">
                  <c:v>6/30/2019</c:v>
                </c:pt>
                <c:pt idx="163">
                  <c:v>7/31/2019</c:v>
                </c:pt>
                <c:pt idx="164">
                  <c:v>8/31/2019</c:v>
                </c:pt>
                <c:pt idx="165">
                  <c:v>9/30/2019</c:v>
                </c:pt>
                <c:pt idx="166">
                  <c:v>10/31/2019</c:v>
                </c:pt>
                <c:pt idx="167">
                  <c:v>11/30/2019</c:v>
                </c:pt>
                <c:pt idx="168">
                  <c:v>12/31/2019</c:v>
                </c:pt>
                <c:pt idx="169">
                  <c:v>1/31/2020</c:v>
                </c:pt>
                <c:pt idx="170">
                  <c:v>2/29/2020</c:v>
                </c:pt>
                <c:pt idx="171">
                  <c:v>3/31/2020</c:v>
                </c:pt>
                <c:pt idx="172">
                  <c:v>4/30/2020</c:v>
                </c:pt>
                <c:pt idx="173">
                  <c:v>5/31/2020</c:v>
                </c:pt>
                <c:pt idx="174">
                  <c:v>6/30/2020</c:v>
                </c:pt>
                <c:pt idx="175">
                  <c:v>7/31/2020</c:v>
                </c:pt>
                <c:pt idx="176">
                  <c:v>8/31/2020</c:v>
                </c:pt>
                <c:pt idx="177">
                  <c:v>9/30/2020</c:v>
                </c:pt>
                <c:pt idx="178">
                  <c:v>10/31/2020</c:v>
                </c:pt>
                <c:pt idx="179">
                  <c:v>11/30/2020</c:v>
                </c:pt>
                <c:pt idx="180">
                  <c:v>12/31/2020</c:v>
                </c:pt>
                <c:pt idx="181">
                  <c:v>1/31/2021</c:v>
                </c:pt>
                <c:pt idx="182">
                  <c:v>2/28/2021</c:v>
                </c:pt>
              </c:numCache>
            </c:numRef>
          </c:cat>
          <c:val>
            <c:numRef>
              <c:f>'Datos ICP (2)'!$D$3:$D$185</c:f>
              <c:numCache>
                <c:formatCode>0.00</c:formatCode>
                <c:ptCount val="183"/>
                <c:pt idx="0">
                  <c:v>100</c:v>
                </c:pt>
                <c:pt idx="1">
                  <c:v>100.399063647502</c:v>
                </c:pt>
                <c:pt idx="2">
                  <c:v>100.748369873844</c:v>
                </c:pt>
                <c:pt idx="3">
                  <c:v>101.145972753019</c:v>
                </c:pt>
                <c:pt idx="4">
                  <c:v>101.512625603252</c:v>
                </c:pt>
                <c:pt idx="5">
                  <c:v>101.971672050207</c:v>
                </c:pt>
                <c:pt idx="6">
                  <c:v>102.391095156275</c:v>
                </c:pt>
                <c:pt idx="7">
                  <c:v>102.83096901893</c:v>
                </c:pt>
                <c:pt idx="8">
                  <c:v>103.288098207455</c:v>
                </c:pt>
                <c:pt idx="9">
                  <c:v>103.722950678983</c:v>
                </c:pt>
                <c:pt idx="10">
                  <c:v>104.198613365665</c:v>
                </c:pt>
                <c:pt idx="11">
                  <c:v>104.655012170026</c:v>
                </c:pt>
                <c:pt idx="12">
                  <c:v>105.106754775343</c:v>
                </c:pt>
                <c:pt idx="13">
                  <c:v>105.60652013943</c:v>
                </c:pt>
                <c:pt idx="14">
                  <c:v>106.021469642495</c:v>
                </c:pt>
                <c:pt idx="15">
                  <c:v>106.467186578461</c:v>
                </c:pt>
                <c:pt idx="16">
                  <c:v>106.933536867054</c:v>
                </c:pt>
                <c:pt idx="17">
                  <c:v>107.400982731892</c:v>
                </c:pt>
                <c:pt idx="18">
                  <c:v>107.8433216411</c:v>
                </c:pt>
                <c:pt idx="19">
                  <c:v>108.339069892287</c:v>
                </c:pt>
                <c:pt idx="20">
                  <c:v>108.849882316852</c:v>
                </c:pt>
                <c:pt idx="21">
                  <c:v>109.334948699642</c:v>
                </c:pt>
                <c:pt idx="22">
                  <c:v>109.912773871237</c:v>
                </c:pt>
                <c:pt idx="23">
                  <c:v>110.441845899897</c:v>
                </c:pt>
                <c:pt idx="24">
                  <c:v>110.950832364053</c:v>
                </c:pt>
                <c:pt idx="25">
                  <c:v>111.594848600493</c:v>
                </c:pt>
                <c:pt idx="26">
                  <c:v>112.158522578913</c:v>
                </c:pt>
                <c:pt idx="27">
                  <c:v>112.766293501224</c:v>
                </c:pt>
                <c:pt idx="28">
                  <c:v>113.357265587768</c:v>
                </c:pt>
                <c:pt idx="29">
                  <c:v>113.953441661478</c:v>
                </c:pt>
                <c:pt idx="30">
                  <c:v>114.599375156348</c:v>
                </c:pt>
                <c:pt idx="31">
                  <c:v>115.29935707934</c:v>
                </c:pt>
                <c:pt idx="32">
                  <c:v>115.990756988407</c:v>
                </c:pt>
                <c:pt idx="33">
                  <c:v>116.833620313444</c:v>
                </c:pt>
                <c:pt idx="34">
                  <c:v>117.640877410496</c:v>
                </c:pt>
                <c:pt idx="35">
                  <c:v>118.422023273691</c:v>
                </c:pt>
                <c:pt idx="36">
                  <c:v>119.293006389035</c:v>
                </c:pt>
                <c:pt idx="37">
                  <c:v>120.067487496736</c:v>
                </c:pt>
                <c:pt idx="38">
                  <c:v>120.623766335498</c:v>
                </c:pt>
                <c:pt idx="39">
                  <c:v>120.98065029754</c:v>
                </c:pt>
                <c:pt idx="40">
                  <c:v>121.176393253441</c:v>
                </c:pt>
                <c:pt idx="41">
                  <c:v>121.307314614805</c:v>
                </c:pt>
                <c:pt idx="42">
                  <c:v>121.417967815622</c:v>
                </c:pt>
                <c:pt idx="43">
                  <c:v>121.47512037644</c:v>
                </c:pt>
                <c:pt idx="44">
                  <c:v>121.518304340125</c:v>
                </c:pt>
                <c:pt idx="45">
                  <c:v>121.563770754322</c:v>
                </c:pt>
                <c:pt idx="46">
                  <c:v>121.606589525926</c:v>
                </c:pt>
                <c:pt idx="47">
                  <c:v>121.650138681693</c:v>
                </c:pt>
                <c:pt idx="48">
                  <c:v>121.695696393911</c:v>
                </c:pt>
                <c:pt idx="49">
                  <c:v>121.739062953637</c:v>
                </c:pt>
                <c:pt idx="50">
                  <c:v>121.778138506401</c:v>
                </c:pt>
                <c:pt idx="51">
                  <c:v>121.826161265171</c:v>
                </c:pt>
                <c:pt idx="52">
                  <c:v>121.870349507082</c:v>
                </c:pt>
                <c:pt idx="53">
                  <c:v>121.914811643054</c:v>
                </c:pt>
                <c:pt idx="54">
                  <c:v>121.982372178206</c:v>
                </c:pt>
                <c:pt idx="55">
                  <c:v>122.10188128701</c:v>
                </c:pt>
                <c:pt idx="56">
                  <c:v>122.295615686461</c:v>
                </c:pt>
                <c:pt idx="57">
                  <c:v>122.520026220792</c:v>
                </c:pt>
                <c:pt idx="58">
                  <c:v>122.783877499968</c:v>
                </c:pt>
                <c:pt idx="59">
                  <c:v>123.097303604263</c:v>
                </c:pt>
                <c:pt idx="60">
                  <c:v>123.461674003984</c:v>
                </c:pt>
                <c:pt idx="61">
                  <c:v>123.773821935993</c:v>
                </c:pt>
                <c:pt idx="62">
                  <c:v>124.095008372028</c:v>
                </c:pt>
                <c:pt idx="63">
                  <c:v>124.493159039326</c:v>
                </c:pt>
                <c:pt idx="64">
                  <c:v>124.922533629626</c:v>
                </c:pt>
                <c:pt idx="65">
                  <c:v>125.453157724634</c:v>
                </c:pt>
                <c:pt idx="66">
                  <c:v>125.988894508789</c:v>
                </c:pt>
                <c:pt idx="67">
                  <c:v>126.522074948371</c:v>
                </c:pt>
                <c:pt idx="68">
                  <c:v>127.132767407337</c:v>
                </c:pt>
                <c:pt idx="69">
                  <c:v>127.68913754412</c:v>
                </c:pt>
                <c:pt idx="70">
                  <c:v>128.211727413326</c:v>
                </c:pt>
                <c:pt idx="71">
                  <c:v>128.829449819869</c:v>
                </c:pt>
                <c:pt idx="72">
                  <c:v>129.393306394331</c:v>
                </c:pt>
                <c:pt idx="73">
                  <c:v>129.975331274867</c:v>
                </c:pt>
                <c:pt idx="74">
                  <c:v>130.498377634176</c:v>
                </c:pt>
                <c:pt idx="75">
                  <c:v>131.043152922358</c:v>
                </c:pt>
                <c:pt idx="76">
                  <c:v>131.608013775045</c:v>
                </c:pt>
                <c:pt idx="77">
                  <c:v>132.177165634695</c:v>
                </c:pt>
                <c:pt idx="78">
                  <c:v>132.711989438645</c:v>
                </c:pt>
                <c:pt idx="79">
                  <c:v>133.300679074676</c:v>
                </c:pt>
                <c:pt idx="80">
                  <c:v>133.873300259104</c:v>
                </c:pt>
                <c:pt idx="81">
                  <c:v>134.396894406536</c:v>
                </c:pt>
                <c:pt idx="82">
                  <c:v>135.016625369529</c:v>
                </c:pt>
                <c:pt idx="83">
                  <c:v>135.581029732113</c:v>
                </c:pt>
                <c:pt idx="84">
                  <c:v>136.108914886507</c:v>
                </c:pt>
                <c:pt idx="85">
                  <c:v>136.75147035462</c:v>
                </c:pt>
                <c:pt idx="86">
                  <c:v>137.28428560212</c:v>
                </c:pt>
                <c:pt idx="87">
                  <c:v>137.819018108049</c:v>
                </c:pt>
                <c:pt idx="88">
                  <c:v>138.451348197868</c:v>
                </c:pt>
                <c:pt idx="89">
                  <c:v>139.050354510214</c:v>
                </c:pt>
                <c:pt idx="90">
                  <c:v>139.592299559761</c:v>
                </c:pt>
                <c:pt idx="91">
                  <c:v>140.23622449818</c:v>
                </c:pt>
                <c:pt idx="92">
                  <c:v>140.821992597557</c:v>
                </c:pt>
                <c:pt idx="93">
                  <c:v>141.429672221847</c:v>
                </c:pt>
                <c:pt idx="94">
                  <c:v>142.008227777605</c:v>
                </c:pt>
                <c:pt idx="95">
                  <c:v>142.562406761897</c:v>
                </c:pt>
                <c:pt idx="96">
                  <c:v>143.115855362024</c:v>
                </c:pt>
                <c:pt idx="97">
                  <c:v>143.688933036554</c:v>
                </c:pt>
                <c:pt idx="98">
                  <c:v>144.182124943167</c:v>
                </c:pt>
                <c:pt idx="99">
                  <c:v>144.693941645957</c:v>
                </c:pt>
                <c:pt idx="100">
                  <c:v>145.176908174277</c:v>
                </c:pt>
                <c:pt idx="101">
                  <c:v>145.661426768945</c:v>
                </c:pt>
                <c:pt idx="102">
                  <c:v>146.163839775626</c:v>
                </c:pt>
                <c:pt idx="103">
                  <c:v>146.653653655481</c:v>
                </c:pt>
                <c:pt idx="104">
                  <c:v>147.086132378478</c:v>
                </c:pt>
                <c:pt idx="105">
                  <c:v>147.522719512396</c:v>
                </c:pt>
                <c:pt idx="106">
                  <c:v>147.910644801399</c:v>
                </c:pt>
                <c:pt idx="107">
                  <c:v>148.268989531769</c:v>
                </c:pt>
                <c:pt idx="108">
                  <c:v>148.665040344595</c:v>
                </c:pt>
                <c:pt idx="109">
                  <c:v>149.049952798923</c:v>
                </c:pt>
                <c:pt idx="110">
                  <c:v>149.397980852979</c:v>
                </c:pt>
                <c:pt idx="111">
                  <c:v>149.797135798502</c:v>
                </c:pt>
                <c:pt idx="112">
                  <c:v>150.172370662659</c:v>
                </c:pt>
                <c:pt idx="113">
                  <c:v>150.535554188114</c:v>
                </c:pt>
                <c:pt idx="114">
                  <c:v>150.93735677623</c:v>
                </c:pt>
                <c:pt idx="115">
                  <c:v>151.327473217726</c:v>
                </c:pt>
                <c:pt idx="116">
                  <c:v>151.718502639426</c:v>
                </c:pt>
                <c:pt idx="117">
                  <c:v>152.098667596689</c:v>
                </c:pt>
                <c:pt idx="118">
                  <c:v>152.494535813475</c:v>
                </c:pt>
                <c:pt idx="119">
                  <c:v>152.921901847324</c:v>
                </c:pt>
                <c:pt idx="120">
                  <c:v>153.348902689092</c:v>
                </c:pt>
                <c:pt idx="121">
                  <c:v>153.796902075569</c:v>
                </c:pt>
                <c:pt idx="122">
                  <c:v>154.261061211671</c:v>
                </c:pt>
                <c:pt idx="123">
                  <c:v>154.7266811161</c:v>
                </c:pt>
                <c:pt idx="124">
                  <c:v>155.163450846059</c:v>
                </c:pt>
                <c:pt idx="125">
                  <c:v>155.646965162501</c:v>
                </c:pt>
                <c:pt idx="126">
                  <c:v>156.101538006453</c:v>
                </c:pt>
                <c:pt idx="127">
                  <c:v>156.569075169312</c:v>
                </c:pt>
                <c:pt idx="128">
                  <c:v>157.045194346096</c:v>
                </c:pt>
                <c:pt idx="129">
                  <c:v>157.503784302949</c:v>
                </c:pt>
                <c:pt idx="130">
                  <c:v>157.979173095569</c:v>
                </c:pt>
                <c:pt idx="131">
                  <c:v>158.440501993036</c:v>
                </c:pt>
                <c:pt idx="132">
                  <c:v>158.922190349069</c:v>
                </c:pt>
                <c:pt idx="133">
                  <c:v>159.38251496831</c:v>
                </c:pt>
                <c:pt idx="134">
                  <c:v>159.781213423731</c:v>
                </c:pt>
                <c:pt idx="135">
                  <c:v>160.212961762563</c:v>
                </c:pt>
                <c:pt idx="136">
                  <c:v>160.574228029588</c:v>
                </c:pt>
                <c:pt idx="137">
                  <c:v>160.96562264337</c:v>
                </c:pt>
                <c:pt idx="138">
                  <c:v>161.301599358723</c:v>
                </c:pt>
                <c:pt idx="139">
                  <c:v>161.649444816737</c:v>
                </c:pt>
                <c:pt idx="140">
                  <c:v>161.997655466834</c:v>
                </c:pt>
                <c:pt idx="141">
                  <c:v>162.335017173158</c:v>
                </c:pt>
                <c:pt idx="142">
                  <c:v>162.685312157062</c:v>
                </c:pt>
                <c:pt idx="143">
                  <c:v>163.024666899172</c:v>
                </c:pt>
                <c:pt idx="144">
                  <c:v>163.17183930818</c:v>
                </c:pt>
                <c:pt idx="145">
                  <c:v>163.727296464758</c:v>
                </c:pt>
                <c:pt idx="146">
                  <c:v>164.045287470077</c:v>
                </c:pt>
                <c:pt idx="147">
                  <c:v>164.398793405361</c:v>
                </c:pt>
                <c:pt idx="148">
                  <c:v>164.740430597984</c:v>
                </c:pt>
                <c:pt idx="149">
                  <c:v>165.093023553063</c:v>
                </c:pt>
                <c:pt idx="150">
                  <c:v>165.437696404867</c:v>
                </c:pt>
                <c:pt idx="151">
                  <c:v>165.794101052301</c:v>
                </c:pt>
                <c:pt idx="152">
                  <c:v>166.149798140077</c:v>
                </c:pt>
                <c:pt idx="153">
                  <c:v>166.490157160412</c:v>
                </c:pt>
                <c:pt idx="154">
                  <c:v>166.869043945389</c:v>
                </c:pt>
                <c:pt idx="155">
                  <c:v>167.251673949205</c:v>
                </c:pt>
                <c:pt idx="156">
                  <c:v>167.647669983219</c:v>
                </c:pt>
                <c:pt idx="157">
                  <c:v>168.058565854175</c:v>
                </c:pt>
                <c:pt idx="158">
                  <c:v>168.43717874509</c:v>
                </c:pt>
                <c:pt idx="159">
                  <c:v>168.872305110681</c:v>
                </c:pt>
                <c:pt idx="160">
                  <c:v>169.294558455384</c:v>
                </c:pt>
                <c:pt idx="161">
                  <c:v>169.732332463568</c:v>
                </c:pt>
                <c:pt idx="162">
                  <c:v>170.109301990114</c:v>
                </c:pt>
                <c:pt idx="163">
                  <c:v>170.47449407202</c:v>
                </c:pt>
                <c:pt idx="164">
                  <c:v>170.841877306416</c:v>
                </c:pt>
                <c:pt idx="165">
                  <c:v>171.136039528391</c:v>
                </c:pt>
                <c:pt idx="166">
                  <c:v>171.422094486147</c:v>
                </c:pt>
                <c:pt idx="167">
                  <c:v>171.665750643195</c:v>
                </c:pt>
                <c:pt idx="168">
                  <c:v>171.920380822303</c:v>
                </c:pt>
                <c:pt idx="169">
                  <c:v>172.205048050148</c:v>
                </c:pt>
                <c:pt idx="170">
                  <c:v>172.442666669101</c:v>
                </c:pt>
                <c:pt idx="171">
                  <c:v>172.633327064203</c:v>
                </c:pt>
                <c:pt idx="172">
                  <c:v>172.716956050959</c:v>
                </c:pt>
                <c:pt idx="173">
                  <c:v>172.783694903927</c:v>
                </c:pt>
                <c:pt idx="174">
                  <c:v>172.851164141059</c:v>
                </c:pt>
                <c:pt idx="175">
                  <c:v>172.925206835665</c:v>
                </c:pt>
                <c:pt idx="176">
                  <c:v>172.997788761944</c:v>
                </c:pt>
                <c:pt idx="177">
                  <c:v>173.06607968126</c:v>
                </c:pt>
                <c:pt idx="178">
                  <c:v>173.130536083717</c:v>
                </c:pt>
                <c:pt idx="179">
                  <c:v>173.187597346514</c:v>
                </c:pt>
                <c:pt idx="180">
                  <c:v>173.255157881667</c:v>
                </c:pt>
                <c:pt idx="181">
                  <c:v>173.302267660233</c:v>
                </c:pt>
                <c:pt idx="182">
                  <c:v>173.343716961529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'Datos ICP (2)'!$J$2</c:f>
              <c:strCache>
                <c:ptCount val="1"/>
                <c:pt idx="0">
                  <c:v>Fondo Liquidez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ICP (2)'!$A$3:$A$185</c:f>
              <c:numCache>
                <c:formatCode>mmm/yyyy</c:formatCode>
                <c:ptCount val="183"/>
                <c:pt idx="0">
                  <c:v>12/31/2005</c:v>
                </c:pt>
                <c:pt idx="1">
                  <c:v>31-01-2006</c:v>
                </c:pt>
                <c:pt idx="2">
                  <c:v>2/28/2006</c:v>
                </c:pt>
                <c:pt idx="3">
                  <c:v>3/31/2006</c:v>
                </c:pt>
                <c:pt idx="4">
                  <c:v>4/28/2006</c:v>
                </c:pt>
                <c:pt idx="5">
                  <c:v>5/31/2006</c:v>
                </c:pt>
                <c:pt idx="6">
                  <c:v>6/30/2006</c:v>
                </c:pt>
                <c:pt idx="7">
                  <c:v>7/31/2006</c:v>
                </c:pt>
                <c:pt idx="8">
                  <c:v>8/31/2006</c:v>
                </c:pt>
                <c:pt idx="9">
                  <c:v>9/29/2006</c:v>
                </c:pt>
                <c:pt idx="10">
                  <c:v>10/31/2006</c:v>
                </c:pt>
                <c:pt idx="11">
                  <c:v>11/30/2006</c:v>
                </c:pt>
                <c:pt idx="12">
                  <c:v>12/29/2006</c:v>
                </c:pt>
                <c:pt idx="13">
                  <c:v>1/31/2007</c:v>
                </c:pt>
                <c:pt idx="14">
                  <c:v>2/28/2007</c:v>
                </c:pt>
                <c:pt idx="15">
                  <c:v>3/30/2007</c:v>
                </c:pt>
                <c:pt idx="16">
                  <c:v>4/30/2007</c:v>
                </c:pt>
                <c:pt idx="17">
                  <c:v>5/31/2007</c:v>
                </c:pt>
                <c:pt idx="18">
                  <c:v>6/29/2007</c:v>
                </c:pt>
                <c:pt idx="19">
                  <c:v>7/31/2007</c:v>
                </c:pt>
                <c:pt idx="20">
                  <c:v>8/31/2007</c:v>
                </c:pt>
                <c:pt idx="21">
                  <c:v>9/28/2007</c:v>
                </c:pt>
                <c:pt idx="22">
                  <c:v>10/31/2007</c:v>
                </c:pt>
                <c:pt idx="23">
                  <c:v>11/30/2007</c:v>
                </c:pt>
                <c:pt idx="24">
                  <c:v>12/31/2007</c:v>
                </c:pt>
                <c:pt idx="25">
                  <c:v>1/31/2008</c:v>
                </c:pt>
                <c:pt idx="26">
                  <c:v>2/29/2008</c:v>
                </c:pt>
                <c:pt idx="27">
                  <c:v>3/31/2008</c:v>
                </c:pt>
                <c:pt idx="28">
                  <c:v>4/30/2008</c:v>
                </c:pt>
                <c:pt idx="29">
                  <c:v>5/30/2008</c:v>
                </c:pt>
                <c:pt idx="30">
                  <c:v>6/30/2008</c:v>
                </c:pt>
                <c:pt idx="31">
                  <c:v>7/31/2008</c:v>
                </c:pt>
                <c:pt idx="32">
                  <c:v>8/29/2008</c:v>
                </c:pt>
                <c:pt idx="33">
                  <c:v>9/30/2008</c:v>
                </c:pt>
                <c:pt idx="34">
                  <c:v>10/31/2008</c:v>
                </c:pt>
                <c:pt idx="35">
                  <c:v>11/28/2008</c:v>
                </c:pt>
                <c:pt idx="36">
                  <c:v>12/31/2008</c:v>
                </c:pt>
                <c:pt idx="37">
                  <c:v>1/30/2009</c:v>
                </c:pt>
                <c:pt idx="38">
                  <c:v>2/27/2009</c:v>
                </c:pt>
                <c:pt idx="39">
                  <c:v>3/31/2009</c:v>
                </c:pt>
                <c:pt idx="40">
                  <c:v>4/30/2009</c:v>
                </c:pt>
                <c:pt idx="41">
                  <c:v>5/29/2009</c:v>
                </c:pt>
                <c:pt idx="42">
                  <c:v>6/30/2009</c:v>
                </c:pt>
                <c:pt idx="43">
                  <c:v>7/31/2009</c:v>
                </c:pt>
                <c:pt idx="44">
                  <c:v>8/31/2009</c:v>
                </c:pt>
                <c:pt idx="45">
                  <c:v>9/30/2009</c:v>
                </c:pt>
                <c:pt idx="46">
                  <c:v>10/30/2009</c:v>
                </c:pt>
                <c:pt idx="47">
                  <c:v>11/30/2009</c:v>
                </c:pt>
                <c:pt idx="48">
                  <c:v>12/31/2009</c:v>
                </c:pt>
                <c:pt idx="49">
                  <c:v>1/29/2010</c:v>
                </c:pt>
                <c:pt idx="50">
                  <c:v>2/26/2010</c:v>
                </c:pt>
                <c:pt idx="51">
                  <c:v>3/31/2010</c:v>
                </c:pt>
                <c:pt idx="52">
                  <c:v>4/30/2010</c:v>
                </c:pt>
                <c:pt idx="53">
                  <c:v>5/31/2010</c:v>
                </c:pt>
                <c:pt idx="54">
                  <c:v>6/30/2010</c:v>
                </c:pt>
                <c:pt idx="55">
                  <c:v>7/30/2010</c:v>
                </c:pt>
                <c:pt idx="56">
                  <c:v>8/31/2010</c:v>
                </c:pt>
                <c:pt idx="57">
                  <c:v>9/30/2010</c:v>
                </c:pt>
                <c:pt idx="58">
                  <c:v>10/29/2010</c:v>
                </c:pt>
                <c:pt idx="59">
                  <c:v>11/30/2010</c:v>
                </c:pt>
                <c:pt idx="60">
                  <c:v>12/31/2010</c:v>
                </c:pt>
                <c:pt idx="61">
                  <c:v>1/31/2011</c:v>
                </c:pt>
                <c:pt idx="62">
                  <c:v>2/28/2011</c:v>
                </c:pt>
                <c:pt idx="63">
                  <c:v>3/31/2011</c:v>
                </c:pt>
                <c:pt idx="64">
                  <c:v>4/29/2011</c:v>
                </c:pt>
                <c:pt idx="65">
                  <c:v>5/31/2011</c:v>
                </c:pt>
                <c:pt idx="66">
                  <c:v>6/30/2011</c:v>
                </c:pt>
                <c:pt idx="67">
                  <c:v>7/29/2011</c:v>
                </c:pt>
                <c:pt idx="68">
                  <c:v>8/31/2011</c:v>
                </c:pt>
                <c:pt idx="69">
                  <c:v>9/30/2011</c:v>
                </c:pt>
                <c:pt idx="70">
                  <c:v>10/31/2011</c:v>
                </c:pt>
                <c:pt idx="71">
                  <c:v>11/30/2011</c:v>
                </c:pt>
                <c:pt idx="72">
                  <c:v>12/30/2011</c:v>
                </c:pt>
                <c:pt idx="73">
                  <c:v>1/31/2012</c:v>
                </c:pt>
                <c:pt idx="74">
                  <c:v>2/29/2012</c:v>
                </c:pt>
                <c:pt idx="75">
                  <c:v>3/30/2012</c:v>
                </c:pt>
                <c:pt idx="76">
                  <c:v>4/30/2012</c:v>
                </c:pt>
                <c:pt idx="77">
                  <c:v>5/31/2012</c:v>
                </c:pt>
                <c:pt idx="78">
                  <c:v>6/29/2012</c:v>
                </c:pt>
                <c:pt idx="79">
                  <c:v>7/31/2012</c:v>
                </c:pt>
                <c:pt idx="80">
                  <c:v>8/31/2012</c:v>
                </c:pt>
                <c:pt idx="81">
                  <c:v>9/28/2012</c:v>
                </c:pt>
                <c:pt idx="82">
                  <c:v>10/31/2012</c:v>
                </c:pt>
                <c:pt idx="83">
                  <c:v>11/30/2012</c:v>
                </c:pt>
                <c:pt idx="84">
                  <c:v>12/31/2012</c:v>
                </c:pt>
                <c:pt idx="85">
                  <c:v>1/31/2013</c:v>
                </c:pt>
                <c:pt idx="86">
                  <c:v>2/28/2013</c:v>
                </c:pt>
                <c:pt idx="87">
                  <c:v>3/29/2013</c:v>
                </c:pt>
                <c:pt idx="88">
                  <c:v>4/30/2013</c:v>
                </c:pt>
                <c:pt idx="89">
                  <c:v>5/31/2013</c:v>
                </c:pt>
                <c:pt idx="90">
                  <c:v>6/28/2013</c:v>
                </c:pt>
                <c:pt idx="91">
                  <c:v>7/31/2013</c:v>
                </c:pt>
                <c:pt idx="92">
                  <c:v>8/30/2013</c:v>
                </c:pt>
                <c:pt idx="93">
                  <c:v>9/30/2013</c:v>
                </c:pt>
                <c:pt idx="94">
                  <c:v>10/31/2013</c:v>
                </c:pt>
                <c:pt idx="95">
                  <c:v>11/29/2013</c:v>
                </c:pt>
                <c:pt idx="96">
                  <c:v>12/31/2013</c:v>
                </c:pt>
                <c:pt idx="97">
                  <c:v>1/31/2014</c:v>
                </c:pt>
                <c:pt idx="98">
                  <c:v>2/28/2014</c:v>
                </c:pt>
                <c:pt idx="99">
                  <c:v>3/31/2014</c:v>
                </c:pt>
                <c:pt idx="100">
                  <c:v>4/30/2014</c:v>
                </c:pt>
                <c:pt idx="101">
                  <c:v>5/30/2014</c:v>
                </c:pt>
                <c:pt idx="102">
                  <c:v>6/30/2014</c:v>
                </c:pt>
                <c:pt idx="103">
                  <c:v>7/31/2014</c:v>
                </c:pt>
                <c:pt idx="104">
                  <c:v>8/29/2014</c:v>
                </c:pt>
                <c:pt idx="105">
                  <c:v>9/30/2014</c:v>
                </c:pt>
                <c:pt idx="106">
                  <c:v>10/31/2014</c:v>
                </c:pt>
                <c:pt idx="107">
                  <c:v>11/28/2014</c:v>
                </c:pt>
                <c:pt idx="108">
                  <c:v>12/31/2014</c:v>
                </c:pt>
                <c:pt idx="109">
                  <c:v>1/30/2015</c:v>
                </c:pt>
                <c:pt idx="110">
                  <c:v>2/27/2015</c:v>
                </c:pt>
                <c:pt idx="111">
                  <c:v>3/31/2015</c:v>
                </c:pt>
                <c:pt idx="112">
                  <c:v>4/30/2015</c:v>
                </c:pt>
                <c:pt idx="113">
                  <c:v>5/29/2015</c:v>
                </c:pt>
                <c:pt idx="114">
                  <c:v>6/30/2015</c:v>
                </c:pt>
                <c:pt idx="115">
                  <c:v>7/31/2015</c:v>
                </c:pt>
                <c:pt idx="116">
                  <c:v>8/31/2015</c:v>
                </c:pt>
                <c:pt idx="117">
                  <c:v>9/30/2015</c:v>
                </c:pt>
                <c:pt idx="118">
                  <c:v>10/30/2015</c:v>
                </c:pt>
                <c:pt idx="119">
                  <c:v>11/30/2015</c:v>
                </c:pt>
                <c:pt idx="120">
                  <c:v>12/31/2015</c:v>
                </c:pt>
                <c:pt idx="121">
                  <c:v>1/29/2016</c:v>
                </c:pt>
                <c:pt idx="122">
                  <c:v>2/29/2016</c:v>
                </c:pt>
                <c:pt idx="123">
                  <c:v>3/31/2016</c:v>
                </c:pt>
                <c:pt idx="124">
                  <c:v>4/29/2016</c:v>
                </c:pt>
                <c:pt idx="125">
                  <c:v>5/31/2016</c:v>
                </c:pt>
                <c:pt idx="126">
                  <c:v>6/30/2016</c:v>
                </c:pt>
                <c:pt idx="127">
                  <c:v>7/31/2016</c:v>
                </c:pt>
                <c:pt idx="128">
                  <c:v>8/31/2016</c:v>
                </c:pt>
                <c:pt idx="129">
                  <c:v>9/30/2016</c:v>
                </c:pt>
                <c:pt idx="130">
                  <c:v>10/31/2016</c:v>
                </c:pt>
                <c:pt idx="131">
                  <c:v>11/30/2016</c:v>
                </c:pt>
                <c:pt idx="132">
                  <c:v>12/31/2016</c:v>
                </c:pt>
                <c:pt idx="133">
                  <c:v>1/31/2017</c:v>
                </c:pt>
                <c:pt idx="134">
                  <c:v>2/28/2017</c:v>
                </c:pt>
                <c:pt idx="135">
                  <c:v>3/31/2017</c:v>
                </c:pt>
                <c:pt idx="136">
                  <c:v>4/30/2017</c:v>
                </c:pt>
                <c:pt idx="137">
                  <c:v>5/31/2017</c:v>
                </c:pt>
                <c:pt idx="138">
                  <c:v>6/30/2017</c:v>
                </c:pt>
                <c:pt idx="139">
                  <c:v>7/31/2017</c:v>
                </c:pt>
                <c:pt idx="140">
                  <c:v>8/31/2017</c:v>
                </c:pt>
                <c:pt idx="141">
                  <c:v>9/30/2017</c:v>
                </c:pt>
                <c:pt idx="142">
                  <c:v>10/31/2017</c:v>
                </c:pt>
                <c:pt idx="143">
                  <c:v>11/30/2017</c:v>
                </c:pt>
                <c:pt idx="144">
                  <c:v>12/31/2017</c:v>
                </c:pt>
                <c:pt idx="145">
                  <c:v>1/31/2018</c:v>
                </c:pt>
                <c:pt idx="146">
                  <c:v>2/28/2018</c:v>
                </c:pt>
                <c:pt idx="147">
                  <c:v>3/31/2018</c:v>
                </c:pt>
                <c:pt idx="148">
                  <c:v>4/30/2018</c:v>
                </c:pt>
                <c:pt idx="149">
                  <c:v>5/31/2018</c:v>
                </c:pt>
                <c:pt idx="150">
                  <c:v>6/30/2018</c:v>
                </c:pt>
                <c:pt idx="151">
                  <c:v>7/31/2018</c:v>
                </c:pt>
                <c:pt idx="152">
                  <c:v>8/31/2018</c:v>
                </c:pt>
                <c:pt idx="153">
                  <c:v>9/30/2018</c:v>
                </c:pt>
                <c:pt idx="154">
                  <c:v>10/31/2018</c:v>
                </c:pt>
                <c:pt idx="155">
                  <c:v>11/30/2018</c:v>
                </c:pt>
                <c:pt idx="156">
                  <c:v>12/31/2018</c:v>
                </c:pt>
                <c:pt idx="157">
                  <c:v>1/31/2019</c:v>
                </c:pt>
                <c:pt idx="158">
                  <c:v>2/28/2019</c:v>
                </c:pt>
                <c:pt idx="159">
                  <c:v>3/31/2019</c:v>
                </c:pt>
                <c:pt idx="160">
                  <c:v>4/30/2019</c:v>
                </c:pt>
                <c:pt idx="161">
                  <c:v>5/31/2019</c:v>
                </c:pt>
                <c:pt idx="162">
                  <c:v>6/30/2019</c:v>
                </c:pt>
                <c:pt idx="163">
                  <c:v>7/31/2019</c:v>
                </c:pt>
                <c:pt idx="164">
                  <c:v>8/31/2019</c:v>
                </c:pt>
                <c:pt idx="165">
                  <c:v>9/30/2019</c:v>
                </c:pt>
                <c:pt idx="166">
                  <c:v>10/31/2019</c:v>
                </c:pt>
                <c:pt idx="167">
                  <c:v>11/30/2019</c:v>
                </c:pt>
                <c:pt idx="168">
                  <c:v>12/31/2019</c:v>
                </c:pt>
                <c:pt idx="169">
                  <c:v>1/31/2020</c:v>
                </c:pt>
                <c:pt idx="170">
                  <c:v>2/29/2020</c:v>
                </c:pt>
                <c:pt idx="171">
                  <c:v>3/31/2020</c:v>
                </c:pt>
                <c:pt idx="172">
                  <c:v>4/30/2020</c:v>
                </c:pt>
                <c:pt idx="173">
                  <c:v>5/31/2020</c:v>
                </c:pt>
                <c:pt idx="174">
                  <c:v>6/30/2020</c:v>
                </c:pt>
                <c:pt idx="175">
                  <c:v>7/31/2020</c:v>
                </c:pt>
                <c:pt idx="176">
                  <c:v>8/31/2020</c:v>
                </c:pt>
                <c:pt idx="177">
                  <c:v>9/30/2020</c:v>
                </c:pt>
                <c:pt idx="178">
                  <c:v>10/31/2020</c:v>
                </c:pt>
                <c:pt idx="179">
                  <c:v>11/30/2020</c:v>
                </c:pt>
                <c:pt idx="180">
                  <c:v>12/31/2020</c:v>
                </c:pt>
                <c:pt idx="181">
                  <c:v>1/31/2021</c:v>
                </c:pt>
                <c:pt idx="182">
                  <c:v>2/28/2021</c:v>
                </c:pt>
              </c:numCache>
            </c:numRef>
          </c:cat>
          <c:val>
            <c:numRef>
              <c:f>'Datos ICP (2)'!$J$3:$J$185</c:f>
              <c:numCache>
                <c:formatCode>#,##0.00</c:formatCode>
                <c:ptCount val="183"/>
                <c:pt idx="125">
                  <c:v>155.65</c:v>
                </c:pt>
                <c:pt idx="126">
                  <c:v>155.92280031087</c:v>
                </c:pt>
                <c:pt idx="127">
                  <c:v>156.498573832093</c:v>
                </c:pt>
                <c:pt idx="128">
                  <c:v>156.922760915716</c:v>
                </c:pt>
                <c:pt idx="129">
                  <c:v>157.37806394961</c:v>
                </c:pt>
                <c:pt idx="130">
                  <c:v>157.788502891987</c:v>
                </c:pt>
                <c:pt idx="131">
                  <c:v>158.135577921868</c:v>
                </c:pt>
                <c:pt idx="132">
                  <c:v>158.100049702551</c:v>
                </c:pt>
                <c:pt idx="133">
                  <c:v>158.551010189275</c:v>
                </c:pt>
                <c:pt idx="134">
                  <c:v>158.857119194807</c:v>
                </c:pt>
                <c:pt idx="135">
                  <c:v>159.222193302004</c:v>
                </c:pt>
                <c:pt idx="136">
                  <c:v>159.517031671903</c:v>
                </c:pt>
                <c:pt idx="137">
                  <c:v>159.736529393408</c:v>
                </c:pt>
                <c:pt idx="138">
                  <c:v>160.792036967899</c:v>
                </c:pt>
                <c:pt idx="139">
                  <c:v>161.289277234379</c:v>
                </c:pt>
                <c:pt idx="140">
                  <c:v>161.763331522378</c:v>
                </c:pt>
                <c:pt idx="141">
                  <c:v>162.157011363536</c:v>
                </c:pt>
                <c:pt idx="142">
                  <c:v>162.48741935665</c:v>
                </c:pt>
                <c:pt idx="143">
                  <c:v>162.884807217571</c:v>
                </c:pt>
                <c:pt idx="144">
                  <c:v>163.271740422592</c:v>
                </c:pt>
                <c:pt idx="145">
                  <c:v>163.684618274362</c:v>
                </c:pt>
                <c:pt idx="146">
                  <c:v>164.167516528452</c:v>
                </c:pt>
                <c:pt idx="147">
                  <c:v>164.5647634115</c:v>
                </c:pt>
                <c:pt idx="148">
                  <c:v>164.931991703463</c:v>
                </c:pt>
                <c:pt idx="149">
                  <c:v>165.317656702867</c:v>
                </c:pt>
                <c:pt idx="150">
                  <c:v>165.721343024591</c:v>
                </c:pt>
                <c:pt idx="151">
                  <c:v>166.143341651437</c:v>
                </c:pt>
                <c:pt idx="152">
                  <c:v>166.52283122978</c:v>
                </c:pt>
                <c:pt idx="153">
                  <c:v>166.915967424326</c:v>
                </c:pt>
                <c:pt idx="154">
                  <c:v>167.347021591564</c:v>
                </c:pt>
                <c:pt idx="155">
                  <c:v>167.785608247025</c:v>
                </c:pt>
                <c:pt idx="156">
                  <c:v>168.124645160053</c:v>
                </c:pt>
                <c:pt idx="157">
                  <c:v>168.49880950132</c:v>
                </c:pt>
                <c:pt idx="158">
                  <c:v>168.84680857633</c:v>
                </c:pt>
                <c:pt idx="159">
                  <c:v>169.208652662618</c:v>
                </c:pt>
                <c:pt idx="160">
                  <c:v>169.627343529546</c:v>
                </c:pt>
                <c:pt idx="161">
                  <c:v>170.021449558054</c:v>
                </c:pt>
                <c:pt idx="162">
                  <c:v>170.450730848628</c:v>
                </c:pt>
                <c:pt idx="163">
                  <c:v>170.800841308629</c:v>
                </c:pt>
                <c:pt idx="164">
                  <c:v>171.12413819854</c:v>
                </c:pt>
                <c:pt idx="165">
                  <c:v>171.430976251632</c:v>
                </c:pt>
                <c:pt idx="166">
                  <c:v>171.863601848764</c:v>
                </c:pt>
                <c:pt idx="167">
                  <c:v>172.279791167441</c:v>
                </c:pt>
                <c:pt idx="168">
                  <c:v>172.689958716268</c:v>
                </c:pt>
                <c:pt idx="169">
                  <c:v>172.881991055708</c:v>
                </c:pt>
                <c:pt idx="170">
                  <c:v>173.126292288645</c:v>
                </c:pt>
                <c:pt idx="171">
                  <c:v>173.375427353947</c:v>
                </c:pt>
                <c:pt idx="172">
                  <c:v>173.605303641848</c:v>
                </c:pt>
                <c:pt idx="173">
                  <c:v>173.796708810015</c:v>
                </c:pt>
                <c:pt idx="174">
                  <c:v>173.993274195138</c:v>
                </c:pt>
                <c:pt idx="175">
                  <c:v>174.101468836907</c:v>
                </c:pt>
                <c:pt idx="176">
                  <c:v>174.19771508729</c:v>
                </c:pt>
                <c:pt idx="177">
                  <c:v>174.360940526084</c:v>
                </c:pt>
                <c:pt idx="178">
                  <c:v>174.576478808026</c:v>
                </c:pt>
                <c:pt idx="179">
                  <c:v>174.761275545215</c:v>
                </c:pt>
                <c:pt idx="180">
                  <c:v>175.661939021782</c:v>
                </c:pt>
                <c:pt idx="181">
                  <c:v>175.829838519549</c:v>
                </c:pt>
                <c:pt idx="182">
                  <c:v>176.029410247861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919314"/>
        <c:axId val="61946910"/>
      </c:lineChart>
      <c:dateAx>
        <c:axId val="71919314"/>
        <c:scaling>
          <c:orientation val="minMax"/>
          <c:max val="43373"/>
          <c:min val="38687"/>
        </c:scaling>
        <c:delete val="0"/>
        <c:axPos val="b"/>
        <c:numFmt formatCode="mmm/yyyy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700" spc="-1" strike="noStrike">
                <a:solidFill>
                  <a:srgbClr val="808080"/>
                </a:solidFill>
                <a:latin typeface="Calibri"/>
              </a:defRPr>
            </a:pPr>
          </a:p>
        </c:txPr>
        <c:crossAx val="61946910"/>
        <c:crosses val="autoZero"/>
        <c:auto val="1"/>
        <c:lblOffset val="100"/>
        <c:baseTimeUnit val="months"/>
        <c:majorUnit val="6"/>
        <c:majorTimeUnit val="months"/>
        <c:minorUnit val="6"/>
        <c:minorTimeUnit val="months"/>
        <c:noMultiLvlLbl val="0"/>
      </c:dateAx>
      <c:valAx>
        <c:axId val="61946910"/>
        <c:scaling>
          <c:orientation val="minMax"/>
          <c:min val="10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700" spc="-1" strike="noStrike">
                <a:solidFill>
                  <a:srgbClr val="808080"/>
                </a:solidFill>
                <a:latin typeface="Calibri"/>
              </a:defRPr>
            </a:pPr>
          </a:p>
        </c:txPr>
        <c:crossAx val="71919314"/>
        <c:crossesAt val="38687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2f2f2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FIP Liquidez</a:t>
            </a:r>
          </a:p>
        </c:rich>
      </c:tx>
      <c:layout>
        <c:manualLayout>
          <c:xMode val="edge"/>
          <c:yMode val="edge"/>
          <c:x val="0.418118325415195"/>
          <c:y val="0.063896648044692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7261948268161"/>
          <c:y val="0.217737430167598"/>
          <c:w val="0.869371015552036"/>
          <c:h val="0.712081005586592"/>
        </c:manualLayout>
      </c:layout>
      <c:lineChart>
        <c:grouping val="standard"/>
        <c:varyColors val="0"/>
        <c:ser>
          <c:idx val="0"/>
          <c:order val="0"/>
          <c:tx>
            <c:strRef>
              <c:f>"ICP Nom"</c:f>
              <c:strCache>
                <c:ptCount val="1"/>
                <c:pt idx="0">
                  <c:v>ICP Nom</c:v>
                </c:pt>
              </c:strCache>
            </c:strRef>
          </c:tx>
          <c:spPr>
            <a:solidFill>
              <a:srgbClr val="bfbfbf"/>
            </a:solidFill>
            <a:ln w="38160">
              <a:solidFill>
                <a:srgbClr val="bfbf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ICP (2)'!$A$143:$A$300</c:f>
              <c:numCache>
                <c:formatCode>m/d/yyyy</c:formatCode>
                <c:ptCount val="158"/>
                <c:pt idx="0">
                  <c:v>8/31/2017</c:v>
                </c:pt>
                <c:pt idx="1">
                  <c:v>9/30/2017</c:v>
                </c:pt>
                <c:pt idx="2">
                  <c:v>10/31/2017</c:v>
                </c:pt>
                <c:pt idx="3">
                  <c:v>11/30/2017</c:v>
                </c:pt>
                <c:pt idx="4">
                  <c:v>12/31/2017</c:v>
                </c:pt>
                <c:pt idx="5">
                  <c:v>1/31/2018</c:v>
                </c:pt>
                <c:pt idx="6">
                  <c:v>2/28/2018</c:v>
                </c:pt>
                <c:pt idx="7">
                  <c:v>3/31/2018</c:v>
                </c:pt>
                <c:pt idx="8">
                  <c:v>4/30/2018</c:v>
                </c:pt>
                <c:pt idx="9">
                  <c:v>5/31/2018</c:v>
                </c:pt>
                <c:pt idx="10">
                  <c:v>6/30/2018</c:v>
                </c:pt>
                <c:pt idx="11">
                  <c:v>7/31/2018</c:v>
                </c:pt>
                <c:pt idx="12">
                  <c:v>8/31/2018</c:v>
                </c:pt>
                <c:pt idx="13">
                  <c:v>9/30/2018</c:v>
                </c:pt>
                <c:pt idx="14">
                  <c:v>10/31/2018</c:v>
                </c:pt>
                <c:pt idx="15">
                  <c:v>11/30/2018</c:v>
                </c:pt>
                <c:pt idx="16">
                  <c:v>12/31/2018</c:v>
                </c:pt>
                <c:pt idx="17">
                  <c:v>1/31/2019</c:v>
                </c:pt>
                <c:pt idx="18">
                  <c:v>2/28/2019</c:v>
                </c:pt>
                <c:pt idx="19">
                  <c:v>3/31/2019</c:v>
                </c:pt>
                <c:pt idx="20">
                  <c:v>4/30/2019</c:v>
                </c:pt>
                <c:pt idx="21">
                  <c:v>5/31/2019</c:v>
                </c:pt>
                <c:pt idx="22">
                  <c:v>6/30/2019</c:v>
                </c:pt>
                <c:pt idx="23">
                  <c:v>7/31/2019</c:v>
                </c:pt>
                <c:pt idx="24">
                  <c:v>8/31/2019</c:v>
                </c:pt>
                <c:pt idx="25">
                  <c:v>9/30/2019</c:v>
                </c:pt>
                <c:pt idx="26">
                  <c:v>10/31/2019</c:v>
                </c:pt>
                <c:pt idx="27">
                  <c:v>11/30/2019</c:v>
                </c:pt>
                <c:pt idx="28">
                  <c:v>12/31/2019</c:v>
                </c:pt>
                <c:pt idx="29">
                  <c:v>1/31/2020</c:v>
                </c:pt>
                <c:pt idx="30">
                  <c:v>2/29/2020</c:v>
                </c:pt>
                <c:pt idx="31">
                  <c:v>3/31/2020</c:v>
                </c:pt>
                <c:pt idx="32">
                  <c:v>4/30/2020</c:v>
                </c:pt>
                <c:pt idx="33">
                  <c:v>5/31/2020</c:v>
                </c:pt>
                <c:pt idx="34">
                  <c:v>6/30/2020</c:v>
                </c:pt>
                <c:pt idx="35">
                  <c:v>7/31/2020</c:v>
                </c:pt>
                <c:pt idx="36">
                  <c:v>8/31/2020</c:v>
                </c:pt>
                <c:pt idx="37">
                  <c:v>9/30/2020</c:v>
                </c:pt>
                <c:pt idx="38">
                  <c:v>10/31/2020</c:v>
                </c:pt>
                <c:pt idx="39">
                  <c:v>11/30/2020</c:v>
                </c:pt>
                <c:pt idx="40">
                  <c:v>12/31/2020</c:v>
                </c:pt>
                <c:pt idx="41">
                  <c:v>1/31/2021</c:v>
                </c:pt>
                <c:pt idx="42">
                  <c:v>2/28/2021</c:v>
                </c:pt>
                <c:pt idx="43">
                  <c:v>3/31/2021</c:v>
                </c:pt>
                <c:pt idx="44">
                  <c:v>4/30/2021</c:v>
                </c:pt>
                <c:pt idx="45">
                  <c:v>5/31/2021</c:v>
                </c:pt>
                <c:pt idx="46">
                  <c:v>6/30/2021</c:v>
                </c:pt>
                <c:pt idx="47">
                  <c:v>7/31/2021</c:v>
                </c:pt>
                <c:pt idx="48">
                  <c:v>8/31/2021</c:v>
                </c:pt>
                <c:pt idx="49">
                  <c:v>9/30/2021</c:v>
                </c:pt>
                <c:pt idx="50">
                  <c:v>10/31/2021</c:v>
                </c:pt>
                <c:pt idx="51">
                  <c:v>11/30/2021</c:v>
                </c:pt>
                <c:pt idx="52">
                  <c:v>12/31/2021</c:v>
                </c:pt>
                <c:pt idx="53">
                  <c:v>1/31/2022</c:v>
                </c:pt>
                <c:pt idx="54">
                  <c:v>2/28/2022</c:v>
                </c:pt>
                <c:pt idx="55">
                  <c:v>3/31/2022</c:v>
                </c:pt>
                <c:pt idx="56">
                  <c:v>4/30/2022</c:v>
                </c:pt>
                <c:pt idx="57">
                  <c:v>5/31/2022</c:v>
                </c:pt>
                <c:pt idx="58">
                  <c:v>6/30/2022</c:v>
                </c:pt>
                <c:pt idx="59">
                  <c:v>7/31/2022</c:v>
                </c:pt>
                <c:pt idx="60">
                  <c:v>8/31/2022</c:v>
                </c:pt>
                <c:pt idx="61">
                  <c:v>9/30/2022</c:v>
                </c:pt>
                <c:pt idx="62">
                  <c:v>10/28/2022</c:v>
                </c:pt>
                <c:pt idx="63">
                  <c:v>11/30/2022</c:v>
                </c:pt>
                <c:pt idx="64">
                  <c:v>12/30/2022</c:v>
                </c:pt>
                <c:pt idx="65">
                  <c:v>1/31/2023</c:v>
                </c:pt>
                <c:pt idx="66">
                  <c:v>2/28/2023</c:v>
                </c:pt>
                <c:pt idx="67">
                  <c:v>3/31/2023</c:v>
                </c:pt>
                <c:pt idx="68">
                  <c:v>4/28/2023</c:v>
                </c:pt>
                <c:pt idx="69">
                  <c:v>5/31/2023</c:v>
                </c:pt>
                <c:pt idx="70">
                  <c:v>6/30/2023</c:v>
                </c:pt>
                <c:pt idx="71">
                  <c:v>7/31/2023</c:v>
                </c:pt>
                <c:pt idx="72">
                  <c:v>8/31/2023</c:v>
                </c:pt>
                <c:pt idx="73">
                  <c:v>9/30/2023</c:v>
                </c:pt>
                <c:pt idx="74">
                  <c:v>10/31/2023</c:v>
                </c:pt>
                <c:pt idx="75">
                  <c:v>11/30/2023</c:v>
                </c:pt>
                <c:pt idx="76">
                  <c:v>12/31/2023</c:v>
                </c:pt>
                <c:pt idx="77">
                  <c:v>1/31/2024</c:v>
                </c:pt>
                <c:pt idx="78">
                  <c:v>2/29/2024</c:v>
                </c:pt>
                <c:pt idx="79">
                  <c:v>3/28/2024</c:v>
                </c:pt>
                <c:pt idx="80">
                  <c:v>4/30/2024</c:v>
                </c:pt>
                <c:pt idx="81">
                  <c:v>5/31/2024</c:v>
                </c:pt>
                <c:pt idx="82">
                  <c:v>6/30/2024</c:v>
                </c:pt>
                <c:pt idx="83">
                  <c:v>7/31/2024</c:v>
                </c:pt>
                <c:pt idx="84">
                  <c:v>8/31/2024</c:v>
                </c:pt>
                <c:pt idx="85">
                  <c:v>9/30/2024</c:v>
                </c:pt>
                <c:pt idx="86">
                  <c:v>10/31/2024</c:v>
                </c:pt>
                <c:pt idx="87">
                  <c:v>11/30/2024</c:v>
                </c:pt>
                <c:pt idx="88">
                  <c:v>12/31/2024</c:v>
                </c:pt>
                <c:pt idx="89">
                  <c:v>1/31/2025</c:v>
                </c:pt>
                <c:pt idx="90">
                  <c:v>2/28/2025</c:v>
                </c:pt>
                <c:pt idx="91">
                  <c:v>3/31/2025</c:v>
                </c:pt>
                <c:pt idx="92">
                  <c:v>4/30/2025</c:v>
                </c:pt>
                <c:pt idx="93">
                  <c:v>5/31/2025</c:v>
                </c:pt>
                <c:pt idx="94">
                  <c:v>6/30/2025</c:v>
                </c:pt>
                <c:pt idx="95">
                  <c:v>7/31/2025</c:v>
                </c:pt>
                <c:pt idx="96">
                  <c:v>8/31/2025</c:v>
                </c:pt>
                <c:pt idx="97">
                  <c:v>9/30/2025</c:v>
                </c:pt>
                <c:pt idx="98">
                  <c:v>10/31/2025</c:v>
                </c:pt>
                <c:pt idx="99">
                  <c:v>11/30/2025</c:v>
                </c:pt>
                <c:pt idx="100">
                  <c:v>12/31/2025</c:v>
                </c:pt>
                <c:pt idx="101">
                  <c:v>2026-04-30 0:00:00</c:v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</c:numCache>
            </c:numRef>
          </c:cat>
          <c:val>
            <c:numRef>
              <c:f>'Datos ICP (2)'!$D$128:$D$232</c:f>
              <c:numCache>
                <c:formatCode>0.00</c:formatCode>
                <c:ptCount val="105"/>
                <c:pt idx="0">
                  <c:v>155.646965162501</c:v>
                </c:pt>
                <c:pt idx="1">
                  <c:v>156.101538006453</c:v>
                </c:pt>
                <c:pt idx="2">
                  <c:v>156.569075169312</c:v>
                </c:pt>
                <c:pt idx="3">
                  <c:v>157.045194346096</c:v>
                </c:pt>
                <c:pt idx="4">
                  <c:v>157.503784302949</c:v>
                </c:pt>
                <c:pt idx="5">
                  <c:v>157.979173095569</c:v>
                </c:pt>
                <c:pt idx="6">
                  <c:v>158.440501993036</c:v>
                </c:pt>
                <c:pt idx="7">
                  <c:v>158.922190349069</c:v>
                </c:pt>
                <c:pt idx="8">
                  <c:v>159.38251496831</c:v>
                </c:pt>
                <c:pt idx="9">
                  <c:v>159.781213423731</c:v>
                </c:pt>
                <c:pt idx="10">
                  <c:v>160.212961762563</c:v>
                </c:pt>
                <c:pt idx="11">
                  <c:v>160.574228029588</c:v>
                </c:pt>
                <c:pt idx="12">
                  <c:v>160.96562264337</c:v>
                </c:pt>
                <c:pt idx="13">
                  <c:v>161.301599358723</c:v>
                </c:pt>
                <c:pt idx="14">
                  <c:v>161.649444816737</c:v>
                </c:pt>
                <c:pt idx="15">
                  <c:v>161.997655466834</c:v>
                </c:pt>
                <c:pt idx="16">
                  <c:v>162.335017173158</c:v>
                </c:pt>
                <c:pt idx="17">
                  <c:v>162.685312157062</c:v>
                </c:pt>
                <c:pt idx="18">
                  <c:v>163.024666899172</c:v>
                </c:pt>
                <c:pt idx="19">
                  <c:v>163.17183930818</c:v>
                </c:pt>
                <c:pt idx="20">
                  <c:v>163.727296464758</c:v>
                </c:pt>
                <c:pt idx="21">
                  <c:v>164.045287470077</c:v>
                </c:pt>
                <c:pt idx="22">
                  <c:v>164.398793405361</c:v>
                </c:pt>
                <c:pt idx="23">
                  <c:v>164.740430597984</c:v>
                </c:pt>
                <c:pt idx="24">
                  <c:v>165.093023553063</c:v>
                </c:pt>
                <c:pt idx="25">
                  <c:v>165.437696404867</c:v>
                </c:pt>
                <c:pt idx="26">
                  <c:v>165.794101052301</c:v>
                </c:pt>
                <c:pt idx="27">
                  <c:v>166.149798140077</c:v>
                </c:pt>
                <c:pt idx="28">
                  <c:v>166.490157160412</c:v>
                </c:pt>
                <c:pt idx="29">
                  <c:v>166.869043945389</c:v>
                </c:pt>
                <c:pt idx="30">
                  <c:v>167.251673949205</c:v>
                </c:pt>
                <c:pt idx="31">
                  <c:v>167.647669983219</c:v>
                </c:pt>
                <c:pt idx="32">
                  <c:v>168.058565854175</c:v>
                </c:pt>
                <c:pt idx="33">
                  <c:v>168.43717874509</c:v>
                </c:pt>
                <c:pt idx="34">
                  <c:v>168.872305110681</c:v>
                </c:pt>
                <c:pt idx="35">
                  <c:v>169.294558455384</c:v>
                </c:pt>
                <c:pt idx="36">
                  <c:v>169.732332463568</c:v>
                </c:pt>
                <c:pt idx="37">
                  <c:v>170.109301990114</c:v>
                </c:pt>
                <c:pt idx="38">
                  <c:v>170.47449407202</c:v>
                </c:pt>
                <c:pt idx="39">
                  <c:v>170.841877306416</c:v>
                </c:pt>
                <c:pt idx="40">
                  <c:v>171.136039528391</c:v>
                </c:pt>
                <c:pt idx="41">
                  <c:v>171.422094486147</c:v>
                </c:pt>
                <c:pt idx="42">
                  <c:v>171.665750643195</c:v>
                </c:pt>
                <c:pt idx="43">
                  <c:v>171.920380822303</c:v>
                </c:pt>
                <c:pt idx="44">
                  <c:v>172.205048050148</c:v>
                </c:pt>
                <c:pt idx="45">
                  <c:v>172.442666669101</c:v>
                </c:pt>
                <c:pt idx="46">
                  <c:v>172.633327064203</c:v>
                </c:pt>
                <c:pt idx="47">
                  <c:v>172.716956050959</c:v>
                </c:pt>
                <c:pt idx="48">
                  <c:v>172.783694903927</c:v>
                </c:pt>
                <c:pt idx="49">
                  <c:v>172.851164141059</c:v>
                </c:pt>
                <c:pt idx="50">
                  <c:v>172.925206835665</c:v>
                </c:pt>
                <c:pt idx="51">
                  <c:v>172.997788761944</c:v>
                </c:pt>
                <c:pt idx="52">
                  <c:v>173.06607968126</c:v>
                </c:pt>
                <c:pt idx="53">
                  <c:v>173.130536083717</c:v>
                </c:pt>
                <c:pt idx="54">
                  <c:v>173.187597346514</c:v>
                </c:pt>
                <c:pt idx="55">
                  <c:v>173.255157881667</c:v>
                </c:pt>
                <c:pt idx="56">
                  <c:v>173.302267660233</c:v>
                </c:pt>
                <c:pt idx="57">
                  <c:v>173.343716961529</c:v>
                </c:pt>
                <c:pt idx="58">
                  <c:v>173.388635587603</c:v>
                </c:pt>
                <c:pt idx="59">
                  <c:v>173.439671181049</c:v>
                </c:pt>
                <c:pt idx="60">
                  <c:v>173.481759568489</c:v>
                </c:pt>
                <c:pt idx="61">
                  <c:v>173.529051943096</c:v>
                </c:pt>
                <c:pt idx="62">
                  <c:v>173.61615025463</c:v>
                </c:pt>
                <c:pt idx="63">
                  <c:v>173.72534268712</c:v>
                </c:pt>
                <c:pt idx="64">
                  <c:v>173.942084187731</c:v>
                </c:pt>
                <c:pt idx="65">
                  <c:v>174.302437474551</c:v>
                </c:pt>
                <c:pt idx="66">
                  <c:v>174.675663782258</c:v>
                </c:pt>
                <c:pt idx="67">
                  <c:v>175.232033919041</c:v>
                </c:pt>
                <c:pt idx="68">
                  <c:v>175.834053066061</c:v>
                </c:pt>
                <c:pt idx="69">
                  <c:v>176.587718225093</c:v>
                </c:pt>
                <c:pt idx="70">
                  <c:v>177.440898226445</c:v>
                </c:pt>
                <c:pt idx="71">
                  <c:v>178.408383349432</c:v>
                </c:pt>
                <c:pt idx="72">
                  <c:v>179.677425834053</c:v>
                </c:pt>
                <c:pt idx="73">
                  <c:v>180.999786362632</c:v>
                </c:pt>
                <c:pt idx="74">
                  <c:v>182.373456378719</c:v>
                </c:pt>
                <c:pt idx="75">
                  <c:v>184.010429885859</c:v>
                </c:pt>
                <c:pt idx="76">
                  <c:v>185.629691577027</c:v>
                </c:pt>
                <c:pt idx="77">
                  <c:v>187.226676551199</c:v>
                </c:pt>
                <c:pt idx="78">
                  <c:v>189.16657689028</c:v>
                </c:pt>
                <c:pt idx="79">
                  <c:v>190.947892567793</c:v>
                </c:pt>
                <c:pt idx="80">
                  <c:v>192.866337872062</c:v>
                </c:pt>
                <c:pt idx="81">
                  <c:v>194.560737834082</c:v>
                </c:pt>
                <c:pt idx="82">
                  <c:v>196.454167480741</c:v>
                </c:pt>
                <c:pt idx="83">
                  <c:v>198.180065259825</c:v>
                </c:pt>
                <c:pt idx="84">
                  <c:v>200.233540336378</c:v>
                </c:pt>
                <c:pt idx="85">
                  <c:v>202.118753161194</c:v>
                </c:pt>
                <c:pt idx="86">
                  <c:v>204.085677714336</c:v>
                </c:pt>
                <c:pt idx="87">
                  <c:v>205.894565394033</c:v>
                </c:pt>
                <c:pt idx="88">
                  <c:v>207.499584594007</c:v>
                </c:pt>
                <c:pt idx="89">
                  <c:v>209.255062931726</c:v>
                </c:pt>
                <c:pt idx="90">
                  <c:v>210.830045082963</c:v>
                </c:pt>
                <c:pt idx="91">
                  <c:v>212.274968786385</c:v>
                </c:pt>
                <c:pt idx="92">
                  <c:v>213.786344376102</c:v>
                </c:pt>
                <c:pt idx="93">
                  <c:v>215.138094595673</c:v>
                </c:pt>
                <c:pt idx="94">
                  <c:v>216.439837974896</c:v>
                </c:pt>
                <c:pt idx="95">
                  <c:v>217.638675405364</c:v>
                </c:pt>
                <c:pt idx="96">
                  <c:v>218.800048584433</c:v>
                </c:pt>
                <c:pt idx="97">
                  <c:v>219.809493343612</c:v>
                </c:pt>
                <c:pt idx="98">
                  <c:v>220.933574350426</c:v>
                </c:pt>
                <c:pt idx="99">
                  <c:v>221.960349319092</c:v>
                </c:pt>
                <c:pt idx="100">
                  <c:v>223.021551403444</c:v>
                </c:pt>
                <c:pt idx="101">
                  <c:v>223.995027637139</c:v>
                </c:pt>
                <c:pt idx="102">
                  <c:v>224.977094759337</c:v>
                </c:pt>
                <c:pt idx="103">
                  <c:v>225.945134368598</c:v>
                </c:pt>
                <c:pt idx="104">
                  <c:v>226.919124843713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"FIP Liquidez Sencillo"</c:f>
              <c:strCache>
                <c:ptCount val="1"/>
                <c:pt idx="0">
                  <c:v>FIP Liquidez Sencillo</c:v>
                </c:pt>
              </c:strCache>
            </c:strRef>
          </c:tx>
          <c:spPr>
            <a:solidFill>
              <a:srgbClr val="000000"/>
            </a:solidFill>
            <a:ln w="381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ICP (2)'!$A$143:$A$300</c:f>
              <c:numCache>
                <c:formatCode>m/d/yyyy</c:formatCode>
                <c:ptCount val="158"/>
                <c:pt idx="0">
                  <c:v>8/31/2017</c:v>
                </c:pt>
                <c:pt idx="1">
                  <c:v>9/30/2017</c:v>
                </c:pt>
                <c:pt idx="2">
                  <c:v>10/31/2017</c:v>
                </c:pt>
                <c:pt idx="3">
                  <c:v>11/30/2017</c:v>
                </c:pt>
                <c:pt idx="4">
                  <c:v>12/31/2017</c:v>
                </c:pt>
                <c:pt idx="5">
                  <c:v>1/31/2018</c:v>
                </c:pt>
                <c:pt idx="6">
                  <c:v>2/28/2018</c:v>
                </c:pt>
                <c:pt idx="7">
                  <c:v>3/31/2018</c:v>
                </c:pt>
                <c:pt idx="8">
                  <c:v>4/30/2018</c:v>
                </c:pt>
                <c:pt idx="9">
                  <c:v>5/31/2018</c:v>
                </c:pt>
                <c:pt idx="10">
                  <c:v>6/30/2018</c:v>
                </c:pt>
                <c:pt idx="11">
                  <c:v>7/31/2018</c:v>
                </c:pt>
                <c:pt idx="12">
                  <c:v>8/31/2018</c:v>
                </c:pt>
                <c:pt idx="13">
                  <c:v>9/30/2018</c:v>
                </c:pt>
                <c:pt idx="14">
                  <c:v>10/31/2018</c:v>
                </c:pt>
                <c:pt idx="15">
                  <c:v>11/30/2018</c:v>
                </c:pt>
                <c:pt idx="16">
                  <c:v>12/31/2018</c:v>
                </c:pt>
                <c:pt idx="17">
                  <c:v>1/31/2019</c:v>
                </c:pt>
                <c:pt idx="18">
                  <c:v>2/28/2019</c:v>
                </c:pt>
                <c:pt idx="19">
                  <c:v>3/31/2019</c:v>
                </c:pt>
                <c:pt idx="20">
                  <c:v>4/30/2019</c:v>
                </c:pt>
                <c:pt idx="21">
                  <c:v>5/31/2019</c:v>
                </c:pt>
                <c:pt idx="22">
                  <c:v>6/30/2019</c:v>
                </c:pt>
                <c:pt idx="23">
                  <c:v>7/31/2019</c:v>
                </c:pt>
                <c:pt idx="24">
                  <c:v>8/31/2019</c:v>
                </c:pt>
                <c:pt idx="25">
                  <c:v>9/30/2019</c:v>
                </c:pt>
                <c:pt idx="26">
                  <c:v>10/31/2019</c:v>
                </c:pt>
                <c:pt idx="27">
                  <c:v>11/30/2019</c:v>
                </c:pt>
                <c:pt idx="28">
                  <c:v>12/31/2019</c:v>
                </c:pt>
                <c:pt idx="29">
                  <c:v>1/31/2020</c:v>
                </c:pt>
                <c:pt idx="30">
                  <c:v>2/29/2020</c:v>
                </c:pt>
                <c:pt idx="31">
                  <c:v>3/31/2020</c:v>
                </c:pt>
                <c:pt idx="32">
                  <c:v>4/30/2020</c:v>
                </c:pt>
                <c:pt idx="33">
                  <c:v>5/31/2020</c:v>
                </c:pt>
                <c:pt idx="34">
                  <c:v>6/30/2020</c:v>
                </c:pt>
                <c:pt idx="35">
                  <c:v>7/31/2020</c:v>
                </c:pt>
                <c:pt idx="36">
                  <c:v>8/31/2020</c:v>
                </c:pt>
                <c:pt idx="37">
                  <c:v>9/30/2020</c:v>
                </c:pt>
                <c:pt idx="38">
                  <c:v>10/31/2020</c:v>
                </c:pt>
                <c:pt idx="39">
                  <c:v>11/30/2020</c:v>
                </c:pt>
                <c:pt idx="40">
                  <c:v>12/31/2020</c:v>
                </c:pt>
                <c:pt idx="41">
                  <c:v>1/31/2021</c:v>
                </c:pt>
                <c:pt idx="42">
                  <c:v>2/28/2021</c:v>
                </c:pt>
                <c:pt idx="43">
                  <c:v>3/31/2021</c:v>
                </c:pt>
                <c:pt idx="44">
                  <c:v>4/30/2021</c:v>
                </c:pt>
                <c:pt idx="45">
                  <c:v>5/31/2021</c:v>
                </c:pt>
                <c:pt idx="46">
                  <c:v>6/30/2021</c:v>
                </c:pt>
                <c:pt idx="47">
                  <c:v>7/31/2021</c:v>
                </c:pt>
                <c:pt idx="48">
                  <c:v>8/31/2021</c:v>
                </c:pt>
                <c:pt idx="49">
                  <c:v>9/30/2021</c:v>
                </c:pt>
                <c:pt idx="50">
                  <c:v>10/31/2021</c:v>
                </c:pt>
                <c:pt idx="51">
                  <c:v>11/30/2021</c:v>
                </c:pt>
                <c:pt idx="52">
                  <c:v>12/31/2021</c:v>
                </c:pt>
                <c:pt idx="53">
                  <c:v>1/31/2022</c:v>
                </c:pt>
                <c:pt idx="54">
                  <c:v>2/28/2022</c:v>
                </c:pt>
                <c:pt idx="55">
                  <c:v>3/31/2022</c:v>
                </c:pt>
                <c:pt idx="56">
                  <c:v>4/30/2022</c:v>
                </c:pt>
                <c:pt idx="57">
                  <c:v>5/31/2022</c:v>
                </c:pt>
                <c:pt idx="58">
                  <c:v>6/30/2022</c:v>
                </c:pt>
                <c:pt idx="59">
                  <c:v>7/31/2022</c:v>
                </c:pt>
                <c:pt idx="60">
                  <c:v>8/31/2022</c:v>
                </c:pt>
                <c:pt idx="61">
                  <c:v>9/30/2022</c:v>
                </c:pt>
                <c:pt idx="62">
                  <c:v>10/28/2022</c:v>
                </c:pt>
                <c:pt idx="63">
                  <c:v>11/30/2022</c:v>
                </c:pt>
                <c:pt idx="64">
                  <c:v>12/30/2022</c:v>
                </c:pt>
                <c:pt idx="65">
                  <c:v>1/31/2023</c:v>
                </c:pt>
                <c:pt idx="66">
                  <c:v>2/28/2023</c:v>
                </c:pt>
                <c:pt idx="67">
                  <c:v>3/31/2023</c:v>
                </c:pt>
                <c:pt idx="68">
                  <c:v>4/28/2023</c:v>
                </c:pt>
                <c:pt idx="69">
                  <c:v>5/31/2023</c:v>
                </c:pt>
                <c:pt idx="70">
                  <c:v>6/30/2023</c:v>
                </c:pt>
                <c:pt idx="71">
                  <c:v>7/31/2023</c:v>
                </c:pt>
                <c:pt idx="72">
                  <c:v>8/31/2023</c:v>
                </c:pt>
                <c:pt idx="73">
                  <c:v>9/30/2023</c:v>
                </c:pt>
                <c:pt idx="74">
                  <c:v>10/31/2023</c:v>
                </c:pt>
                <c:pt idx="75">
                  <c:v>11/30/2023</c:v>
                </c:pt>
                <c:pt idx="76">
                  <c:v>12/31/2023</c:v>
                </c:pt>
                <c:pt idx="77">
                  <c:v>1/31/2024</c:v>
                </c:pt>
                <c:pt idx="78">
                  <c:v>2/29/2024</c:v>
                </c:pt>
                <c:pt idx="79">
                  <c:v>3/28/2024</c:v>
                </c:pt>
                <c:pt idx="80">
                  <c:v>4/30/2024</c:v>
                </c:pt>
                <c:pt idx="81">
                  <c:v>5/31/2024</c:v>
                </c:pt>
                <c:pt idx="82">
                  <c:v>6/30/2024</c:v>
                </c:pt>
                <c:pt idx="83">
                  <c:v>7/31/2024</c:v>
                </c:pt>
                <c:pt idx="84">
                  <c:v>8/31/2024</c:v>
                </c:pt>
                <c:pt idx="85">
                  <c:v>9/30/2024</c:v>
                </c:pt>
                <c:pt idx="86">
                  <c:v>10/31/2024</c:v>
                </c:pt>
                <c:pt idx="87">
                  <c:v>11/30/2024</c:v>
                </c:pt>
                <c:pt idx="88">
                  <c:v>12/31/2024</c:v>
                </c:pt>
                <c:pt idx="89">
                  <c:v>1/31/2025</c:v>
                </c:pt>
                <c:pt idx="90">
                  <c:v>2/28/2025</c:v>
                </c:pt>
                <c:pt idx="91">
                  <c:v>3/31/2025</c:v>
                </c:pt>
                <c:pt idx="92">
                  <c:v>4/30/2025</c:v>
                </c:pt>
                <c:pt idx="93">
                  <c:v>5/31/2025</c:v>
                </c:pt>
                <c:pt idx="94">
                  <c:v>6/30/2025</c:v>
                </c:pt>
                <c:pt idx="95">
                  <c:v>7/31/2025</c:v>
                </c:pt>
                <c:pt idx="96">
                  <c:v>8/31/2025</c:v>
                </c:pt>
                <c:pt idx="97">
                  <c:v>9/30/2025</c:v>
                </c:pt>
                <c:pt idx="98">
                  <c:v>10/31/2025</c:v>
                </c:pt>
                <c:pt idx="99">
                  <c:v>11/30/2025</c:v>
                </c:pt>
                <c:pt idx="100">
                  <c:v>12/31/2025</c:v>
                </c:pt>
                <c:pt idx="101">
                  <c:v>2026-04-30 0:00:00</c:v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</c:numCache>
            </c:numRef>
          </c:cat>
          <c:val>
            <c:numRef>
              <c:f>'Datos ICP (2)'!$J$128:$J$232</c:f>
              <c:numCache>
                <c:formatCode>#,##0.00</c:formatCode>
                <c:ptCount val="105"/>
                <c:pt idx="0">
                  <c:v>155.65</c:v>
                </c:pt>
                <c:pt idx="1">
                  <c:v>155.92280031087</c:v>
                </c:pt>
                <c:pt idx="2">
                  <c:v>156.498573832093</c:v>
                </c:pt>
                <c:pt idx="3">
                  <c:v>156.922760915716</c:v>
                </c:pt>
                <c:pt idx="4">
                  <c:v>157.37806394961</c:v>
                </c:pt>
                <c:pt idx="5">
                  <c:v>157.788502891987</c:v>
                </c:pt>
                <c:pt idx="6">
                  <c:v>158.135577921868</c:v>
                </c:pt>
                <c:pt idx="7">
                  <c:v>158.100049702551</c:v>
                </c:pt>
                <c:pt idx="8">
                  <c:v>158.551010189275</c:v>
                </c:pt>
                <c:pt idx="9">
                  <c:v>158.857119194807</c:v>
                </c:pt>
                <c:pt idx="10">
                  <c:v>159.222193302004</c:v>
                </c:pt>
                <c:pt idx="11">
                  <c:v>159.517031671903</c:v>
                </c:pt>
                <c:pt idx="12">
                  <c:v>159.736529393408</c:v>
                </c:pt>
                <c:pt idx="13">
                  <c:v>160.792036967899</c:v>
                </c:pt>
                <c:pt idx="14">
                  <c:v>161.289277234379</c:v>
                </c:pt>
                <c:pt idx="15">
                  <c:v>161.763331522378</c:v>
                </c:pt>
                <c:pt idx="16">
                  <c:v>162.157011363536</c:v>
                </c:pt>
                <c:pt idx="17">
                  <c:v>162.48741935665</c:v>
                </c:pt>
                <c:pt idx="18">
                  <c:v>162.884807217571</c:v>
                </c:pt>
                <c:pt idx="19">
                  <c:v>163.271740422592</c:v>
                </c:pt>
                <c:pt idx="20">
                  <c:v>163.684618274362</c:v>
                </c:pt>
                <c:pt idx="21">
                  <c:v>164.167516528452</c:v>
                </c:pt>
                <c:pt idx="22">
                  <c:v>164.5647634115</c:v>
                </c:pt>
                <c:pt idx="23">
                  <c:v>164.931991703463</c:v>
                </c:pt>
                <c:pt idx="24">
                  <c:v>165.317656702867</c:v>
                </c:pt>
                <c:pt idx="25">
                  <c:v>165.721343024591</c:v>
                </c:pt>
                <c:pt idx="26">
                  <c:v>166.143341651437</c:v>
                </c:pt>
                <c:pt idx="27">
                  <c:v>166.52283122978</c:v>
                </c:pt>
                <c:pt idx="28">
                  <c:v>166.915967424326</c:v>
                </c:pt>
                <c:pt idx="29">
                  <c:v>167.347021591564</c:v>
                </c:pt>
                <c:pt idx="30">
                  <c:v>167.785608247025</c:v>
                </c:pt>
                <c:pt idx="31">
                  <c:v>168.124645160053</c:v>
                </c:pt>
                <c:pt idx="32">
                  <c:v>168.49880950132</c:v>
                </c:pt>
                <c:pt idx="33">
                  <c:v>168.84680857633</c:v>
                </c:pt>
                <c:pt idx="34">
                  <c:v>169.208652662618</c:v>
                </c:pt>
                <c:pt idx="35">
                  <c:v>169.627343529546</c:v>
                </c:pt>
                <c:pt idx="36">
                  <c:v>170.021449558054</c:v>
                </c:pt>
                <c:pt idx="37">
                  <c:v>170.450730848628</c:v>
                </c:pt>
                <c:pt idx="38">
                  <c:v>170.800841308629</c:v>
                </c:pt>
                <c:pt idx="39">
                  <c:v>171.12413819854</c:v>
                </c:pt>
                <c:pt idx="40">
                  <c:v>171.430976251632</c:v>
                </c:pt>
                <c:pt idx="41">
                  <c:v>171.863601848764</c:v>
                </c:pt>
                <c:pt idx="42">
                  <c:v>172.279791167441</c:v>
                </c:pt>
                <c:pt idx="43">
                  <c:v>172.689958716268</c:v>
                </c:pt>
                <c:pt idx="44">
                  <c:v>172.881991055708</c:v>
                </c:pt>
                <c:pt idx="45">
                  <c:v>173.126292288645</c:v>
                </c:pt>
                <c:pt idx="46">
                  <c:v>173.375427353947</c:v>
                </c:pt>
                <c:pt idx="47">
                  <c:v>173.605303641848</c:v>
                </c:pt>
                <c:pt idx="48">
                  <c:v>173.796708810015</c:v>
                </c:pt>
                <c:pt idx="49">
                  <c:v>173.993274195138</c:v>
                </c:pt>
                <c:pt idx="50">
                  <c:v>174.101468836907</c:v>
                </c:pt>
                <c:pt idx="51">
                  <c:v>174.19771508729</c:v>
                </c:pt>
                <c:pt idx="52">
                  <c:v>174.360940526084</c:v>
                </c:pt>
                <c:pt idx="53">
                  <c:v>174.576478808026</c:v>
                </c:pt>
                <c:pt idx="54">
                  <c:v>174.761275545215</c:v>
                </c:pt>
                <c:pt idx="55">
                  <c:v>175.661939021782</c:v>
                </c:pt>
                <c:pt idx="56">
                  <c:v>175.829838519549</c:v>
                </c:pt>
                <c:pt idx="57">
                  <c:v>176.029410247861</c:v>
                </c:pt>
                <c:pt idx="58">
                  <c:v>176.113604353669</c:v>
                </c:pt>
                <c:pt idx="59">
                  <c:v>176.153194658468</c:v>
                </c:pt>
                <c:pt idx="60">
                  <c:v>176.340232862761</c:v>
                </c:pt>
                <c:pt idx="61">
                  <c:v>176.56380836772</c:v>
                </c:pt>
                <c:pt idx="62">
                  <c:v>176.788610292906</c:v>
                </c:pt>
                <c:pt idx="63">
                  <c:v>176.981530151393</c:v>
                </c:pt>
                <c:pt idx="64">
                  <c:v>177.142499925487</c:v>
                </c:pt>
                <c:pt idx="65">
                  <c:v>177.28237903786</c:v>
                </c:pt>
                <c:pt idx="66">
                  <c:v>177.360818072659</c:v>
                </c:pt>
                <c:pt idx="67">
                  <c:v>177.646076168567</c:v>
                </c:pt>
                <c:pt idx="68">
                  <c:v>178.057408249418</c:v>
                </c:pt>
                <c:pt idx="69">
                  <c:v>178.701900092925</c:v>
                </c:pt>
                <c:pt idx="70">
                  <c:v>179.345939341568</c:v>
                </c:pt>
                <c:pt idx="71">
                  <c:v>180.323255003247</c:v>
                </c:pt>
                <c:pt idx="72">
                  <c:v>181.601237747026</c:v>
                </c:pt>
                <c:pt idx="73">
                  <c:v>182.846384374991</c:v>
                </c:pt>
                <c:pt idx="74">
                  <c:v>184.064296540584</c:v>
                </c:pt>
                <c:pt idx="75">
                  <c:v>185.43128173529</c:v>
                </c:pt>
                <c:pt idx="76">
                  <c:v>186.918468183593</c:v>
                </c:pt>
                <c:pt idx="77">
                  <c:v>188.513413116241</c:v>
                </c:pt>
                <c:pt idx="78">
                  <c:v>190.213004121547</c:v>
                </c:pt>
                <c:pt idx="79">
                  <c:v>192.038127823494</c:v>
                </c:pt>
                <c:pt idx="80">
                  <c:v>194.096363348907</c:v>
                </c:pt>
                <c:pt idx="81">
                  <c:v>195.906235665895</c:v>
                </c:pt>
                <c:pt idx="82">
                  <c:v>197.745878857431</c:v>
                </c:pt>
                <c:pt idx="83">
                  <c:v>199.616065718715</c:v>
                </c:pt>
                <c:pt idx="84">
                  <c:v>201.492412394364</c:v>
                </c:pt>
                <c:pt idx="85">
                  <c:v>203.404431791859</c:v>
                </c:pt>
                <c:pt idx="86">
                  <c:v>205.347200127115</c:v>
                </c:pt>
                <c:pt idx="87">
                  <c:v>207.135869890808</c:v>
                </c:pt>
                <c:pt idx="88">
                  <c:v>208.939192081147</c:v>
                </c:pt>
                <c:pt idx="89">
                  <c:v>210.615754379727</c:v>
                </c:pt>
                <c:pt idx="90">
                  <c:v>212.199319165122</c:v>
                </c:pt>
                <c:pt idx="91">
                  <c:v>213.979649337398</c:v>
                </c:pt>
                <c:pt idx="92">
                  <c:v>215.595494383194</c:v>
                </c:pt>
                <c:pt idx="93">
                  <c:v>216.904804855642</c:v>
                </c:pt>
                <c:pt idx="94">
                  <c:v>218.312967122783</c:v>
                </c:pt>
                <c:pt idx="95">
                  <c:v>219.492655883422</c:v>
                </c:pt>
                <c:pt idx="96">
                  <c:v>220.763913207254</c:v>
                </c:pt>
                <c:pt idx="97">
                  <c:v>221.933331646349</c:v>
                </c:pt>
                <c:pt idx="98">
                  <c:v>222.918872592412</c:v>
                </c:pt>
                <c:pt idx="99">
                  <c:v>223.827207224729</c:v>
                </c:pt>
                <c:pt idx="100">
                  <c:v>224.797348298406</c:v>
                </c:pt>
                <c:pt idx="101">
                  <c:v>225.617088934517</c:v>
                </c:pt>
                <c:pt idx="102">
                  <c:v>226.488673142334</c:v>
                </c:pt>
                <c:pt idx="103">
                  <c:v>227.276469956445</c:v>
                </c:pt>
                <c:pt idx="104">
                  <c:v>227.917977441151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"Competencia Relevante"</c:f>
              <c:strCache>
                <c:ptCount val="1"/>
                <c:pt idx="0">
                  <c:v>Competencia Relevante</c:v>
                </c:pt>
              </c:strCache>
            </c:strRef>
          </c:tx>
          <c:spPr>
            <a:solidFill>
              <a:srgbClr val="a6a6a6"/>
            </a:solidFill>
            <a:ln w="381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'Datos ICP (2)'!$A$143:$A$300</c:f>
              <c:numCache>
                <c:formatCode>m/d/yyyy</c:formatCode>
                <c:ptCount val="158"/>
                <c:pt idx="0">
                  <c:v>8/31/2017</c:v>
                </c:pt>
                <c:pt idx="1">
                  <c:v>9/30/2017</c:v>
                </c:pt>
                <c:pt idx="2">
                  <c:v>10/31/2017</c:v>
                </c:pt>
                <c:pt idx="3">
                  <c:v>11/30/2017</c:v>
                </c:pt>
                <c:pt idx="4">
                  <c:v>12/31/2017</c:v>
                </c:pt>
                <c:pt idx="5">
                  <c:v>1/31/2018</c:v>
                </c:pt>
                <c:pt idx="6">
                  <c:v>2/28/2018</c:v>
                </c:pt>
                <c:pt idx="7">
                  <c:v>3/31/2018</c:v>
                </c:pt>
                <c:pt idx="8">
                  <c:v>4/30/2018</c:v>
                </c:pt>
                <c:pt idx="9">
                  <c:v>5/31/2018</c:v>
                </c:pt>
                <c:pt idx="10">
                  <c:v>6/30/2018</c:v>
                </c:pt>
                <c:pt idx="11">
                  <c:v>7/31/2018</c:v>
                </c:pt>
                <c:pt idx="12">
                  <c:v>8/31/2018</c:v>
                </c:pt>
                <c:pt idx="13">
                  <c:v>9/30/2018</c:v>
                </c:pt>
                <c:pt idx="14">
                  <c:v>10/31/2018</c:v>
                </c:pt>
                <c:pt idx="15">
                  <c:v>11/30/2018</c:v>
                </c:pt>
                <c:pt idx="16">
                  <c:v>12/31/2018</c:v>
                </c:pt>
                <c:pt idx="17">
                  <c:v>1/31/2019</c:v>
                </c:pt>
                <c:pt idx="18">
                  <c:v>2/28/2019</c:v>
                </c:pt>
                <c:pt idx="19">
                  <c:v>3/31/2019</c:v>
                </c:pt>
                <c:pt idx="20">
                  <c:v>4/30/2019</c:v>
                </c:pt>
                <c:pt idx="21">
                  <c:v>5/31/2019</c:v>
                </c:pt>
                <c:pt idx="22">
                  <c:v>6/30/2019</c:v>
                </c:pt>
                <c:pt idx="23">
                  <c:v>7/31/2019</c:v>
                </c:pt>
                <c:pt idx="24">
                  <c:v>8/31/2019</c:v>
                </c:pt>
                <c:pt idx="25">
                  <c:v>9/30/2019</c:v>
                </c:pt>
                <c:pt idx="26">
                  <c:v>10/31/2019</c:v>
                </c:pt>
                <c:pt idx="27">
                  <c:v>11/30/2019</c:v>
                </c:pt>
                <c:pt idx="28">
                  <c:v>12/31/2019</c:v>
                </c:pt>
                <c:pt idx="29">
                  <c:v>1/31/2020</c:v>
                </c:pt>
                <c:pt idx="30">
                  <c:v>2/29/2020</c:v>
                </c:pt>
                <c:pt idx="31">
                  <c:v>3/31/2020</c:v>
                </c:pt>
                <c:pt idx="32">
                  <c:v>4/30/2020</c:v>
                </c:pt>
                <c:pt idx="33">
                  <c:v>5/31/2020</c:v>
                </c:pt>
                <c:pt idx="34">
                  <c:v>6/30/2020</c:v>
                </c:pt>
                <c:pt idx="35">
                  <c:v>7/31/2020</c:v>
                </c:pt>
                <c:pt idx="36">
                  <c:v>8/31/2020</c:v>
                </c:pt>
                <c:pt idx="37">
                  <c:v>9/30/2020</c:v>
                </c:pt>
                <c:pt idx="38">
                  <c:v>10/31/2020</c:v>
                </c:pt>
                <c:pt idx="39">
                  <c:v>11/30/2020</c:v>
                </c:pt>
                <c:pt idx="40">
                  <c:v>12/31/2020</c:v>
                </c:pt>
                <c:pt idx="41">
                  <c:v>1/31/2021</c:v>
                </c:pt>
                <c:pt idx="42">
                  <c:v>2/28/2021</c:v>
                </c:pt>
                <c:pt idx="43">
                  <c:v>3/31/2021</c:v>
                </c:pt>
                <c:pt idx="44">
                  <c:v>4/30/2021</c:v>
                </c:pt>
                <c:pt idx="45">
                  <c:v>5/31/2021</c:v>
                </c:pt>
                <c:pt idx="46">
                  <c:v>6/30/2021</c:v>
                </c:pt>
                <c:pt idx="47">
                  <c:v>7/31/2021</c:v>
                </c:pt>
                <c:pt idx="48">
                  <c:v>8/31/2021</c:v>
                </c:pt>
                <c:pt idx="49">
                  <c:v>9/30/2021</c:v>
                </c:pt>
                <c:pt idx="50">
                  <c:v>10/31/2021</c:v>
                </c:pt>
                <c:pt idx="51">
                  <c:v>11/30/2021</c:v>
                </c:pt>
                <c:pt idx="52">
                  <c:v>12/31/2021</c:v>
                </c:pt>
                <c:pt idx="53">
                  <c:v>1/31/2022</c:v>
                </c:pt>
                <c:pt idx="54">
                  <c:v>2/28/2022</c:v>
                </c:pt>
                <c:pt idx="55">
                  <c:v>3/31/2022</c:v>
                </c:pt>
                <c:pt idx="56">
                  <c:v>4/30/2022</c:v>
                </c:pt>
                <c:pt idx="57">
                  <c:v>5/31/2022</c:v>
                </c:pt>
                <c:pt idx="58">
                  <c:v>6/30/2022</c:v>
                </c:pt>
                <c:pt idx="59">
                  <c:v>7/31/2022</c:v>
                </c:pt>
                <c:pt idx="60">
                  <c:v>8/31/2022</c:v>
                </c:pt>
                <c:pt idx="61">
                  <c:v>9/30/2022</c:v>
                </c:pt>
                <c:pt idx="62">
                  <c:v>10/28/2022</c:v>
                </c:pt>
                <c:pt idx="63">
                  <c:v>11/30/2022</c:v>
                </c:pt>
                <c:pt idx="64">
                  <c:v>12/30/2022</c:v>
                </c:pt>
                <c:pt idx="65">
                  <c:v>1/31/2023</c:v>
                </c:pt>
                <c:pt idx="66">
                  <c:v>2/28/2023</c:v>
                </c:pt>
                <c:pt idx="67">
                  <c:v>3/31/2023</c:v>
                </c:pt>
                <c:pt idx="68">
                  <c:v>4/28/2023</c:v>
                </c:pt>
                <c:pt idx="69">
                  <c:v>5/31/2023</c:v>
                </c:pt>
                <c:pt idx="70">
                  <c:v>6/30/2023</c:v>
                </c:pt>
                <c:pt idx="71">
                  <c:v>7/31/2023</c:v>
                </c:pt>
                <c:pt idx="72">
                  <c:v>8/31/2023</c:v>
                </c:pt>
                <c:pt idx="73">
                  <c:v>9/30/2023</c:v>
                </c:pt>
                <c:pt idx="74">
                  <c:v>10/31/2023</c:v>
                </c:pt>
                <c:pt idx="75">
                  <c:v>11/30/2023</c:v>
                </c:pt>
                <c:pt idx="76">
                  <c:v>12/31/2023</c:v>
                </c:pt>
                <c:pt idx="77">
                  <c:v>1/31/2024</c:v>
                </c:pt>
                <c:pt idx="78">
                  <c:v>2/29/2024</c:v>
                </c:pt>
                <c:pt idx="79">
                  <c:v>3/28/2024</c:v>
                </c:pt>
                <c:pt idx="80">
                  <c:v>4/30/2024</c:v>
                </c:pt>
                <c:pt idx="81">
                  <c:v>5/31/2024</c:v>
                </c:pt>
                <c:pt idx="82">
                  <c:v>6/30/2024</c:v>
                </c:pt>
                <c:pt idx="83">
                  <c:v>7/31/2024</c:v>
                </c:pt>
                <c:pt idx="84">
                  <c:v>8/31/2024</c:v>
                </c:pt>
                <c:pt idx="85">
                  <c:v>9/30/2024</c:v>
                </c:pt>
                <c:pt idx="86">
                  <c:v>10/31/2024</c:v>
                </c:pt>
                <c:pt idx="87">
                  <c:v>11/30/2024</c:v>
                </c:pt>
                <c:pt idx="88">
                  <c:v>12/31/2024</c:v>
                </c:pt>
                <c:pt idx="89">
                  <c:v>1/31/2025</c:v>
                </c:pt>
                <c:pt idx="90">
                  <c:v>2/28/2025</c:v>
                </c:pt>
                <c:pt idx="91">
                  <c:v>3/31/2025</c:v>
                </c:pt>
                <c:pt idx="92">
                  <c:v>4/30/2025</c:v>
                </c:pt>
                <c:pt idx="93">
                  <c:v>5/31/2025</c:v>
                </c:pt>
                <c:pt idx="94">
                  <c:v>6/30/2025</c:v>
                </c:pt>
                <c:pt idx="95">
                  <c:v>7/31/2025</c:v>
                </c:pt>
                <c:pt idx="96">
                  <c:v>8/31/2025</c:v>
                </c:pt>
                <c:pt idx="97">
                  <c:v>9/30/2025</c:v>
                </c:pt>
                <c:pt idx="98">
                  <c:v>10/31/2025</c:v>
                </c:pt>
                <c:pt idx="99">
                  <c:v>11/30/2025</c:v>
                </c:pt>
                <c:pt idx="100">
                  <c:v>12/31/2025</c:v>
                </c:pt>
                <c:pt idx="101">
                  <c:v>2026-04-30 0:00:00</c:v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</c:numCache>
            </c:numRef>
          </c:cat>
          <c:val>
            <c:numRef>
              <c:f>'Datos ICP (2)'!$M$128:$M$232</c:f>
              <c:numCache>
                <c:formatCode>General</c:formatCode>
                <c:ptCount val="105"/>
                <c:pt idx="0">
                  <c:v>155.65</c:v>
                </c:pt>
                <c:pt idx="1">
                  <c:v>155.971556804702</c:v>
                </c:pt>
                <c:pt idx="2">
                  <c:v>156.282407880426</c:v>
                </c:pt>
                <c:pt idx="3">
                  <c:v>156.585898080178</c:v>
                </c:pt>
                <c:pt idx="4">
                  <c:v>156.885617187799</c:v>
                </c:pt>
                <c:pt idx="5">
                  <c:v>157.186418172477</c:v>
                </c:pt>
                <c:pt idx="6">
                  <c:v>157.488043661331</c:v>
                </c:pt>
                <c:pt idx="7">
                  <c:v>157.79379231281</c:v>
                </c:pt>
                <c:pt idx="8">
                  <c:v>158.119899664093</c:v>
                </c:pt>
                <c:pt idx="9">
                  <c:v>158.388650821946</c:v>
                </c:pt>
                <c:pt idx="10">
                  <c:v>158.651953991292</c:v>
                </c:pt>
                <c:pt idx="11">
                  <c:v>158.894895806669</c:v>
                </c:pt>
                <c:pt idx="12">
                  <c:v>159.113316424816</c:v>
                </c:pt>
                <c:pt idx="13">
                  <c:v>159.315971656059</c:v>
                </c:pt>
                <c:pt idx="14">
                  <c:v>159.495082985991</c:v>
                </c:pt>
                <c:pt idx="15">
                  <c:v>159.668347101415</c:v>
                </c:pt>
                <c:pt idx="16">
                  <c:v>159.838991932686</c:v>
                </c:pt>
                <c:pt idx="17">
                  <c:v>160.007730890647</c:v>
                </c:pt>
                <c:pt idx="18">
                  <c:v>160.182668228182</c:v>
                </c:pt>
                <c:pt idx="19">
                  <c:v>160.358800881697</c:v>
                </c:pt>
                <c:pt idx="20">
                  <c:v>160.543465056259</c:v>
                </c:pt>
                <c:pt idx="21">
                  <c:v>160.722283893129</c:v>
                </c:pt>
                <c:pt idx="22">
                  <c:v>160.894191317551</c:v>
                </c:pt>
                <c:pt idx="23">
                  <c:v>161.060407598848</c:v>
                </c:pt>
                <c:pt idx="24">
                  <c:v>161.224903018372</c:v>
                </c:pt>
                <c:pt idx="25">
                  <c:v>161.388747107472</c:v>
                </c:pt>
                <c:pt idx="26">
                  <c:v>161.552659489321</c:v>
                </c:pt>
                <c:pt idx="27">
                  <c:v>161.717192685963</c:v>
                </c:pt>
                <c:pt idx="28">
                  <c:v>161.880418913925</c:v>
                </c:pt>
                <c:pt idx="29">
                  <c:v>162.05449816881</c:v>
                </c:pt>
                <c:pt idx="30">
                  <c:v>162.220657881086</c:v>
                </c:pt>
                <c:pt idx="31">
                  <c:v>162.439215542148</c:v>
                </c:pt>
                <c:pt idx="32">
                  <c:v>162.653800182888</c:v>
                </c:pt>
                <c:pt idx="33">
                  <c:v>162.880795489353</c:v>
                </c:pt>
                <c:pt idx="34">
                  <c:v>163.109189179289</c:v>
                </c:pt>
                <c:pt idx="35">
                  <c:v>163.340263833579</c:v>
                </c:pt>
                <c:pt idx="36">
                  <c:v>163.556408155899</c:v>
                </c:pt>
                <c:pt idx="37">
                  <c:v>163.752523940047</c:v>
                </c:pt>
                <c:pt idx="38">
                  <c:v>163.9168813719</c:v>
                </c:pt>
                <c:pt idx="39">
                  <c:v>164.069484800374</c:v>
                </c:pt>
                <c:pt idx="40">
                  <c:v>164.244769726483</c:v>
                </c:pt>
                <c:pt idx="41">
                  <c:v>164.348125362017</c:v>
                </c:pt>
                <c:pt idx="42">
                  <c:v>164.461809285635</c:v>
                </c:pt>
                <c:pt idx="43">
                  <c:v>164.560554264218</c:v>
                </c:pt>
                <c:pt idx="44">
                  <c:v>164.641855149159</c:v>
                </c:pt>
                <c:pt idx="45">
                  <c:v>164.723005684815</c:v>
                </c:pt>
                <c:pt idx="46">
                  <c:v>164.874218541248</c:v>
                </c:pt>
                <c:pt idx="47">
                  <c:v>165.236956105614</c:v>
                </c:pt>
                <c:pt idx="48">
                  <c:v>165.288214405384</c:v>
                </c:pt>
                <c:pt idx="49">
                  <c:v>165.304761127952</c:v>
                </c:pt>
                <c:pt idx="50">
                  <c:v>165.31921192508</c:v>
                </c:pt>
                <c:pt idx="51">
                  <c:v>165.335391161296</c:v>
                </c:pt>
                <c:pt idx="52">
                  <c:v>165.347108594915</c:v>
                </c:pt>
                <c:pt idx="53">
                  <c:v>165.357880585018</c:v>
                </c:pt>
                <c:pt idx="54">
                  <c:v>165.367956814654</c:v>
                </c:pt>
                <c:pt idx="55">
                  <c:v>165.377659085611</c:v>
                </c:pt>
                <c:pt idx="56">
                  <c:v>165.38595573403</c:v>
                </c:pt>
                <c:pt idx="57">
                  <c:v>165.39527127804</c:v>
                </c:pt>
                <c:pt idx="58">
                  <c:v>165.403920160678</c:v>
                </c:pt>
                <c:pt idx="59">
                  <c:v>165.41487930644</c:v>
                </c:pt>
                <c:pt idx="60">
                  <c:v>165.4244967689</c:v>
                </c:pt>
                <c:pt idx="61">
                  <c:v>165.434411204431</c:v>
                </c:pt>
                <c:pt idx="62">
                  <c:v>165.444318900034</c:v>
                </c:pt>
                <c:pt idx="63">
                  <c:v>165.454252665854</c:v>
                </c:pt>
                <c:pt idx="64">
                  <c:v>165.434767609061</c:v>
                </c:pt>
                <c:pt idx="65">
                  <c:v>165.59843960758</c:v>
                </c:pt>
                <c:pt idx="66">
                  <c:v>165.806965306656</c:v>
                </c:pt>
                <c:pt idx="67">
                  <c:v>166.099495681656</c:v>
                </c:pt>
                <c:pt idx="68">
                  <c:v>166.512869253575</c:v>
                </c:pt>
                <c:pt idx="69">
                  <c:v>167.101672721119</c:v>
                </c:pt>
                <c:pt idx="70">
                  <c:v>167.714980058018</c:v>
                </c:pt>
                <c:pt idx="71">
                  <c:v>168.481708084401</c:v>
                </c:pt>
                <c:pt idx="72">
                  <c:v>169.38018735115</c:v>
                </c:pt>
                <c:pt idx="73">
                  <c:v>170.376751173436</c:v>
                </c:pt>
                <c:pt idx="74">
                  <c:v>171.450432523979</c:v>
                </c:pt>
                <c:pt idx="75">
                  <c:v>172.616924085164</c:v>
                </c:pt>
                <c:pt idx="76">
                  <c:v>173.883197904764</c:v>
                </c:pt>
                <c:pt idx="77">
                  <c:v>175.232454414294</c:v>
                </c:pt>
                <c:pt idx="78">
                  <c:v>176.625043407879</c:v>
                </c:pt>
                <c:pt idx="79">
                  <c:v>178.025357122902</c:v>
                </c:pt>
                <c:pt idx="80">
                  <c:v>179.434201791767</c:v>
                </c:pt>
                <c:pt idx="81">
                  <c:v>180.854507227765</c:v>
                </c:pt>
                <c:pt idx="82">
                  <c:v>182.291491728053</c:v>
                </c:pt>
                <c:pt idx="83">
                  <c:v>183.748165931953</c:v>
                </c:pt>
                <c:pt idx="84">
                  <c:v>185.222340119734</c:v>
                </c:pt>
                <c:pt idx="85">
                  <c:v>186.704654384059</c:v>
                </c:pt>
                <c:pt idx="86">
                  <c:v>188.187054184016</c:v>
                </c:pt>
                <c:pt idx="87">
                  <c:v>189.570463157801</c:v>
                </c:pt>
                <c:pt idx="88">
                  <c:v>190.856665123002</c:v>
                </c:pt>
                <c:pt idx="89">
                  <c:v>192.089737587089</c:v>
                </c:pt>
                <c:pt idx="90">
                  <c:v>193.274848137697</c:v>
                </c:pt>
                <c:pt idx="91">
                  <c:v>194.416083469868</c:v>
                </c:pt>
                <c:pt idx="92">
                  <c:v>195.520855326074</c:v>
                </c:pt>
                <c:pt idx="93">
                  <c:v>196.549344398269</c:v>
                </c:pt>
                <c:pt idx="94">
                  <c:v>197.48649508822</c:v>
                </c:pt>
                <c:pt idx="95">
                  <c:v>198.333913953474</c:v>
                </c:pt>
                <c:pt idx="96">
                  <c:v>199.133864401542</c:v>
                </c:pt>
                <c:pt idx="97">
                  <c:v>199.860741464887</c:v>
                </c:pt>
                <c:pt idx="98">
                  <c:v>200.563630947412</c:v>
                </c:pt>
                <c:pt idx="99">
                  <c:v>201.267739221544</c:v>
                </c:pt>
                <c:pt idx="100">
                  <c:v>201.947107463434</c:v>
                </c:pt>
                <c:pt idx="101">
                  <c:v>202.613691803991</c:v>
                </c:pt>
                <c:pt idx="102">
                  <c:v>203.266183791684</c:v>
                </c:pt>
                <c:pt idx="103">
                  <c:v>203.901526194967</c:v>
                </c:pt>
                <c:pt idx="104">
                  <c:v>204.497486352911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022202"/>
        <c:axId val="79729191"/>
      </c:lineChart>
      <c:dateAx>
        <c:axId val="1702220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29191"/>
        <c:auto val="1"/>
        <c:lblOffset val="100"/>
        <c:baseTimeUnit val="months"/>
        <c:majorUnit val="2"/>
        <c:majorTimeUnit val="months"/>
        <c:minorUnit val="2"/>
        <c:minorTimeUnit val="months"/>
        <c:noMultiLvlLbl val="0"/>
      </c:dateAx>
      <c:valAx>
        <c:axId val="7972919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Indice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222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42469502761894"/>
          <c:y val="0.74003318132129"/>
          <c:w val="0.210730524292854"/>
          <c:h val="0.188200110746071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1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dd9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a6a6a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d9d9d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d4d4d4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composición!$K$3:$K$6</c:f>
              <c:strCache>
                <c:ptCount val="4"/>
                <c:pt idx="0">
                  <c:v>Menos de 1 mes</c:v>
                </c:pt>
                <c:pt idx="1">
                  <c:v>1-3 meses</c:v>
                </c:pt>
                <c:pt idx="2">
                  <c:v>3-4 meses</c:v>
                </c:pt>
                <c:pt idx="3">
                  <c:v>Más de 4 meses</c:v>
                </c:pt>
              </c:strCache>
            </c:strRef>
          </c:cat>
          <c:val>
            <c:numRef>
              <c:f>composición!$L$3:$L$6</c:f>
              <c:numCache>
                <c:formatCode>0.00%</c:formatCode>
                <c:ptCount val="4"/>
                <c:pt idx="0">
                  <c:v>0.413931820972385</c:v>
                </c:pt>
                <c:pt idx="1">
                  <c:v>0.586068179027615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explosion val="3"/>
          <c:dPt>
            <c:idx val="0"/>
            <c:explosion val="3"/>
            <c:spPr>
              <a:solidFill>
                <a:srgbClr val="fdd9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explosion val="3"/>
            <c:spPr>
              <a:solidFill>
                <a:srgbClr val="82828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explosion val="3"/>
            <c:spPr>
              <a:solidFill>
                <a:srgbClr val="85858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explosion val="3"/>
            <c:spPr>
              <a:solidFill>
                <a:srgbClr val="92929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explosion val="3"/>
            <c:spPr>
              <a:solidFill>
                <a:srgbClr val="9f9f9f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explosion val="3"/>
            <c:spPr>
              <a:solidFill>
                <a:srgbClr val="a6a6a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explosion val="3"/>
            <c:spPr>
              <a:solidFill>
                <a:srgbClr val="bfbfbf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composición!$O$2:$O$8</c:f>
              <c:strCache>
                <c:ptCount val="7"/>
                <c:pt idx="0">
                  <c:v>Bono</c:v>
                </c:pt>
                <c:pt idx="1">
                  <c:v>Depósitos</c:v>
                </c:pt>
                <c:pt idx="2">
                  <c:v>Factoring</c:v>
                </c:pt>
                <c:pt idx="3">
                  <c:v>Financiamiento Inmobiliario</c:v>
                </c:pt>
                <c:pt idx="4">
                  <c:v>Financiamiento Mesa Moneda Extranjera</c:v>
                </c:pt>
                <c:pt idx="5">
                  <c:v>Garantías</c:v>
                </c:pt>
                <c:pt idx="6">
                  <c:v>Nota Estructurada</c:v>
                </c:pt>
              </c:strCache>
            </c:strRef>
          </c:cat>
          <c:val>
            <c:numRef>
              <c:f>composición!$P$2:$P$8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0.110164638137013</c:v>
                </c:pt>
                <c:pt idx="4">
                  <c:v>0.889835361862987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dd9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a6a6a6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composición!$S$3:$S$4</c:f>
              <c:strCache>
                <c:ptCount val="2"/>
                <c:pt idx="0">
                  <c:v>Pesos</c:v>
                </c:pt>
                <c:pt idx="1">
                  <c:v>UF</c:v>
                </c:pt>
              </c:strCache>
            </c:strRef>
          </c:cat>
          <c:val>
            <c:numRef>
              <c:f>composición!$T$3:$T$4</c:f>
              <c:numCache>
                <c:formatCode>0.00%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45</xdr:col>
      <xdr:colOff>361800</xdr:colOff>
      <xdr:row>0</xdr:row>
      <xdr:rowOff>142920</xdr:rowOff>
    </xdr:from>
    <xdr:to>
      <xdr:col>51</xdr:col>
      <xdr:colOff>256680</xdr:colOff>
      <xdr:row>15</xdr:row>
      <xdr:rowOff>28440</xdr:rowOff>
    </xdr:to>
    <xdr:graphicFrame>
      <xdr:nvGraphicFramePr>
        <xdr:cNvPr id="0" name="Chart 1"/>
        <xdr:cNvGraphicFramePr/>
      </xdr:nvGraphicFramePr>
      <xdr:xfrm>
        <a:off x="34656120" y="142920"/>
        <a:ext cx="5525640" cy="260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87120</xdr:colOff>
      <xdr:row>247</xdr:row>
      <xdr:rowOff>119160</xdr:rowOff>
    </xdr:from>
    <xdr:to>
      <xdr:col>11</xdr:col>
      <xdr:colOff>550080</xdr:colOff>
      <xdr:row>276</xdr:row>
      <xdr:rowOff>25560</xdr:rowOff>
    </xdr:to>
    <xdr:graphicFrame>
      <xdr:nvGraphicFramePr>
        <xdr:cNvPr id="1" name="Chart 2"/>
        <xdr:cNvGraphicFramePr/>
      </xdr:nvGraphicFramePr>
      <xdr:xfrm>
        <a:off x="2310840" y="44867520"/>
        <a:ext cx="8865360" cy="515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106560</xdr:colOff>
      <xdr:row>33</xdr:row>
      <xdr:rowOff>34200</xdr:rowOff>
    </xdr:from>
    <xdr:to>
      <xdr:col>8</xdr:col>
      <xdr:colOff>715680</xdr:colOff>
      <xdr:row>48</xdr:row>
      <xdr:rowOff>33840</xdr:rowOff>
    </xdr:to>
    <xdr:graphicFrame>
      <xdr:nvGraphicFramePr>
        <xdr:cNvPr id="2" name="Chart 1"/>
        <xdr:cNvGraphicFramePr/>
      </xdr:nvGraphicFramePr>
      <xdr:xfrm>
        <a:off x="2950200" y="5644440"/>
        <a:ext cx="437148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76320</xdr:colOff>
      <xdr:row>18</xdr:row>
      <xdr:rowOff>34200</xdr:rowOff>
    </xdr:from>
    <xdr:to>
      <xdr:col>8</xdr:col>
      <xdr:colOff>685440</xdr:colOff>
      <xdr:row>33</xdr:row>
      <xdr:rowOff>33840</xdr:rowOff>
    </xdr:to>
    <xdr:graphicFrame>
      <xdr:nvGraphicFramePr>
        <xdr:cNvPr id="3" name="Chart 2"/>
        <xdr:cNvGraphicFramePr/>
      </xdr:nvGraphicFramePr>
      <xdr:xfrm>
        <a:off x="2919960" y="2929680"/>
        <a:ext cx="437148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175320</xdr:colOff>
      <xdr:row>1</xdr:row>
      <xdr:rowOff>167760</xdr:rowOff>
    </xdr:from>
    <xdr:to>
      <xdr:col>8</xdr:col>
      <xdr:colOff>784440</xdr:colOff>
      <xdr:row>18</xdr:row>
      <xdr:rowOff>167400</xdr:rowOff>
    </xdr:to>
    <xdr:graphicFrame>
      <xdr:nvGraphicFramePr>
        <xdr:cNvPr id="4" name="Chart 3"/>
        <xdr:cNvGraphicFramePr/>
      </xdr:nvGraphicFramePr>
      <xdr:xfrm>
        <a:off x="3018960" y="348840"/>
        <a:ext cx="4371480" cy="271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C:/Users/Jorge%20Valenzuela/Downloads/ICP%20hist&#243;rico%20(1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imple"/>
    </sheetNames>
    <sheetDataSet>
      <sheetData sheetId="0">
        <row r="3790">
          <cell r="A3790">
            <v>43041</v>
          </cell>
          <cell r="B3790">
            <v>17821.62</v>
          </cell>
        </row>
        <row r="3791">
          <cell r="A3791">
            <v>43042</v>
          </cell>
          <cell r="B3791">
            <v>17822.86</v>
          </cell>
        </row>
        <row r="3792">
          <cell r="A3792">
            <v>43045</v>
          </cell>
          <cell r="B3792">
            <v>17826.57</v>
          </cell>
        </row>
        <row r="3793">
          <cell r="A3793">
            <v>43046</v>
          </cell>
          <cell r="B3793">
            <v>17827.81</v>
          </cell>
        </row>
        <row r="3794">
          <cell r="A3794">
            <v>43047</v>
          </cell>
          <cell r="B3794">
            <v>17829.05</v>
          </cell>
        </row>
        <row r="3795">
          <cell r="A3795">
            <v>43048</v>
          </cell>
          <cell r="B3795">
            <v>17830.29</v>
          </cell>
        </row>
        <row r="3796">
          <cell r="A3796">
            <v>43049</v>
          </cell>
          <cell r="B3796">
            <v>17831.53</v>
          </cell>
        </row>
        <row r="3797">
          <cell r="A3797">
            <v>43052</v>
          </cell>
          <cell r="B3797">
            <v>17835.24</v>
          </cell>
        </row>
        <row r="3798">
          <cell r="A3798">
            <v>43053</v>
          </cell>
          <cell r="B3798">
            <v>17836.48</v>
          </cell>
        </row>
        <row r="3799">
          <cell r="A3799">
            <v>43054</v>
          </cell>
          <cell r="B3799">
            <v>17837.72</v>
          </cell>
        </row>
        <row r="3800">
          <cell r="A3800">
            <v>43055</v>
          </cell>
          <cell r="B3800">
            <v>17838.96</v>
          </cell>
        </row>
        <row r="3801">
          <cell r="A3801">
            <v>43056</v>
          </cell>
          <cell r="B3801">
            <v>17840.2</v>
          </cell>
        </row>
        <row r="3802">
          <cell r="A3802">
            <v>43059</v>
          </cell>
          <cell r="B3802">
            <v>17843.92</v>
          </cell>
        </row>
        <row r="3803">
          <cell r="A3803">
            <v>43060</v>
          </cell>
          <cell r="B3803">
            <v>17845.16</v>
          </cell>
        </row>
        <row r="3804">
          <cell r="A3804">
            <v>43061</v>
          </cell>
          <cell r="B3804">
            <v>17846.4</v>
          </cell>
        </row>
        <row r="3805">
          <cell r="A3805">
            <v>43062</v>
          </cell>
          <cell r="B3805">
            <v>17847.64</v>
          </cell>
        </row>
        <row r="3806">
          <cell r="A3806">
            <v>43063</v>
          </cell>
          <cell r="B3806">
            <v>17848.88</v>
          </cell>
        </row>
        <row r="3807">
          <cell r="A3807">
            <v>43066</v>
          </cell>
          <cell r="B3807">
            <v>17852.6</v>
          </cell>
        </row>
        <row r="3808">
          <cell r="A3808">
            <v>43067</v>
          </cell>
          <cell r="B3808">
            <v>17853.84</v>
          </cell>
        </row>
        <row r="3809">
          <cell r="A3809">
            <v>43068</v>
          </cell>
          <cell r="B3809">
            <v>17855.08</v>
          </cell>
        </row>
        <row r="3810">
          <cell r="A3810">
            <v>43069</v>
          </cell>
          <cell r="B3810">
            <v>17856.32</v>
          </cell>
        </row>
        <row r="3811">
          <cell r="A3811">
            <v>43070</v>
          </cell>
          <cell r="B3811">
            <v>17857.56</v>
          </cell>
        </row>
        <row r="3812">
          <cell r="A3812">
            <v>43073</v>
          </cell>
          <cell r="B3812">
            <v>17861.28</v>
          </cell>
        </row>
        <row r="3813">
          <cell r="A3813">
            <v>43074</v>
          </cell>
          <cell r="B3813">
            <v>17862.52</v>
          </cell>
        </row>
        <row r="3814">
          <cell r="A3814">
            <v>43075</v>
          </cell>
          <cell r="B3814">
            <v>17863.76</v>
          </cell>
        </row>
        <row r="3815">
          <cell r="A3815">
            <v>43076</v>
          </cell>
          <cell r="B3815">
            <v>17865</v>
          </cell>
        </row>
        <row r="3816">
          <cell r="A3816">
            <v>43080</v>
          </cell>
          <cell r="B3816">
            <v>17869.96</v>
          </cell>
        </row>
        <row r="3817">
          <cell r="A3817">
            <v>43081</v>
          </cell>
          <cell r="B3817">
            <v>17871.2</v>
          </cell>
        </row>
        <row r="3818">
          <cell r="A3818">
            <v>43082</v>
          </cell>
          <cell r="B3818">
            <v>17872.44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68.33"/>
  </cols>
  <sheetData>
    <row r="2" customFormat="false" ht="68.25" hidden="false" customHeight="true" outlineLevel="0" collapsed="false">
      <c r="A2" s="1" t="s">
        <v>0</v>
      </c>
    </row>
    <row r="3" customFormat="false" ht="16.5" hidden="false" customHeight="true" outlineLevel="0" collapsed="false">
      <c r="A3" s="1"/>
    </row>
    <row r="4" customFormat="false" ht="18" hidden="false" customHeight="true" outlineLevel="0" collapsed="false">
      <c r="A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44"/>
  <sheetViews>
    <sheetView showFormulas="false" showGridLines="false" showRowColHeaders="true" showZeros="true" rightToLeft="false" tabSelected="true" showOutlineSymbols="true" defaultGridColor="true" view="normal" topLeftCell="U1" colorId="64" zoomScale="90" zoomScaleNormal="90" zoomScalePageLayoutView="100" workbookViewId="0">
      <pane xSplit="0" ySplit="2" topLeftCell="A17" activePane="bottomLeft" state="frozen"/>
      <selection pane="topLeft" activeCell="U1" activeCellId="0" sqref="U1"/>
      <selection pane="bottomLeft" activeCell="H232" activeCellId="0" sqref="H232"/>
    </sheetView>
  </sheetViews>
  <sheetFormatPr defaultColWidth="12.3359375" defaultRowHeight="14.25" zeroHeight="false" outlineLevelRow="0" outlineLevelCol="0"/>
  <cols>
    <col collapsed="false" customWidth="true" hidden="false" outlineLevel="0" max="1" min="1" style="3" width="14.67"/>
    <col collapsed="false" customWidth="true" hidden="false" outlineLevel="0" max="2" min="2" style="3" width="16.89"/>
    <col collapsed="false" customWidth="false" hidden="false" outlineLevel="0" max="5" min="3" style="3" width="12.33"/>
    <col collapsed="false" customWidth="true" hidden="false" outlineLevel="0" max="6" min="6" style="3" width="16.11"/>
    <col collapsed="false" customWidth="true" hidden="false" outlineLevel="0" max="7" min="7" style="4" width="14.44"/>
    <col collapsed="false" customWidth="true" hidden="false" outlineLevel="0" max="8" min="8" style="4" width="14.11"/>
    <col collapsed="false" customWidth="false" hidden="false" outlineLevel="0" max="9" min="9" style="5" width="12.33"/>
    <col collapsed="false" customWidth="false" hidden="false" outlineLevel="0" max="10" min="10" style="3" width="12.33"/>
    <col collapsed="false" customWidth="true" hidden="false" outlineLevel="0" max="11" min="11" style="3" width="12.88"/>
    <col collapsed="false" customWidth="false" hidden="false" outlineLevel="0" max="12" min="12" style="3" width="12.33"/>
    <col collapsed="false" customWidth="true" hidden="false" outlineLevel="0" max="15" min="13" style="3" width="11.89"/>
    <col collapsed="false" customWidth="true" hidden="false" outlineLevel="0" max="16" min="16" style="3" width="15.44"/>
    <col collapsed="false" customWidth="true" hidden="false" outlineLevel="0" max="18" min="17" style="3" width="11.89"/>
    <col collapsed="false" customWidth="true" hidden="false" outlineLevel="0" max="19" min="19" style="3" width="17.11"/>
    <col collapsed="false" customWidth="true" hidden="false" outlineLevel="0" max="24" min="20" style="3" width="11.89"/>
    <col collapsed="false" customWidth="false" hidden="false" outlineLevel="0" max="25" min="25" style="3" width="12.33"/>
    <col collapsed="false" customWidth="true" hidden="false" outlineLevel="0" max="26" min="26" style="3" width="11.56"/>
    <col collapsed="false" customWidth="true" hidden="false" outlineLevel="0" max="27" min="27" style="3" width="10.88"/>
    <col collapsed="false" customWidth="true" hidden="false" outlineLevel="0" max="28" min="28" style="3" width="5.56"/>
    <col collapsed="false" customWidth="true" hidden="false" outlineLevel="0" max="29" min="29" style="3" width="6.11"/>
    <col collapsed="false" customWidth="true" hidden="false" outlineLevel="0" max="30" min="30" style="3" width="10.56"/>
    <col collapsed="false" customWidth="true" hidden="false" outlineLevel="0" max="31" min="31" style="3" width="7.67"/>
    <col collapsed="false" customWidth="true" hidden="false" outlineLevel="0" max="32" min="32" style="3" width="7.33"/>
    <col collapsed="false" customWidth="true" hidden="false" outlineLevel="0" max="33" min="33" style="3" width="8.34"/>
    <col collapsed="false" customWidth="true" hidden="false" outlineLevel="0" max="34" min="34" style="3" width="7.44"/>
    <col collapsed="false" customWidth="true" hidden="false" outlineLevel="0" max="35" min="35" style="3" width="7.88"/>
    <col collapsed="false" customWidth="true" hidden="false" outlineLevel="0" max="37" min="36" style="3" width="7.33"/>
    <col collapsed="false" customWidth="true" hidden="false" outlineLevel="0" max="38" min="38" style="3" width="8.44"/>
    <col collapsed="false" customWidth="true" hidden="false" outlineLevel="0" max="39" min="39" style="3" width="7.22"/>
    <col collapsed="false" customWidth="true" hidden="false" outlineLevel="0" max="40" min="40" style="3" width="7.56"/>
    <col collapsed="false" customWidth="true" hidden="false" outlineLevel="0" max="41" min="41" style="3" width="7.22"/>
    <col collapsed="false" customWidth="true" hidden="false" outlineLevel="0" max="42" min="42" style="3" width="7.44"/>
    <col collapsed="false" customWidth="true" hidden="false" outlineLevel="0" max="43" min="43" style="3" width="8.34"/>
    <col collapsed="false" customWidth="true" hidden="false" outlineLevel="0" max="44" min="44" style="3" width="3.88"/>
    <col collapsed="false" customWidth="true" hidden="false" outlineLevel="0" max="45" min="45" style="3" width="11.67"/>
    <col collapsed="false" customWidth="false" hidden="false" outlineLevel="0" max="46" min="46" style="3" width="12.33"/>
    <col collapsed="false" customWidth="true" hidden="false" outlineLevel="0" max="47" min="47" style="3" width="12.67"/>
    <col collapsed="false" customWidth="true" hidden="false" outlineLevel="0" max="48" min="48" style="3" width="11.67"/>
    <col collapsed="false" customWidth="true" hidden="false" outlineLevel="0" max="49" min="49" style="3" width="14.33"/>
    <col collapsed="false" customWidth="true" hidden="false" outlineLevel="0" max="50" min="50" style="3" width="14"/>
    <col collapsed="false" customWidth="true" hidden="false" outlineLevel="0" max="51" min="51" style="3" width="14.88"/>
    <col collapsed="false" customWidth="true" hidden="false" outlineLevel="0" max="52" min="52" style="3" width="14.56"/>
    <col collapsed="false" customWidth="true" hidden="false" outlineLevel="0" max="54" min="53" style="3" width="15.44"/>
    <col collapsed="false" customWidth="false" hidden="false" outlineLevel="0" max="16384" min="55" style="3" width="12.33"/>
  </cols>
  <sheetData>
    <row r="1" customFormat="false" ht="14.25" hidden="false" customHeight="false" outlineLevel="0" collapsed="false">
      <c r="A1" s="3" t="s">
        <v>1</v>
      </c>
      <c r="F1" s="3" t="s">
        <v>2</v>
      </c>
      <c r="AC1" s="6"/>
      <c r="AD1" s="7" t="s">
        <v>3</v>
      </c>
      <c r="AE1" s="8" t="s">
        <v>4</v>
      </c>
      <c r="AF1" s="8" t="s">
        <v>5</v>
      </c>
      <c r="AG1" s="8" t="s">
        <v>6</v>
      </c>
      <c r="AH1" s="8" t="s">
        <v>7</v>
      </c>
      <c r="AI1" s="8" t="s">
        <v>8</v>
      </c>
      <c r="AJ1" s="8" t="s">
        <v>9</v>
      </c>
      <c r="AK1" s="8" t="s">
        <v>10</v>
      </c>
      <c r="AL1" s="8" t="s">
        <v>11</v>
      </c>
      <c r="AM1" s="8" t="s">
        <v>12</v>
      </c>
      <c r="AN1" s="8" t="s">
        <v>13</v>
      </c>
      <c r="AO1" s="8" t="s">
        <v>14</v>
      </c>
      <c r="AP1" s="8" t="s">
        <v>15</v>
      </c>
      <c r="AQ1" s="8" t="s">
        <v>16</v>
      </c>
      <c r="AR1" s="9"/>
      <c r="AS1" s="9"/>
    </row>
    <row r="2" customFormat="false" ht="14.25" hidden="false" customHeight="false" outlineLevel="0" collapsed="false">
      <c r="A2" s="10" t="s">
        <v>17</v>
      </c>
      <c r="B2" s="10" t="s">
        <v>3</v>
      </c>
      <c r="C2" s="10"/>
      <c r="D2" s="10" t="s">
        <v>18</v>
      </c>
      <c r="E2" s="10"/>
      <c r="F2" s="10"/>
      <c r="G2" s="11"/>
      <c r="H2" s="11"/>
      <c r="J2" s="3" t="s">
        <v>19</v>
      </c>
      <c r="K2" s="12" t="s">
        <v>20</v>
      </c>
      <c r="L2" s="13"/>
      <c r="M2" s="3" t="s">
        <v>21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  <c r="Y2" s="3" t="s">
        <v>13</v>
      </c>
      <c r="Z2" s="3" t="s">
        <v>14</v>
      </c>
      <c r="AA2" s="3" t="s">
        <v>15</v>
      </c>
      <c r="AC2" s="6"/>
      <c r="AD2" s="14" t="n">
        <v>2006</v>
      </c>
      <c r="AE2" s="15" t="n">
        <v>0.00386190626614835</v>
      </c>
      <c r="AF2" s="15" t="n">
        <v>0.00372769085173086</v>
      </c>
      <c r="AG2" s="15" t="n">
        <v>0.00381918814495936</v>
      </c>
      <c r="AH2" s="15" t="n">
        <v>0.00388391479010748</v>
      </c>
      <c r="AI2" s="15" t="n">
        <v>0.00411096599361197</v>
      </c>
      <c r="AJ2" s="15" t="n">
        <v>0.00411313355597143</v>
      </c>
      <c r="AK2" s="15" t="n">
        <v>0.00415743559110015</v>
      </c>
      <c r="AL2" s="15" t="n">
        <v>0.00430204139754694</v>
      </c>
      <c r="AM2" s="15" t="n">
        <v>0.00435526834308157</v>
      </c>
      <c r="AN2" s="15" t="n">
        <v>0.0042992776993412</v>
      </c>
      <c r="AO2" s="15" t="n">
        <v>0.00438008520093725</v>
      </c>
      <c r="AP2" s="15" t="n">
        <v>0.00446533736745858</v>
      </c>
      <c r="AQ2" s="16" t="n">
        <f aca="false">AA3/N3-1</f>
        <v>0.0510675477534297</v>
      </c>
      <c r="AR2" s="9"/>
      <c r="AS2" s="9"/>
    </row>
    <row r="3" customFormat="false" ht="14.25" hidden="false" customHeight="false" outlineLevel="0" collapsed="false">
      <c r="A3" s="17" t="n">
        <v>38717</v>
      </c>
      <c r="B3" s="18" t="n">
        <v>10953.14</v>
      </c>
      <c r="D3" s="19" t="n">
        <f aca="false">B3/$B$3*100</f>
        <v>100</v>
      </c>
      <c r="E3" s="19"/>
      <c r="F3" s="19"/>
      <c r="K3" s="12"/>
      <c r="L3" s="13"/>
      <c r="N3" s="18" t="n">
        <f aca="false">B3</f>
        <v>10953.14</v>
      </c>
      <c r="O3" s="3" t="n">
        <v>2006</v>
      </c>
      <c r="P3" s="20" t="n">
        <v>10996.85</v>
      </c>
      <c r="Q3" s="20" t="n">
        <v>11035.11</v>
      </c>
      <c r="R3" s="20" t="n">
        <v>11078.66</v>
      </c>
      <c r="S3" s="20" t="n">
        <v>11118.82</v>
      </c>
      <c r="T3" s="20" t="n">
        <v>11169.1</v>
      </c>
      <c r="U3" s="20" t="n">
        <v>11215.04</v>
      </c>
      <c r="V3" s="20" t="n">
        <v>11263.22</v>
      </c>
      <c r="W3" s="20" t="n">
        <v>11313.29</v>
      </c>
      <c r="X3" s="20" t="n">
        <v>11360.92</v>
      </c>
      <c r="Y3" s="20" t="n">
        <v>11413.02</v>
      </c>
      <c r="Z3" s="20" t="n">
        <v>11463.01</v>
      </c>
      <c r="AA3" s="20" t="n">
        <v>11512.49</v>
      </c>
      <c r="AC3" s="6"/>
      <c r="AD3" s="21" t="n">
        <v>2007</v>
      </c>
      <c r="AE3" s="15" t="n">
        <v>0.00432257803165389</v>
      </c>
      <c r="AF3" s="15" t="n">
        <v>0.00420986083716054</v>
      </c>
      <c r="AG3" s="15" t="n">
        <v>0.00420402525515207</v>
      </c>
      <c r="AH3" s="15" t="n">
        <v>0.00423892793075653</v>
      </c>
      <c r="AI3" s="15" t="n">
        <v>0.00423035634307517</v>
      </c>
      <c r="AJ3" s="15" t="n">
        <v>0.00426059392943191</v>
      </c>
      <c r="AK3" s="15" t="n">
        <v>0.0043096223151768</v>
      </c>
      <c r="AL3" s="15" t="n">
        <v>0.00456284704040026</v>
      </c>
      <c r="AM3" s="15" t="n">
        <v>0.004774593876442</v>
      </c>
      <c r="AN3" s="15" t="n">
        <v>0.00480446203879073</v>
      </c>
      <c r="AO3" s="15" t="n">
        <v>0.00481356270091138</v>
      </c>
      <c r="AP3" s="15" t="n">
        <v>0.00445997205084178</v>
      </c>
      <c r="AQ3" s="22" t="n">
        <f aca="false">AA4/AA3-1</f>
        <v>0.0556013512281011</v>
      </c>
      <c r="AR3" s="9"/>
      <c r="AS3" s="9"/>
    </row>
    <row r="4" customFormat="false" ht="14.25" hidden="false" customHeight="false" outlineLevel="0" collapsed="false">
      <c r="A4" s="23" t="n">
        <v>38748</v>
      </c>
      <c r="B4" s="20" t="n">
        <v>10996.85</v>
      </c>
      <c r="C4" s="24" t="n">
        <f aca="false">(B4/B3-1)/(A4-A3)*30</f>
        <v>0.00386190626614835</v>
      </c>
      <c r="D4" s="19" t="n">
        <f aca="false">B4/$B$3*100</f>
        <v>100.399063647502</v>
      </c>
      <c r="E4" s="19"/>
      <c r="F4" s="19"/>
      <c r="K4" s="12" t="s">
        <v>22</v>
      </c>
      <c r="L4" s="13"/>
      <c r="O4" s="3" t="n">
        <v>2007</v>
      </c>
      <c r="P4" s="20" t="n">
        <v>11567.23</v>
      </c>
      <c r="Q4" s="20" t="n">
        <v>11612.68</v>
      </c>
      <c r="R4" s="20" t="n">
        <v>11661.5</v>
      </c>
      <c r="S4" s="20" t="n">
        <v>11712.58</v>
      </c>
      <c r="T4" s="20" t="n">
        <v>11763.78</v>
      </c>
      <c r="U4" s="20" t="n">
        <v>11812.23</v>
      </c>
      <c r="V4" s="20" t="n">
        <v>11866.53</v>
      </c>
      <c r="W4" s="20" t="n">
        <v>11922.48</v>
      </c>
      <c r="X4" s="20" t="n">
        <v>11975.61</v>
      </c>
      <c r="Y4" s="20" t="n">
        <v>12038.9</v>
      </c>
      <c r="Z4" s="20" t="n">
        <v>12096.85</v>
      </c>
      <c r="AA4" s="20" t="n">
        <v>12152.6</v>
      </c>
      <c r="AC4" s="6"/>
      <c r="AD4" s="14" t="n">
        <v>2008</v>
      </c>
      <c r="AE4" s="15" t="n">
        <v>0.0056172766427787</v>
      </c>
      <c r="AF4" s="15" t="n">
        <v>0.00522525026443619</v>
      </c>
      <c r="AG4" s="15" t="n">
        <v>0.00524405453249546</v>
      </c>
      <c r="AH4" s="15" t="n">
        <v>0.00524068024401991</v>
      </c>
      <c r="AI4" s="15" t="n">
        <v>0.00525926653769515</v>
      </c>
      <c r="AJ4" s="15" t="n">
        <v>0.00548554674088997</v>
      </c>
      <c r="AK4" s="15" t="n">
        <v>0.00591104323244138</v>
      </c>
      <c r="AL4" s="15" t="n">
        <v>0.00620334148740949</v>
      </c>
      <c r="AM4" s="15" t="n">
        <v>0.0068124770260921</v>
      </c>
      <c r="AN4" s="15" t="n">
        <v>0.00668657312371184</v>
      </c>
      <c r="AO4" s="15" t="n">
        <v>0.0071143807722579</v>
      </c>
      <c r="AP4" s="15" t="n">
        <v>0.00668628022256474</v>
      </c>
      <c r="AQ4" s="16" t="n">
        <f aca="false">AA5/AA4-1</f>
        <v>0.0751880256076889</v>
      </c>
      <c r="AR4" s="9"/>
      <c r="AS4" s="9"/>
    </row>
    <row r="5" customFormat="false" ht="14.25" hidden="false" customHeight="false" outlineLevel="0" collapsed="false">
      <c r="A5" s="17" t="n">
        <v>38776</v>
      </c>
      <c r="B5" s="20" t="n">
        <v>11035.11</v>
      </c>
      <c r="C5" s="24" t="n">
        <f aca="false">(B5/B4-1)/(A5-A4)*30</f>
        <v>0.00372769085173086</v>
      </c>
      <c r="D5" s="19" t="n">
        <f aca="false">B5/$B$3*100</f>
        <v>100.748369873844</v>
      </c>
      <c r="E5" s="19"/>
      <c r="F5" s="19"/>
      <c r="O5" s="3" t="n">
        <v>2008</v>
      </c>
      <c r="P5" s="20" t="n">
        <v>12223.14</v>
      </c>
      <c r="Q5" s="20" t="n">
        <v>12284.88</v>
      </c>
      <c r="R5" s="20" t="n">
        <v>12351.45</v>
      </c>
      <c r="S5" s="20" t="n">
        <v>12416.18</v>
      </c>
      <c r="T5" s="20" t="n">
        <v>12481.48</v>
      </c>
      <c r="U5" s="20" t="n">
        <v>12552.23</v>
      </c>
      <c r="V5" s="20" t="n">
        <v>12628.9</v>
      </c>
      <c r="W5" s="20" t="n">
        <v>12704.63</v>
      </c>
      <c r="X5" s="20" t="n">
        <v>12796.95</v>
      </c>
      <c r="Y5" s="20" t="n">
        <v>12885.37</v>
      </c>
      <c r="Z5" s="20" t="n">
        <v>12970.93</v>
      </c>
      <c r="AA5" s="20" t="n">
        <v>13066.33</v>
      </c>
      <c r="AC5" s="6"/>
      <c r="AD5" s="21" t="n">
        <v>2009</v>
      </c>
      <c r="AE5" s="15" t="n">
        <v>0.0064922591117782</v>
      </c>
      <c r="AF5" s="15" t="n">
        <v>0.00496398362252023</v>
      </c>
      <c r="AG5" s="15" t="n">
        <v>0.00277373791731671</v>
      </c>
      <c r="AH5" s="15" t="n">
        <v>0.00161796911671264</v>
      </c>
      <c r="AI5" s="15" t="n">
        <v>0.00111767554247918</v>
      </c>
      <c r="AJ5" s="15" t="n">
        <v>0.000855161752575523</v>
      </c>
      <c r="AK5" s="15" t="n">
        <v>0.000455525082647034</v>
      </c>
      <c r="AL5" s="15" t="n">
        <v>0.000344028739952433</v>
      </c>
      <c r="AM5" s="15" t="n">
        <v>0.000374152803103156</v>
      </c>
      <c r="AN5" s="15" t="n">
        <v>0.000352232999500712</v>
      </c>
      <c r="AO5" s="15" t="n">
        <v>0.000346562998396176</v>
      </c>
      <c r="AP5" s="15" t="n">
        <v>0.000362417248969413</v>
      </c>
      <c r="AQ5" s="22" t="n">
        <f aca="false">AA6/AA5-1</f>
        <v>0.0201410801655859</v>
      </c>
      <c r="AR5" s="9"/>
      <c r="AS5" s="9"/>
    </row>
    <row r="6" customFormat="false" ht="14.25" hidden="false" customHeight="false" outlineLevel="0" collapsed="false">
      <c r="A6" s="17" t="n">
        <v>38807</v>
      </c>
      <c r="B6" s="20" t="n">
        <v>11078.66</v>
      </c>
      <c r="C6" s="24" t="n">
        <f aca="false">(B6/B5-1)/(A6-A5)*30</f>
        <v>0.00381918814495936</v>
      </c>
      <c r="D6" s="19" t="n">
        <f aca="false">B6/$B$3*100</f>
        <v>101.145972753019</v>
      </c>
      <c r="E6" s="19"/>
      <c r="F6" s="19"/>
      <c r="O6" s="3" t="n">
        <v>2009</v>
      </c>
      <c r="P6" s="20" t="n">
        <v>13151.16</v>
      </c>
      <c r="Q6" s="20" t="n">
        <v>13212.09</v>
      </c>
      <c r="R6" s="20" t="n">
        <v>13251.18</v>
      </c>
      <c r="S6" s="20" t="n">
        <v>13272.62</v>
      </c>
      <c r="T6" s="20" t="n">
        <v>13286.96</v>
      </c>
      <c r="U6" s="20" t="n">
        <v>13299.08</v>
      </c>
      <c r="V6" s="20" t="n">
        <v>13305.34</v>
      </c>
      <c r="W6" s="20" t="n">
        <v>13310.07</v>
      </c>
      <c r="X6" s="20" t="n">
        <v>13315.05</v>
      </c>
      <c r="Y6" s="20" t="n">
        <v>13319.74</v>
      </c>
      <c r="Z6" s="20" t="n">
        <v>13324.51</v>
      </c>
      <c r="AA6" s="20" t="n">
        <v>13329.5</v>
      </c>
      <c r="AC6" s="6"/>
      <c r="AD6" s="14" t="n">
        <v>2010</v>
      </c>
      <c r="AE6" s="15" t="n">
        <v>0.000368640466892793</v>
      </c>
      <c r="AF6" s="15" t="n">
        <v>0.000343904927964735</v>
      </c>
      <c r="AG6" s="15" t="n">
        <v>0.000358496639571185</v>
      </c>
      <c r="AH6" s="15" t="n">
        <v>0.000362715540337399</v>
      </c>
      <c r="AI6" s="15" t="n">
        <v>0.00035306269076351</v>
      </c>
      <c r="AJ6" s="15" t="n">
        <v>0.000554161830231825</v>
      </c>
      <c r="AK6" s="15" t="n">
        <v>0.00097972441976224</v>
      </c>
      <c r="AL6" s="15" t="n">
        <v>0.00148749550433341</v>
      </c>
      <c r="AM6" s="15" t="n">
        <v>0.00183498429662565</v>
      </c>
      <c r="AN6" s="15" t="n">
        <v>0.00222779579443021</v>
      </c>
      <c r="AO6" s="15" t="n">
        <v>0.00239312341945575</v>
      </c>
      <c r="AP6" s="15" t="n">
        <v>0.00286453484791705</v>
      </c>
      <c r="AQ6" s="16" t="n">
        <f aca="false">AA7/AA6-1</f>
        <v>0.0145114220338347</v>
      </c>
      <c r="AR6" s="9"/>
      <c r="AS6" s="9"/>
    </row>
    <row r="7" customFormat="false" ht="14.25" hidden="false" customHeight="false" outlineLevel="0" collapsed="false">
      <c r="A7" s="17" t="n">
        <v>38835</v>
      </c>
      <c r="B7" s="20" t="n">
        <v>11118.82</v>
      </c>
      <c r="C7" s="24" t="n">
        <f aca="false">(B7/B6-1)/(A7-A6)*30</f>
        <v>0.00388391479010748</v>
      </c>
      <c r="D7" s="19" t="n">
        <f aca="false">B7/$B$3*100</f>
        <v>101.512625603252</v>
      </c>
      <c r="E7" s="19"/>
      <c r="F7" s="19"/>
      <c r="O7" s="3" t="n">
        <v>2010</v>
      </c>
      <c r="P7" s="20" t="n">
        <v>13334.25</v>
      </c>
      <c r="Q7" s="20" t="n">
        <v>13338.53</v>
      </c>
      <c r="R7" s="20" t="n">
        <v>13343.79</v>
      </c>
      <c r="S7" s="20" t="n">
        <v>13348.63</v>
      </c>
      <c r="T7" s="20" t="n">
        <v>13353.5</v>
      </c>
      <c r="U7" s="20" t="n">
        <v>13360.9</v>
      </c>
      <c r="V7" s="20" t="n">
        <v>13373.99</v>
      </c>
      <c r="W7" s="20" t="n">
        <v>13395.21</v>
      </c>
      <c r="X7" s="20" t="n">
        <v>13419.79</v>
      </c>
      <c r="Y7" s="20" t="n">
        <v>13448.69</v>
      </c>
      <c r="Z7" s="20" t="n">
        <v>13483.02</v>
      </c>
      <c r="AA7" s="20" t="n">
        <v>13522.93</v>
      </c>
      <c r="AC7" s="6"/>
      <c r="AD7" s="21" t="n">
        <v>2011</v>
      </c>
      <c r="AE7" s="15" t="n">
        <v>0.00244674022376755</v>
      </c>
      <c r="AF7" s="15" t="n">
        <v>0.00278029973496265</v>
      </c>
      <c r="AG7" s="15" t="n">
        <v>0.0031049363100028</v>
      </c>
      <c r="AH7" s="15" t="n">
        <v>0.00356791179598074</v>
      </c>
      <c r="AI7" s="15" t="n">
        <v>0.00398214857333289</v>
      </c>
      <c r="AJ7" s="15" t="n">
        <v>0.00427041290846564</v>
      </c>
      <c r="AK7" s="15" t="n">
        <v>0.00437789357650559</v>
      </c>
      <c r="AL7" s="15" t="n">
        <v>0.00438796915813318</v>
      </c>
      <c r="AM7" s="15" t="n">
        <v>0.00437629218752123</v>
      </c>
      <c r="AN7" s="15" t="n">
        <v>0.00396065116592525</v>
      </c>
      <c r="AO7" s="15" t="n">
        <v>0.0048179867708309</v>
      </c>
      <c r="AP7" s="15" t="n">
        <v>0.0043767676975266</v>
      </c>
      <c r="AQ7" s="22" t="n">
        <f aca="false">AA8/AA7-1</f>
        <v>0.0480443217557141</v>
      </c>
      <c r="AR7" s="9"/>
      <c r="AS7" s="9"/>
    </row>
    <row r="8" customFormat="false" ht="14.25" hidden="false" customHeight="false" outlineLevel="0" collapsed="false">
      <c r="A8" s="17" t="n">
        <v>38868</v>
      </c>
      <c r="B8" s="20" t="n">
        <v>11169.1</v>
      </c>
      <c r="C8" s="24" t="n">
        <f aca="false">(B8/B7-1)/(A8-A7)*30</f>
        <v>0.00411096599361197</v>
      </c>
      <c r="D8" s="19" t="n">
        <f aca="false">B8/$B$3*100</f>
        <v>101.971672050207</v>
      </c>
      <c r="E8" s="19"/>
      <c r="F8" s="19"/>
      <c r="O8" s="3" t="n">
        <v>2011</v>
      </c>
      <c r="P8" s="20" t="n">
        <v>13557.12</v>
      </c>
      <c r="Q8" s="20" t="n">
        <v>13592.3</v>
      </c>
      <c r="R8" s="20" t="n">
        <v>13635.91</v>
      </c>
      <c r="S8" s="20" t="n">
        <v>13682.94</v>
      </c>
      <c r="T8" s="20" t="n">
        <v>13741.06</v>
      </c>
      <c r="U8" s="20" t="n">
        <v>13799.74</v>
      </c>
      <c r="V8" s="20" t="n">
        <v>13858.14</v>
      </c>
      <c r="W8" s="20" t="n">
        <v>13925.03</v>
      </c>
      <c r="X8" s="20" t="n">
        <v>13985.97</v>
      </c>
      <c r="Y8" s="20" t="n">
        <v>14043.21</v>
      </c>
      <c r="Z8" s="20" t="n">
        <v>14110.87</v>
      </c>
      <c r="AA8" s="20" t="n">
        <v>14172.63</v>
      </c>
      <c r="AC8" s="6"/>
      <c r="AD8" s="14" t="n">
        <v>2012</v>
      </c>
      <c r="AE8" s="15" t="n">
        <v>0.00421697490162375</v>
      </c>
      <c r="AF8" s="15" t="n">
        <v>0.00416296258187693</v>
      </c>
      <c r="AG8" s="15" t="n">
        <v>0.00417457517908271</v>
      </c>
      <c r="AH8" s="15" t="n">
        <v>0.00417144675374423</v>
      </c>
      <c r="AI8" s="15" t="n">
        <v>0.00418509562178174</v>
      </c>
      <c r="AJ8" s="15" t="n">
        <v>0.00418579110415774</v>
      </c>
      <c r="AK8" s="15" t="n">
        <v>0.00415860342470799</v>
      </c>
      <c r="AL8" s="15" t="n">
        <v>0.0041571396122181</v>
      </c>
      <c r="AM8" s="15" t="n">
        <v>0.0041904825555607</v>
      </c>
      <c r="AN8" s="15" t="n">
        <v>0.0041920000237142</v>
      </c>
      <c r="AO8" s="15" t="n">
        <v>0.00418025825367718</v>
      </c>
      <c r="AP8" s="15" t="n">
        <v>0.00376790618891083</v>
      </c>
      <c r="AQ8" s="16" t="n">
        <f aca="false">AA9/AA8-1</f>
        <v>0.051900741076286</v>
      </c>
      <c r="AR8" s="9"/>
      <c r="AS8" s="9"/>
    </row>
    <row r="9" customFormat="false" ht="14.25" hidden="false" customHeight="false" outlineLevel="0" collapsed="false">
      <c r="A9" s="17" t="n">
        <v>38898</v>
      </c>
      <c r="B9" s="20" t="n">
        <v>11215.04</v>
      </c>
      <c r="C9" s="24" t="n">
        <f aca="false">(B9/B8-1)/(A9-A8)*30</f>
        <v>0.00411313355597143</v>
      </c>
      <c r="D9" s="19" t="n">
        <f aca="false">B9/$B$3*100</f>
        <v>102.391095156275</v>
      </c>
      <c r="E9" s="19"/>
      <c r="F9" s="19"/>
      <c r="O9" s="3" t="n">
        <v>2012</v>
      </c>
      <c r="P9" s="20" t="n">
        <v>14236.38</v>
      </c>
      <c r="Q9" s="20" t="n">
        <v>14293.67</v>
      </c>
      <c r="R9" s="20" t="n">
        <v>14353.34</v>
      </c>
      <c r="S9" s="20" t="n">
        <v>14415.21</v>
      </c>
      <c r="T9" s="20" t="n">
        <v>14477.55</v>
      </c>
      <c r="U9" s="20" t="n">
        <v>14536.13</v>
      </c>
      <c r="V9" s="20" t="n">
        <v>14600.61</v>
      </c>
      <c r="W9" s="20" t="n">
        <v>14663.33</v>
      </c>
      <c r="X9" s="20" t="n">
        <v>14720.68</v>
      </c>
      <c r="Y9" s="20" t="n">
        <v>14788.56</v>
      </c>
      <c r="Z9" s="20" t="n">
        <v>14850.38</v>
      </c>
      <c r="AA9" s="20" t="n">
        <v>14908.2</v>
      </c>
      <c r="AC9" s="6"/>
      <c r="AD9" s="21" t="n">
        <v>2013</v>
      </c>
      <c r="AE9" s="15" t="n">
        <v>0.00456860502403746</v>
      </c>
      <c r="AF9" s="15" t="n">
        <v>0.00417453266121161</v>
      </c>
      <c r="AG9" s="15" t="n">
        <v>0.00402938730701959</v>
      </c>
      <c r="AH9" s="15" t="n">
        <v>0.00430136179565985</v>
      </c>
      <c r="AI9" s="15" t="n">
        <v>0.00418691139971771</v>
      </c>
      <c r="AJ9" s="15" t="n">
        <v>0.00417586429228964</v>
      </c>
      <c r="AK9" s="15" t="n">
        <v>0.0041935429783752</v>
      </c>
      <c r="AL9" s="15" t="n">
        <v>0.00417700990933101</v>
      </c>
      <c r="AM9" s="15" t="n">
        <v>0.00417603134934674</v>
      </c>
      <c r="AN9" s="15" t="n">
        <v>0.00395880485699199</v>
      </c>
      <c r="AO9" s="15" t="n">
        <v>0.00403700978042654</v>
      </c>
      <c r="AP9" s="15" t="n">
        <v>0.00363951531406219</v>
      </c>
      <c r="AQ9" s="22" t="n">
        <f aca="false">AA10/AA9-1</f>
        <v>0.0514803933405776</v>
      </c>
      <c r="AR9" s="9"/>
      <c r="AS9" s="9"/>
    </row>
    <row r="10" customFormat="false" ht="14.25" hidden="false" customHeight="false" outlineLevel="0" collapsed="false">
      <c r="A10" s="17" t="n">
        <v>38929</v>
      </c>
      <c r="B10" s="20" t="n">
        <v>11263.22</v>
      </c>
      <c r="C10" s="24" t="n">
        <f aca="false">(B10/B9-1)/(A10-A9)*30</f>
        <v>0.00415743559110015</v>
      </c>
      <c r="D10" s="19" t="n">
        <f aca="false">B10/$B$3*100</f>
        <v>102.83096901893</v>
      </c>
      <c r="E10" s="19"/>
      <c r="F10" s="19"/>
      <c r="O10" s="3" t="n">
        <v>2013</v>
      </c>
      <c r="P10" s="20" t="n">
        <v>14978.58</v>
      </c>
      <c r="Q10" s="20" t="n">
        <v>15036.94</v>
      </c>
      <c r="R10" s="20" t="n">
        <v>15095.51</v>
      </c>
      <c r="S10" s="20" t="n">
        <v>15164.77</v>
      </c>
      <c r="T10" s="20" t="n">
        <v>15230.38</v>
      </c>
      <c r="U10" s="20" t="n">
        <v>15289.74</v>
      </c>
      <c r="V10" s="20" t="n">
        <v>15360.27</v>
      </c>
      <c r="W10" s="20" t="n">
        <v>15424.43</v>
      </c>
      <c r="X10" s="20" t="n">
        <v>15490.99</v>
      </c>
      <c r="Y10" s="20" t="n">
        <v>15554.36</v>
      </c>
      <c r="Z10" s="20" t="n">
        <v>15615.06</v>
      </c>
      <c r="AA10" s="20" t="n">
        <v>15675.68</v>
      </c>
      <c r="AC10" s="6"/>
      <c r="AD10" s="14" t="n">
        <v>2014</v>
      </c>
      <c r="AE10" s="15" t="n">
        <v>0.0038751212891769</v>
      </c>
      <c r="AF10" s="15" t="n">
        <v>0.00367752678494823</v>
      </c>
      <c r="AG10" s="15" t="n">
        <v>0.00343528358155682</v>
      </c>
      <c r="AH10" s="15" t="n">
        <v>0.00333784899924461</v>
      </c>
      <c r="AI10" s="15" t="n">
        <v>0.0033374356897462</v>
      </c>
      <c r="AJ10" s="15" t="n">
        <v>0.00333791962829792</v>
      </c>
      <c r="AK10" s="15" t="n">
        <v>0.00324302804883782</v>
      </c>
      <c r="AL10" s="15" t="n">
        <v>0.00305066918728811</v>
      </c>
      <c r="AM10" s="15" t="n">
        <v>0.0027827262259824</v>
      </c>
      <c r="AN10" s="15" t="n">
        <v>0.00254477121384836</v>
      </c>
      <c r="AO10" s="15" t="n">
        <v>0.00259576167120579</v>
      </c>
      <c r="AP10" s="15" t="n">
        <v>0.00242833106649904</v>
      </c>
      <c r="AQ10" s="16" t="n">
        <f aca="false">AA11/AA10-1</f>
        <v>0.0387740755105999</v>
      </c>
      <c r="AR10" s="9"/>
      <c r="AS10" s="9"/>
    </row>
    <row r="11" customFormat="false" ht="14.25" hidden="false" customHeight="false" outlineLevel="0" collapsed="false">
      <c r="A11" s="17" t="n">
        <v>38960</v>
      </c>
      <c r="B11" s="20" t="n">
        <v>11313.29</v>
      </c>
      <c r="C11" s="24" t="n">
        <f aca="false">(B11/B10-1)/(A11-A10)*30</f>
        <v>0.00430204139754694</v>
      </c>
      <c r="D11" s="19" t="n">
        <f aca="false">B11/$B$3*100</f>
        <v>103.288098207455</v>
      </c>
      <c r="E11" s="19"/>
      <c r="F11" s="19"/>
      <c r="O11" s="3" t="n">
        <v>2014</v>
      </c>
      <c r="P11" s="20" t="n">
        <v>15738.45</v>
      </c>
      <c r="Q11" s="20" t="n">
        <v>15792.47</v>
      </c>
      <c r="R11" s="20" t="n">
        <v>15848.53</v>
      </c>
      <c r="S11" s="20" t="n">
        <v>15901.43</v>
      </c>
      <c r="T11" s="20" t="n">
        <v>15954.5</v>
      </c>
      <c r="U11" s="20" t="n">
        <v>16009.53</v>
      </c>
      <c r="V11" s="20" t="n">
        <v>16063.18</v>
      </c>
      <c r="W11" s="20" t="n">
        <v>16110.55</v>
      </c>
      <c r="X11" s="20" t="n">
        <v>16158.37</v>
      </c>
      <c r="Y11" s="20" t="n">
        <v>16200.86</v>
      </c>
      <c r="Z11" s="20" t="n">
        <v>16240.11</v>
      </c>
      <c r="AA11" s="20" t="n">
        <v>16283.49</v>
      </c>
      <c r="AC11" s="6"/>
      <c r="AD11" s="21" t="n">
        <v>2015</v>
      </c>
      <c r="AE11" s="15" t="n">
        <v>0.00258912554986668</v>
      </c>
      <c r="AF11" s="15" t="n">
        <v>0.00250175993867666</v>
      </c>
      <c r="AG11" s="15" t="n">
        <v>0.00250477121103515</v>
      </c>
      <c r="AH11" s="15" t="n">
        <v>0.00250495353036917</v>
      </c>
      <c r="AI11" s="15" t="n">
        <v>0.00250183901099918</v>
      </c>
      <c r="AJ11" s="15" t="n">
        <v>0.00250233194669942</v>
      </c>
      <c r="AK11" s="15" t="n">
        <v>0.00250124984444025</v>
      </c>
      <c r="AL11" s="15" t="n">
        <v>0.00250064024291679</v>
      </c>
      <c r="AM11" s="15" t="n">
        <v>0.00250572573977292</v>
      </c>
      <c r="AN11" s="15" t="n">
        <v>0.00260270667087625</v>
      </c>
      <c r="AO11" s="15" t="n">
        <v>0.00271209739123785</v>
      </c>
      <c r="AP11" s="15" t="n">
        <v>0.00270220691786938</v>
      </c>
      <c r="AQ11" s="22" t="n">
        <f aca="false">AA12/AA11-1</f>
        <v>0.0315061451814078</v>
      </c>
      <c r="AR11" s="9"/>
      <c r="AS11" s="9"/>
    </row>
    <row r="12" customFormat="false" ht="14.25" hidden="false" customHeight="false" outlineLevel="0" collapsed="false">
      <c r="A12" s="17" t="n">
        <v>38989</v>
      </c>
      <c r="B12" s="20" t="n">
        <v>11360.92</v>
      </c>
      <c r="C12" s="24" t="n">
        <f aca="false">(B12/B11-1)/(A12-A11)*30</f>
        <v>0.00435526834308157</v>
      </c>
      <c r="D12" s="19" t="n">
        <f aca="false">B12/$B$3*100</f>
        <v>103.722950678983</v>
      </c>
      <c r="E12" s="19"/>
      <c r="F12" s="19"/>
      <c r="O12" s="3" t="n">
        <v>2015</v>
      </c>
      <c r="P12" s="20" t="n">
        <v>16325.65</v>
      </c>
      <c r="Q12" s="20" t="n">
        <v>16363.77</v>
      </c>
      <c r="R12" s="20" t="n">
        <v>16407.49</v>
      </c>
      <c r="S12" s="20" t="n">
        <v>16448.59</v>
      </c>
      <c r="T12" s="20" t="n">
        <v>16488.37</v>
      </c>
      <c r="U12" s="20" t="n">
        <v>16532.38</v>
      </c>
      <c r="V12" s="20" t="n">
        <v>16575.11</v>
      </c>
      <c r="W12" s="20" t="n">
        <v>16617.94</v>
      </c>
      <c r="X12" s="20" t="n">
        <v>16659.58</v>
      </c>
      <c r="Y12" s="20" t="n">
        <v>16702.94</v>
      </c>
      <c r="Z12" s="20" t="n">
        <v>16749.75</v>
      </c>
      <c r="AA12" s="20" t="n">
        <v>16796.52</v>
      </c>
      <c r="AC12" s="6"/>
      <c r="AD12" s="14" t="n">
        <v>2016</v>
      </c>
      <c r="AE12" s="15" t="n">
        <v>0.00302217774667121</v>
      </c>
      <c r="AF12" s="15" t="n">
        <v>0.00292064570015064</v>
      </c>
      <c r="AG12" s="15" t="n">
        <v>0.00292102170160664</v>
      </c>
      <c r="AH12" s="15" t="n">
        <v>0.0029201864337197</v>
      </c>
      <c r="AI12" s="15" t="n">
        <v>0.00292140107218071</v>
      </c>
      <c r="AJ12" s="15" t="n">
        <v>0.00292053779189994</v>
      </c>
      <c r="AK12" s="15" t="n">
        <v>0.00289846803993268</v>
      </c>
      <c r="AL12" s="15" t="n">
        <v>0.00294285760558838</v>
      </c>
      <c r="AM12" s="15" t="n">
        <v>0.00292011454894903</v>
      </c>
      <c r="AN12" s="15" t="n">
        <v>0.00292090550277028</v>
      </c>
      <c r="AO12" s="15" t="n">
        <v>0.00292018807560002</v>
      </c>
      <c r="AP12" s="15" t="n">
        <v>0.00294211401821993</v>
      </c>
      <c r="AQ12" s="16" t="n">
        <f aca="false">AA13/AA12-1</f>
        <v>0.0363438378902297</v>
      </c>
      <c r="AR12" s="25"/>
      <c r="AS12" s="9"/>
    </row>
    <row r="13" customFormat="false" ht="14.25" hidden="false" customHeight="false" outlineLevel="0" collapsed="false">
      <c r="A13" s="17" t="n">
        <v>39021</v>
      </c>
      <c r="B13" s="20" t="n">
        <v>11413.02</v>
      </c>
      <c r="C13" s="24" t="n">
        <f aca="false">(B13/B12-1)/(A13-A12)*30</f>
        <v>0.0042992776993412</v>
      </c>
      <c r="D13" s="19" t="n">
        <f aca="false">B13/$B$3*100</f>
        <v>104.198613365665</v>
      </c>
      <c r="E13" s="19"/>
      <c r="F13" s="19"/>
      <c r="O13" s="3" t="n">
        <v>2016</v>
      </c>
      <c r="P13" s="20" t="n">
        <v>16845.59</v>
      </c>
      <c r="Q13" s="20" t="n">
        <v>16896.43</v>
      </c>
      <c r="R13" s="20" t="n">
        <v>16947.43</v>
      </c>
      <c r="S13" s="20" t="n">
        <v>16995.27</v>
      </c>
      <c r="T13" s="20" t="n">
        <v>17048.23</v>
      </c>
      <c r="U13" s="20" t="n">
        <v>17098.02</v>
      </c>
      <c r="V13" s="20" t="n">
        <v>17149.62</v>
      </c>
      <c r="W13" s="20" t="n">
        <v>17201.38</v>
      </c>
      <c r="X13" s="20" t="n">
        <v>17251.69</v>
      </c>
      <c r="Y13" s="20" t="n">
        <f aca="false">+B133</f>
        <v>17303.68</v>
      </c>
      <c r="Z13" s="20" t="n">
        <f aca="false">+B134</f>
        <v>17354.21</v>
      </c>
      <c r="AA13" s="20" t="n">
        <f aca="false">+B135</f>
        <v>17406.97</v>
      </c>
      <c r="AC13" s="6"/>
      <c r="AD13" s="21" t="n">
        <v>2017</v>
      </c>
      <c r="AE13" s="15" t="n">
        <v>0.00280310406619276</v>
      </c>
      <c r="AF13" s="15" t="n">
        <v>0.00268019937197288</v>
      </c>
      <c r="AG13" s="15" t="n">
        <v>0.00261495681570322</v>
      </c>
      <c r="AH13" s="15" t="n">
        <v>0.00225491285505464</v>
      </c>
      <c r="AI13" s="15" t="n">
        <v>0.00235884042991986</v>
      </c>
      <c r="AJ13" s="15" t="n">
        <v>0.00208725757609263</v>
      </c>
      <c r="AK13" s="15" t="n">
        <v>0.00208692683846153</v>
      </c>
      <c r="AL13" s="15" t="n">
        <v>0.00208462236825332</v>
      </c>
      <c r="AM13" s="15" t="n">
        <v>0.00208250980763447</v>
      </c>
      <c r="AN13" s="15" t="n">
        <v>0.00208824412389173</v>
      </c>
      <c r="AO13" s="15" t="n">
        <v>0.00208595808442036</v>
      </c>
      <c r="AP13" s="15" t="n">
        <v>0.000873640257343073</v>
      </c>
      <c r="AQ13" s="22" t="n">
        <f aca="false">AA14/AA13-1</f>
        <v>0.0267404378820666</v>
      </c>
      <c r="AR13" s="25"/>
      <c r="AS13" s="9"/>
    </row>
    <row r="14" customFormat="false" ht="14.25" hidden="false" customHeight="false" outlineLevel="0" collapsed="false">
      <c r="A14" s="17" t="n">
        <v>39051</v>
      </c>
      <c r="B14" s="20" t="n">
        <v>11463.01</v>
      </c>
      <c r="C14" s="24" t="n">
        <f aca="false">(B14/B13-1)/(A14-A13)*30</f>
        <v>0.00438008520093725</v>
      </c>
      <c r="D14" s="19" t="n">
        <f aca="false">B14/$B$3*100</f>
        <v>104.655012170026</v>
      </c>
      <c r="E14" s="19"/>
      <c r="F14" s="19"/>
      <c r="O14" s="3" t="n">
        <v>2017</v>
      </c>
      <c r="P14" s="20" t="n">
        <f aca="false">+B136</f>
        <v>17457.39</v>
      </c>
      <c r="Q14" s="20" t="n">
        <f aca="false">+B137</f>
        <v>17501.06</v>
      </c>
      <c r="R14" s="20" t="n">
        <f aca="false">+B138</f>
        <v>17548.35</v>
      </c>
      <c r="S14" s="20" t="n">
        <f aca="false">+B139</f>
        <v>17587.92</v>
      </c>
      <c r="T14" s="20" t="n">
        <f aca="false">+B140</f>
        <v>17630.79</v>
      </c>
      <c r="U14" s="20" t="n">
        <f aca="false">+$B141</f>
        <v>17667.59</v>
      </c>
      <c r="V14" s="20" t="n">
        <f aca="false">+$B142</f>
        <v>17705.69</v>
      </c>
      <c r="W14" s="20" t="n">
        <f aca="false">+$B143</f>
        <v>17743.83</v>
      </c>
      <c r="X14" s="20" t="n">
        <f aca="false">+$B144</f>
        <v>17780.7817</v>
      </c>
      <c r="Y14" s="20" t="n">
        <f aca="false">+$B145</f>
        <v>17819.15</v>
      </c>
      <c r="Z14" s="20" t="n">
        <f aca="false">+$B146</f>
        <v>17856.32</v>
      </c>
      <c r="AA14" s="20" t="n">
        <f aca="false">+$B147</f>
        <v>17872.44</v>
      </c>
      <c r="AC14" s="6"/>
      <c r="AD14" s="14" t="n">
        <v>2018</v>
      </c>
      <c r="AE14" s="15" t="n">
        <v>0.00329431344320307</v>
      </c>
      <c r="AF14" s="15" t="n">
        <v>0.0020809275906505</v>
      </c>
      <c r="AG14" s="15" t="n">
        <v>0.00208541509050955</v>
      </c>
      <c r="AH14" s="15" t="n">
        <v>0.00207810036525014</v>
      </c>
      <c r="AI14" s="15" t="n">
        <v>0.00207125225755497</v>
      </c>
      <c r="AJ14" s="15" t="n">
        <v>0.00208774934509837</v>
      </c>
      <c r="AK14" s="15" t="n">
        <v>0.00208481942639968</v>
      </c>
      <c r="AL14" s="15" t="n">
        <v>0.00207620769367104</v>
      </c>
      <c r="AM14" s="15" t="n">
        <v>0.00204850697470471</v>
      </c>
      <c r="AN14" s="15" t="n">
        <v>0.00220232016640697</v>
      </c>
      <c r="AO14" s="15" t="n">
        <v>0.00229299572149211</v>
      </c>
      <c r="AP14" s="15" t="n">
        <v>0.00229128928489532</v>
      </c>
      <c r="AQ14" s="16" t="n">
        <f aca="false">+AA15/AA14-1</f>
        <v>0.0274301662224075</v>
      </c>
      <c r="AR14" s="25"/>
      <c r="AS14" s="9"/>
    </row>
    <row r="15" customFormat="false" ht="14.25" hidden="false" customHeight="false" outlineLevel="0" collapsed="false">
      <c r="A15" s="17" t="n">
        <v>39080</v>
      </c>
      <c r="B15" s="20" t="n">
        <v>11512.49</v>
      </c>
      <c r="C15" s="24" t="n">
        <f aca="false">(B15/B14-1)/(A15-A14)*30</f>
        <v>0.00446533736745858</v>
      </c>
      <c r="D15" s="19" t="n">
        <f aca="false">B15/$B$3*100</f>
        <v>105.106754775343</v>
      </c>
      <c r="E15" s="19"/>
      <c r="F15" s="19"/>
      <c r="O15" s="3" t="n">
        <v>2018</v>
      </c>
      <c r="P15" s="3" t="n">
        <f aca="false">+B148</f>
        <v>17933.28</v>
      </c>
      <c r="Q15" s="3" t="n">
        <f aca="false">+B149</f>
        <v>17968.11</v>
      </c>
      <c r="R15" s="3" t="n">
        <f aca="false">+B150</f>
        <v>18006.83</v>
      </c>
      <c r="S15" s="3" t="n">
        <f aca="false">+B151</f>
        <v>18044.25</v>
      </c>
      <c r="T15" s="18" t="n">
        <f aca="false">+B152</f>
        <v>18082.87</v>
      </c>
      <c r="U15" s="19" t="n">
        <f aca="false">+B153</f>
        <v>18120.6225</v>
      </c>
      <c r="V15" s="18" t="n">
        <f aca="false">+B154</f>
        <v>18159.66</v>
      </c>
      <c r="W15" s="18" t="n">
        <f aca="false">+B155</f>
        <v>18198.62</v>
      </c>
      <c r="X15" s="18" t="n">
        <f aca="false">+B156</f>
        <v>18235.9</v>
      </c>
      <c r="Y15" s="3" t="n">
        <f aca="false">+B157</f>
        <v>18277.4</v>
      </c>
      <c r="Z15" s="19" t="n">
        <f aca="false">+B158</f>
        <v>18319.31</v>
      </c>
      <c r="AA15" s="3" t="n">
        <f aca="false">+B159</f>
        <v>18362.684</v>
      </c>
      <c r="AC15" s="6"/>
      <c r="AD15" s="14" t="n">
        <v>2019</v>
      </c>
      <c r="AE15" s="15" t="n">
        <v>0.00237188602430805</v>
      </c>
      <c r="AF15" s="15" t="n">
        <f aca="false">+Q16/P16-1</f>
        <v>0.00225286279810244</v>
      </c>
      <c r="AG15" s="15" t="n">
        <f aca="false">+R16/Q16-1</f>
        <v>0.00258331544634016</v>
      </c>
      <c r="AH15" s="15" t="n">
        <f aca="false">+S16/R16-1</f>
        <v>0.00250042980360954</v>
      </c>
      <c r="AI15" s="15" t="n">
        <f aca="false">+T16/S16-1</f>
        <v>0.00258587170301361</v>
      </c>
      <c r="AJ15" s="15" t="n">
        <f aca="false">+U16/T16-1</f>
        <v>0.00222096474534483</v>
      </c>
      <c r="AK15" s="15" t="n">
        <f aca="false">+V16/U16-1</f>
        <v>0.00214680842042658</v>
      </c>
      <c r="AL15" s="15" t="n">
        <f aca="false">+W16/V16-1</f>
        <v>0.00215506276406074</v>
      </c>
      <c r="AM15" s="15" t="n">
        <f aca="false">+X16/W16-1</f>
        <v>0.00172183908660228</v>
      </c>
      <c r="AN15" s="15" t="n">
        <f aca="false">+Y16/X16-1</f>
        <v>0.00167150623880685</v>
      </c>
      <c r="AO15" s="15" t="n">
        <f aca="false">+Z16/Y16-1</f>
        <v>0.00142138128563651</v>
      </c>
      <c r="AP15" s="15" t="n">
        <f aca="false">+AA16/Z16-1</f>
        <v>0.00148329051167395</v>
      </c>
      <c r="AQ15" s="16" t="n">
        <f aca="false">+(AA16/AA15-1)/COUNTA(AE15:AP15)*12</f>
        <v>0.0254862524454487</v>
      </c>
      <c r="AR15" s="25" t="s">
        <v>23</v>
      </c>
      <c r="AS15" s="9"/>
    </row>
    <row r="16" customFormat="false" ht="14.25" hidden="false" customHeight="false" outlineLevel="0" collapsed="false">
      <c r="A16" s="17" t="n">
        <v>39113</v>
      </c>
      <c r="B16" s="20" t="n">
        <v>11567.23</v>
      </c>
      <c r="C16" s="24" t="n">
        <f aca="false">(B16/B15-1)/(A16-A15)*30</f>
        <v>0.00432257803165389</v>
      </c>
      <c r="D16" s="19" t="n">
        <f aca="false">B16/$B$3*100</f>
        <v>105.60652013943</v>
      </c>
      <c r="E16" s="19"/>
      <c r="F16" s="19"/>
      <c r="O16" s="3" t="n">
        <v>2019</v>
      </c>
      <c r="P16" s="3" t="n">
        <f aca="false">+B160</f>
        <v>18407.69</v>
      </c>
      <c r="Q16" s="3" t="n">
        <f aca="false">+B161</f>
        <v>18449.16</v>
      </c>
      <c r="R16" s="3" t="n">
        <f aca="false">+B162</f>
        <v>18496.82</v>
      </c>
      <c r="S16" s="3" t="n">
        <f aca="false">+B163</f>
        <v>18543.07</v>
      </c>
      <c r="T16" s="3" t="n">
        <f aca="false">+B164</f>
        <v>18591.02</v>
      </c>
      <c r="U16" s="3" t="n">
        <f aca="false">+B165</f>
        <v>18632.31</v>
      </c>
      <c r="V16" s="3" t="n">
        <f aca="false">+B166</f>
        <v>18672.31</v>
      </c>
      <c r="W16" s="3" t="n">
        <f aca="false">+B167</f>
        <v>18712.55</v>
      </c>
      <c r="X16" s="3" t="n">
        <f aca="false">+B168</f>
        <v>18744.77</v>
      </c>
      <c r="Y16" s="3" t="n">
        <f aca="false">+B169</f>
        <v>18776.102</v>
      </c>
      <c r="Z16" s="3" t="n">
        <f aca="false">+B170</f>
        <v>18802.79</v>
      </c>
      <c r="AA16" s="3" t="n">
        <f aca="false">+B171</f>
        <v>18830.68</v>
      </c>
      <c r="AC16" s="6"/>
      <c r="AD16" s="14" t="n">
        <v>2020</v>
      </c>
      <c r="AE16" s="15" t="n">
        <f aca="false">+P17/AA16-1</f>
        <v>0.00165580849974623</v>
      </c>
      <c r="AF16" s="15" t="n">
        <f aca="false">+Q17/P17-1</f>
        <v>0.00137985861415579</v>
      </c>
      <c r="AG16" s="15" t="n">
        <f aca="false">+R17/Q17-1</f>
        <v>0.00110564513286726</v>
      </c>
      <c r="AH16" s="15" t="n">
        <f aca="false">+S17/R17-1</f>
        <v>0.00048443129828124</v>
      </c>
      <c r="AI16" s="15" t="n">
        <f aca="false">+T17/S17-1</f>
        <v>0.000386405912274901</v>
      </c>
      <c r="AJ16" s="15" t="n">
        <f aca="false">+U17/T17-1</f>
        <v>0.000390483819491916</v>
      </c>
      <c r="AK16" s="15" t="n">
        <f aca="false">+V17/U17-1</f>
        <v>0.000428360983128151</v>
      </c>
      <c r="AL16" s="15" t="n">
        <f aca="false">+W17/V17-1</f>
        <v>0.00041973016893726</v>
      </c>
      <c r="AM16" s="15" t="n">
        <f aca="false">+X17/W17-1</f>
        <v>0.000394750243948305</v>
      </c>
      <c r="AN16" s="15" t="n">
        <f aca="false">+Y17/X17-1</f>
        <v>0.000372438103266815</v>
      </c>
      <c r="AO16" s="15" t="n">
        <f aca="false">+Z17/Y17-1</f>
        <v>0.00032958520252091</v>
      </c>
      <c r="AP16" s="15" t="n">
        <f aca="false">+AA17/Z17-1</f>
        <v>0.000390100308495622</v>
      </c>
      <c r="AQ16" s="16" t="n">
        <f aca="false">+(AA17/AA16-1)/COUNTA(AE16:AP16)*12</f>
        <v>0.00776392567873274</v>
      </c>
      <c r="AR16" s="25"/>
      <c r="AS16" s="9"/>
    </row>
    <row r="17" customFormat="false" ht="14.25" hidden="false" customHeight="false" outlineLevel="0" collapsed="false">
      <c r="A17" s="17" t="n">
        <v>39141</v>
      </c>
      <c r="B17" s="20" t="n">
        <v>11612.68</v>
      </c>
      <c r="C17" s="24" t="n">
        <f aca="false">(B17/B16-1)/(A17-A16)*30</f>
        <v>0.00420986083716054</v>
      </c>
      <c r="D17" s="19" t="n">
        <f aca="false">B17/$B$3*100</f>
        <v>106.021469642495</v>
      </c>
      <c r="E17" s="19"/>
      <c r="F17" s="19"/>
      <c r="O17" s="3" t="n">
        <v>2020</v>
      </c>
      <c r="P17" s="3" t="n">
        <f aca="false">+B172</f>
        <v>18861.86</v>
      </c>
      <c r="Q17" s="3" t="n">
        <f aca="false">+B173</f>
        <v>18887.8867</v>
      </c>
      <c r="R17" s="3" t="n">
        <f aca="false">+B174</f>
        <v>18908.77</v>
      </c>
      <c r="S17" s="3" t="n">
        <f aca="false">+B175</f>
        <v>18917.93</v>
      </c>
      <c r="T17" s="3" t="n">
        <f aca="false">+B176</f>
        <v>18925.24</v>
      </c>
      <c r="U17" s="3" t="n">
        <f aca="false">+B177</f>
        <v>18932.63</v>
      </c>
      <c r="V17" s="3" t="n">
        <f aca="false">+B178</f>
        <v>18940.74</v>
      </c>
      <c r="W17" s="3" t="n">
        <f aca="false">+B179</f>
        <v>18948.69</v>
      </c>
      <c r="X17" s="3" t="n">
        <f aca="false">+B180</f>
        <v>18956.17</v>
      </c>
      <c r="Y17" s="3" t="n">
        <f aca="false">+B181</f>
        <v>18963.23</v>
      </c>
      <c r="Z17" s="19" t="n">
        <f aca="false">+B182</f>
        <v>18969.48</v>
      </c>
      <c r="AA17" s="3" t="n">
        <f aca="false">+B183</f>
        <v>18976.88</v>
      </c>
      <c r="AC17" s="6"/>
      <c r="AD17" s="14" t="n">
        <v>2021</v>
      </c>
      <c r="AE17" s="15" t="n">
        <f aca="false">+P18/AA17-1</f>
        <v>0.000271909818684524</v>
      </c>
      <c r="AF17" s="15" t="n">
        <f aca="false">+Q18/P18-1</f>
        <v>0.000239173450272023</v>
      </c>
      <c r="AG17" s="15" t="n">
        <f aca="false">+R18/Q18-1</f>
        <v>0.000259130396311313</v>
      </c>
      <c r="AH17" s="15" t="n">
        <f aca="false">+S18/R18-1</f>
        <v>0.000294342205723552</v>
      </c>
      <c r="AI17" s="15" t="n">
        <f aca="false">+T18/S18-1</f>
        <v>0.000242668745581653</v>
      </c>
      <c r="AJ17" s="15" t="n">
        <f aca="false">+U18/T18-1</f>
        <v>0.000272607187777885</v>
      </c>
      <c r="AK17" s="15" t="n">
        <f aca="false">+V18/U18-1</f>
        <v>0.000501923514011571</v>
      </c>
      <c r="AL17" s="15" t="n">
        <f aca="false">+W18/V18-1</f>
        <v>0.00062893015614951</v>
      </c>
      <c r="AM17" s="15" t="n">
        <f aca="false">+X18/W18-1</f>
        <v>0.00124761014863051</v>
      </c>
      <c r="AN17" s="15" t="n">
        <f aca="false">+Y18/X18-1</f>
        <v>0.00207168546072567</v>
      </c>
      <c r="AO17" s="15" t="n">
        <f aca="false">+Z18/Y18-1</f>
        <v>0.00214125696183509</v>
      </c>
      <c r="AP17" s="15" t="n">
        <f aca="false">+AA18/Z18-1</f>
        <v>0.0031851611422884</v>
      </c>
      <c r="AQ17" s="16" t="n">
        <f aca="false">+(AA18/AA17-1)/COUNTA(AE17:AP17)*12</f>
        <v>0.0114102002015084</v>
      </c>
      <c r="AR17" s="25"/>
      <c r="AS17" s="9"/>
    </row>
    <row r="18" customFormat="false" ht="14.25" hidden="false" customHeight="false" outlineLevel="0" collapsed="false">
      <c r="A18" s="17" t="n">
        <v>39171</v>
      </c>
      <c r="B18" s="20" t="n">
        <v>11661.5</v>
      </c>
      <c r="C18" s="24" t="n">
        <f aca="false">(B18/B17-1)/(A18-A17)*30</f>
        <v>0.00420402525515207</v>
      </c>
      <c r="D18" s="19" t="n">
        <f aca="false">B18/$B$3*100</f>
        <v>106.467186578461</v>
      </c>
      <c r="E18" s="19"/>
      <c r="F18" s="19"/>
      <c r="O18" s="3" t="n">
        <v>2021</v>
      </c>
      <c r="P18" s="3" t="n">
        <f aca="false">+B184</f>
        <v>18982.04</v>
      </c>
      <c r="Q18" s="3" t="n">
        <f aca="false">+B185</f>
        <v>18986.58</v>
      </c>
      <c r="R18" s="19" t="n">
        <f aca="false">+B186</f>
        <v>18991.5</v>
      </c>
      <c r="S18" s="3" t="n">
        <f aca="false">+B187</f>
        <v>18997.09</v>
      </c>
      <c r="T18" s="3" t="n">
        <f aca="false">+B188</f>
        <v>19001.7</v>
      </c>
      <c r="U18" s="3" t="n">
        <f aca="false">+B189</f>
        <v>19006.88</v>
      </c>
      <c r="V18" s="3" t="n">
        <f aca="false">+B190</f>
        <v>19016.42</v>
      </c>
      <c r="W18" s="3" t="n">
        <f aca="false">+B191</f>
        <v>19028.38</v>
      </c>
      <c r="X18" s="3" t="n">
        <f aca="false">+B192</f>
        <v>19052.12</v>
      </c>
      <c r="Y18" s="3" t="n">
        <f aca="false">+B193</f>
        <v>19091.59</v>
      </c>
      <c r="Z18" s="3" t="n">
        <f aca="false">+B194</f>
        <v>19132.47</v>
      </c>
      <c r="AA18" s="3" t="n">
        <f aca="false">+B195</f>
        <v>19193.41</v>
      </c>
      <c r="AC18" s="6"/>
      <c r="AD18" s="14" t="n">
        <v>2022</v>
      </c>
      <c r="AE18" s="15" t="n">
        <f aca="false">+P19/AA18-1</f>
        <v>0.00343555418239894</v>
      </c>
      <c r="AF18" s="15" t="n">
        <f aca="false">+Q19/P19-1</f>
        <v>0.0042862298052635</v>
      </c>
      <c r="AG18" s="15" t="n">
        <f aca="false">+R19/Q19-1</f>
        <v>0.00483147984427568</v>
      </c>
      <c r="AH18" s="15" t="n">
        <f aca="false">+S19/R19-1</f>
        <v>0.00545243589644651</v>
      </c>
      <c r="AI18" s="15" t="n">
        <f aca="false">+T19/S19-1</f>
        <v>0.00711313258265056</v>
      </c>
      <c r="AJ18" s="15" t="n">
        <f aca="false">+U19/T19-1</f>
        <v>0.00735963642867588</v>
      </c>
      <c r="AK18" s="15" t="n">
        <f aca="false">+V19/U19-1</f>
        <v>0.00758934606328521</v>
      </c>
      <c r="AL18" s="15" t="n">
        <f aca="false">+W19/V19-1</f>
        <v>0.00897594167289917</v>
      </c>
      <c r="AM18" s="15" t="n">
        <f aca="false">+X19/W19-1</f>
        <v>0.00879983646672877</v>
      </c>
      <c r="AN18" s="15" t="n">
        <f aca="false">+Y19/X19-1</f>
        <v>0.00860306861798099</v>
      </c>
      <c r="AO18" s="15" t="n">
        <f aca="false">+Z19/Y19-1</f>
        <v>0.0103612389794803</v>
      </c>
      <c r="AP18" s="15" t="n">
        <f aca="false">+AA19/Z19-1</f>
        <v>0.00941665122241275</v>
      </c>
      <c r="AQ18" s="16" t="n">
        <f aca="false">+(AA19/AA18-1)/COUNTA(AE18:AP18)*12</f>
        <v>0.0896859911813484</v>
      </c>
      <c r="AR18" s="25"/>
      <c r="AS18" s="9"/>
      <c r="AV18" s="6"/>
      <c r="AW18" s="6"/>
      <c r="AX18" s="6" t="n">
        <v>-1</v>
      </c>
      <c r="AY18" s="6" t="n">
        <v>-3</v>
      </c>
      <c r="AZ18" s="6" t="n">
        <v>-6</v>
      </c>
      <c r="BA18" s="6" t="n">
        <v>-12</v>
      </c>
      <c r="BB18" s="6"/>
    </row>
    <row r="19" customFormat="false" ht="14.25" hidden="false" customHeight="false" outlineLevel="0" collapsed="false">
      <c r="A19" s="17" t="n">
        <v>39202</v>
      </c>
      <c r="B19" s="20" t="n">
        <v>11712.58</v>
      </c>
      <c r="C19" s="24" t="n">
        <f aca="false">(B19/B18-1)/(A19-A18)*30</f>
        <v>0.00423892793075653</v>
      </c>
      <c r="D19" s="19" t="n">
        <f aca="false">B19/$B$3*100</f>
        <v>106.933536867054</v>
      </c>
      <c r="E19" s="19"/>
      <c r="F19" s="19"/>
      <c r="O19" s="3" t="n">
        <v>2022</v>
      </c>
      <c r="P19" s="3" t="n">
        <f aca="false">+B196</f>
        <v>19259.35</v>
      </c>
      <c r="Q19" s="19" t="n">
        <f aca="false">+B197</f>
        <v>19341.9</v>
      </c>
      <c r="R19" s="19" t="n">
        <f aca="false">+B198</f>
        <v>19435.35</v>
      </c>
      <c r="S19" s="3" t="n">
        <f aca="false">+B199</f>
        <v>19541.32</v>
      </c>
      <c r="T19" s="3" t="n">
        <f aca="false">+B200</f>
        <v>19680.32</v>
      </c>
      <c r="U19" s="3" t="n">
        <f aca="false">+B201</f>
        <v>19825.16</v>
      </c>
      <c r="V19" s="3" t="n">
        <f aca="false">+B202</f>
        <v>19975.62</v>
      </c>
      <c r="W19" s="3" t="n">
        <f aca="false">+B203</f>
        <v>20154.92</v>
      </c>
      <c r="X19" s="3" t="n">
        <f aca="false">+B204</f>
        <v>20332.28</v>
      </c>
      <c r="Y19" s="3" t="n">
        <f aca="false">+B205</f>
        <v>20507.2</v>
      </c>
      <c r="Z19" s="3" t="n">
        <f aca="false">+B206</f>
        <v>20719.68</v>
      </c>
      <c r="AA19" s="3" t="n">
        <f aca="false">+B207</f>
        <v>20914.79</v>
      </c>
      <c r="AC19" s="6"/>
      <c r="AD19" s="14" t="n">
        <v>2023</v>
      </c>
      <c r="AE19" s="15" t="n">
        <f aca="false">+P20/AA19-1</f>
        <v>0.0100469572011002</v>
      </c>
      <c r="AF19" s="15" t="n">
        <f aca="false">+Q20/P20-1</f>
        <v>0.0087853587137845</v>
      </c>
      <c r="AG19" s="15" t="n">
        <f aca="false">+R20/Q20-1</f>
        <v>0.00973181777442234</v>
      </c>
      <c r="AH19" s="15" t="n">
        <f aca="false">+S20/R20-1</f>
        <v>0.00878524391320701</v>
      </c>
      <c r="AI19" s="15" t="n">
        <f aca="false">+T20/S20-1</f>
        <v>0.0103616631363057</v>
      </c>
      <c r="AJ19" s="15" t="n">
        <f aca="false">+U20/T20-1</f>
        <v>0.00941507013085063</v>
      </c>
      <c r="AK19" s="15" t="n">
        <f aca="false">+V20/U20-1</f>
        <v>0.00973152922417442</v>
      </c>
      <c r="AL19" s="15" t="n">
        <f aca="false">+W20/V20-1</f>
        <v>0.00886337395135217</v>
      </c>
      <c r="AM19" s="15" t="n">
        <f aca="false">+X20/W20-1</f>
        <v>0.00779534514134506</v>
      </c>
      <c r="AN19" s="15" t="n">
        <f aca="false">+Y20/X20-1</f>
        <v>0.00846015350417906</v>
      </c>
      <c r="AO19" s="15" t="n">
        <f aca="false">+Z20/Y20-1</f>
        <v>0.00752661431064561</v>
      </c>
      <c r="AP19" s="15" t="n">
        <f aca="false">+AA20/Z20-1</f>
        <v>0.00708194994827327</v>
      </c>
      <c r="AQ19" s="16" t="n">
        <f aca="false">+(AA20/AA19-1)/COUNTA(AE19:AP19)*12</f>
        <v>0.111942792636216</v>
      </c>
      <c r="AR19" s="25"/>
      <c r="AS19" s="9"/>
      <c r="AV19" s="26" t="s">
        <v>24</v>
      </c>
      <c r="AW19" s="27" t="n">
        <v>46142</v>
      </c>
      <c r="AX19" s="28" t="n">
        <f aca="false">EOMONTH($AW19,AX18)</f>
        <v>46112</v>
      </c>
      <c r="AY19" s="28" t="n">
        <f aca="false">EOMONTH($AW19,AY18)</f>
        <v>46053</v>
      </c>
      <c r="AZ19" s="28" t="n">
        <f aca="false">EOMONTH($AW19,AZ18)</f>
        <v>45961</v>
      </c>
      <c r="BA19" s="28" t="n">
        <f aca="false">EOMONTH($AW19,BA18)</f>
        <v>45777</v>
      </c>
      <c r="BB19" s="28" t="n">
        <v>43100</v>
      </c>
    </row>
    <row r="20" customFormat="false" ht="14.25" hidden="false" customHeight="false" outlineLevel="0" collapsed="false">
      <c r="A20" s="17" t="n">
        <v>39233</v>
      </c>
      <c r="B20" s="20" t="n">
        <v>11763.78</v>
      </c>
      <c r="C20" s="24" t="n">
        <f aca="false">(B20/B19-1)/(A20-A19)*30</f>
        <v>0.00423035634307517</v>
      </c>
      <c r="D20" s="19" t="n">
        <f aca="false">B20/$B$3*100</f>
        <v>107.400982731892</v>
      </c>
      <c r="E20" s="19"/>
      <c r="F20" s="19"/>
      <c r="O20" s="3" t="n">
        <v>2023</v>
      </c>
      <c r="P20" s="3" t="n">
        <f aca="false">+B208</f>
        <v>21124.92</v>
      </c>
      <c r="Q20" s="19" t="n">
        <f aca="false">+B209</f>
        <v>21310.51</v>
      </c>
      <c r="R20" s="19" t="n">
        <f aca="false">+B210</f>
        <v>21517.9</v>
      </c>
      <c r="S20" s="3" t="n">
        <f aca="false">+B211</f>
        <v>21706.94</v>
      </c>
      <c r="T20" s="3" t="n">
        <f aca="false">+B212</f>
        <v>21931.86</v>
      </c>
      <c r="U20" s="3" t="n">
        <f aca="false">+B213</f>
        <v>22138.35</v>
      </c>
      <c r="V20" s="3" t="n">
        <f aca="false">+B214</f>
        <v>22353.79</v>
      </c>
      <c r="W20" s="3" t="n">
        <f aca="false">+B215</f>
        <v>22551.92</v>
      </c>
      <c r="X20" s="3" t="n">
        <f aca="false">+B216</f>
        <v>22727.72</v>
      </c>
      <c r="Y20" s="19" t="n">
        <f aca="false">+B217</f>
        <v>22920</v>
      </c>
      <c r="Z20" s="3" t="n">
        <f aca="false">+B218</f>
        <v>23092.51</v>
      </c>
      <c r="AA20" s="3" t="n">
        <f aca="false">+B219</f>
        <v>23256.05</v>
      </c>
      <c r="AC20" s="6"/>
      <c r="AD20" s="14" t="n">
        <v>2024</v>
      </c>
      <c r="AE20" s="15" t="n">
        <f aca="false">+P21/AA20-1</f>
        <v>0.00735722532416316</v>
      </c>
      <c r="AF20" s="15" t="n">
        <f aca="false">+Q21/P21-1</f>
        <v>0.00611213912063557</v>
      </c>
      <c r="AG20" s="15" t="n">
        <f aca="false">+R21/Q21-1</f>
        <v>0.00564735171406094</v>
      </c>
      <c r="AH20" s="15" t="n">
        <f aca="false">+S21/R21-1</f>
        <v>0.00609278396182833</v>
      </c>
      <c r="AI20" s="15" t="n">
        <f aca="false">+T21/S21-1</f>
        <v>0.00551411929031809</v>
      </c>
      <c r="AJ20" s="15" t="n">
        <f aca="false">+U21/T21-1</f>
        <v>0.00461354906321554</v>
      </c>
      <c r="AK20" s="15" t="n">
        <f aca="false">+V21/U21-1</f>
        <v>0.00528435035284347</v>
      </c>
      <c r="AL20" s="15" t="n">
        <f aca="false">+W21/V21-1</f>
        <v>0.00480235203759283</v>
      </c>
      <c r="AM20" s="15" t="n">
        <f aca="false">+X21/W21-1</f>
        <v>0.00478104349541386</v>
      </c>
      <c r="AN20" s="15" t="n">
        <f aca="false">+Y21/X21-1</f>
        <v>0.00451044051641847</v>
      </c>
      <c r="AO20" s="15" t="n">
        <f aca="false">+Z21/Y21-1</f>
        <v>0.0043843255475724</v>
      </c>
      <c r="AP20" s="15" t="n">
        <f aca="false">+AA21/Z21-1</f>
        <v>0.00444626417327787</v>
      </c>
      <c r="AQ20" s="16" t="n">
        <f aca="false">+(AA21/AA20-1)/COUNTA(AE20:AP20)*12</f>
        <v>0.0654251259349719</v>
      </c>
      <c r="AR20" s="9"/>
      <c r="AV20" s="6" t="s">
        <v>3</v>
      </c>
      <c r="AW20" s="29" t="n">
        <f aca="false">LOOKUP(AW19,$A$3:$A$2971,$B$3:$B$2971)</f>
        <v>19916.8502383877</v>
      </c>
      <c r="AX20" s="29" t="n">
        <f aca="false">LOOKUP(AX19,$A$3:$A$2971,$B$3:$B$2971)</f>
        <v>0</v>
      </c>
      <c r="AY20" s="29" t="n">
        <f aca="false">LOOKUP(AY19,$A$3:$A$2971,$B$3:$B$2971)</f>
        <v>0</v>
      </c>
      <c r="AZ20" s="29" t="n">
        <f aca="false">LOOKUP(AZ19,$A$3:$A$2971,$B$3:$B$2971)</f>
        <v>0</v>
      </c>
      <c r="BA20" s="29" t="n">
        <f aca="false">LOOKUP(BA19,$A$3:$A$2971,$B$3:$B$2971)</f>
        <v>0</v>
      </c>
      <c r="BB20" s="29" t="n">
        <f aca="false">LOOKUP(BB19,$A$3:$A$2971,$B$3:$B$2971)</f>
        <v>17872.44</v>
      </c>
    </row>
    <row r="21" customFormat="false" ht="14.25" hidden="false" customHeight="false" outlineLevel="0" collapsed="false">
      <c r="A21" s="17" t="n">
        <v>39262</v>
      </c>
      <c r="B21" s="20" t="n">
        <v>11812.23</v>
      </c>
      <c r="C21" s="24" t="n">
        <f aca="false">(B21/B20-1)/(A21-A20)*30</f>
        <v>0.00426059392943191</v>
      </c>
      <c r="D21" s="19" t="n">
        <f aca="false">B21/$B$3*100</f>
        <v>107.8433216411</v>
      </c>
      <c r="E21" s="19"/>
      <c r="F21" s="19"/>
      <c r="O21" s="3" t="n">
        <v>2024</v>
      </c>
      <c r="P21" s="3" t="n">
        <f aca="false">+B220</f>
        <v>23427.15</v>
      </c>
      <c r="Q21" s="19" t="n">
        <f aca="false">+B221</f>
        <v>23570.34</v>
      </c>
      <c r="R21" s="19" t="n">
        <f aca="false">+B222</f>
        <v>23703.45</v>
      </c>
      <c r="S21" s="3" t="n">
        <f aca="false">+B223</f>
        <v>23847.87</v>
      </c>
      <c r="T21" s="3" t="n">
        <f aca="false">+B224</f>
        <v>23979.37</v>
      </c>
      <c r="U21" s="19" t="n">
        <f aca="false">+B225</f>
        <v>24090</v>
      </c>
      <c r="V21" s="3" t="n">
        <f aca="false">+B226</f>
        <v>24217.3</v>
      </c>
      <c r="W21" s="3" t="n">
        <f aca="false">+B227</f>
        <v>24333.6</v>
      </c>
      <c r="X21" s="3" t="n">
        <f aca="false">+B228</f>
        <v>24449.94</v>
      </c>
      <c r="Y21" s="19" t="n">
        <f aca="false">+B229</f>
        <v>24560.22</v>
      </c>
      <c r="Z21" s="3" t="n">
        <f aca="false">+B230</f>
        <v>24667.9</v>
      </c>
      <c r="AA21" s="3" t="n">
        <f aca="false">+B231</f>
        <v>24777.58</v>
      </c>
      <c r="AC21" s="6"/>
      <c r="AD21" s="14" t="n">
        <v>2025</v>
      </c>
      <c r="AE21" s="15" t="n">
        <f aca="false">+P22/AA21-1</f>
        <v>0.00445443017437541</v>
      </c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6" t="n">
        <f aca="false">+(P22/AA21-1)/COUNTA(AE21:AP21)*12</f>
        <v>0.053453162092505</v>
      </c>
      <c r="AV21" s="6" t="s">
        <v>25</v>
      </c>
      <c r="AW21" s="29" t="n">
        <f aca="false">LOOKUP(AW19,$F$2:$F$2972,$K$2:$K$2972)</f>
        <v>0</v>
      </c>
      <c r="AX21" s="29" t="n">
        <f aca="false">LOOKUP(AX19,$F$2:$F$2972,$K$2:$K$2972)</f>
        <v>0</v>
      </c>
      <c r="AY21" s="29" t="n">
        <f aca="false">LOOKUP(AY19,$F$2:$F$2972,$K$2:$K$2972)</f>
        <v>0</v>
      </c>
      <c r="AZ21" s="29" t="n">
        <f aca="false">LOOKUP(AZ19,$F$2:$F$2972,$K$2:$K$2972)</f>
        <v>0</v>
      </c>
      <c r="BA21" s="29" t="n">
        <f aca="false">LOOKUP(BA19,$F$2:$F$2972,$K$2:$K$2972)</f>
        <v>0</v>
      </c>
      <c r="BB21" s="29" t="n">
        <f aca="false">LOOKUP(BB19,$F$2:$F$2972,$K$2:$K$2972)</f>
        <v>4756.6532</v>
      </c>
    </row>
    <row r="22" customFormat="false" ht="14.25" hidden="false" customHeight="false" outlineLevel="0" collapsed="false">
      <c r="A22" s="17" t="n">
        <v>39294</v>
      </c>
      <c r="B22" s="20" t="n">
        <v>11866.53</v>
      </c>
      <c r="C22" s="24" t="n">
        <f aca="false">(B22/B21-1)/(A22-A21)*30</f>
        <v>0.0043096223151768</v>
      </c>
      <c r="D22" s="19" t="n">
        <f aca="false">B22/$B$3*100</f>
        <v>108.339069892287</v>
      </c>
      <c r="E22" s="19"/>
      <c r="F22" s="19"/>
      <c r="O22" s="3" t="n">
        <v>2025</v>
      </c>
      <c r="P22" s="3" t="n">
        <f aca="false">+B232</f>
        <v>24887.95</v>
      </c>
      <c r="Q22" s="19"/>
      <c r="R22" s="19"/>
      <c r="U22" s="19"/>
      <c r="Y22" s="19"/>
      <c r="AD22" s="25" t="s">
        <v>26</v>
      </c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V22" s="6" t="s">
        <v>27</v>
      </c>
      <c r="AW22" s="29" t="n">
        <f aca="false">LOOKUP(AW19,$F$2:$F$2970,$H$2:$H$2970)</f>
        <v>0</v>
      </c>
      <c r="AX22" s="29" t="n">
        <f aca="false">LOOKUP(AX19,$F$2:$F$2970,$H$2:$H$2970)</f>
        <v>0</v>
      </c>
      <c r="AY22" s="29" t="n">
        <f aca="false">LOOKUP(AY19,$F$2:$F$2970,$H$2:$H$2970)</f>
        <v>0</v>
      </c>
      <c r="AZ22" s="29" t="n">
        <f aca="false">LOOKUP(AZ19,$F$2:$F$2970,$H$2:$H$2970)</f>
        <v>0</v>
      </c>
      <c r="BA22" s="29" t="n">
        <f aca="false">LOOKUP(BA19,$F$2:$F$2970,$H$2:$H$2970)</f>
        <v>0</v>
      </c>
      <c r="BB22" s="29" t="n">
        <f aca="false">LOOKUP(BB19,$F$2:$F$2970,$H$2:$H$2970)</f>
        <v>1049.30226</v>
      </c>
    </row>
    <row r="23" customFormat="false" ht="14.25" hidden="false" customHeight="false" outlineLevel="0" collapsed="false">
      <c r="A23" s="17" t="n">
        <v>39325</v>
      </c>
      <c r="B23" s="20" t="n">
        <v>11922.48</v>
      </c>
      <c r="C23" s="24" t="n">
        <f aca="false">(B23/B22-1)/(A23-A22)*30</f>
        <v>0.00456284704040026</v>
      </c>
      <c r="D23" s="19" t="n">
        <f aca="false">B23/$B$3*100</f>
        <v>108.849882316852</v>
      </c>
      <c r="E23" s="19"/>
      <c r="F23" s="19"/>
      <c r="P23" s="10" t="n">
        <v>31</v>
      </c>
      <c r="Q23" s="10" t="n">
        <v>28</v>
      </c>
      <c r="R23" s="10" t="n">
        <v>31</v>
      </c>
      <c r="S23" s="10" t="n">
        <v>30</v>
      </c>
      <c r="T23" s="10" t="n">
        <v>31</v>
      </c>
      <c r="U23" s="10" t="n">
        <v>30</v>
      </c>
      <c r="V23" s="10" t="n">
        <v>31</v>
      </c>
      <c r="W23" s="10" t="n">
        <v>31</v>
      </c>
      <c r="X23" s="10" t="n">
        <v>30</v>
      </c>
      <c r="Y23" s="10" t="n">
        <v>31</v>
      </c>
      <c r="Z23" s="10" t="n">
        <v>30</v>
      </c>
      <c r="AA23" s="10" t="n">
        <v>31</v>
      </c>
      <c r="AS23" s="9"/>
      <c r="AV23" s="6"/>
      <c r="AW23" s="6"/>
      <c r="AX23" s="6"/>
      <c r="AY23" s="6"/>
      <c r="AZ23" s="6"/>
      <c r="BA23" s="6"/>
      <c r="BB23" s="6"/>
    </row>
    <row r="24" customFormat="false" ht="14.25" hidden="false" customHeight="false" outlineLevel="0" collapsed="false">
      <c r="A24" s="17" t="n">
        <v>39353</v>
      </c>
      <c r="B24" s="20" t="n">
        <v>11975.61</v>
      </c>
      <c r="C24" s="24" t="n">
        <f aca="false">(B24/B23-1)/(A24-A23)*30</f>
        <v>0.004774593876442</v>
      </c>
      <c r="D24" s="19" t="n">
        <f aca="false">B24/$B$3*100</f>
        <v>109.334948699642</v>
      </c>
      <c r="E24" s="19"/>
      <c r="F24" s="19"/>
      <c r="P24" s="10" t="n">
        <v>1</v>
      </c>
      <c r="Q24" s="10" t="n">
        <v>2</v>
      </c>
      <c r="R24" s="10" t="n">
        <v>3</v>
      </c>
      <c r="S24" s="10" t="n">
        <v>4</v>
      </c>
      <c r="T24" s="10" t="n">
        <v>5</v>
      </c>
      <c r="U24" s="10" t="n">
        <v>6</v>
      </c>
      <c r="V24" s="10" t="n">
        <v>7</v>
      </c>
      <c r="W24" s="10" t="n">
        <v>8</v>
      </c>
      <c r="X24" s="10" t="n">
        <v>9</v>
      </c>
      <c r="Y24" s="10" t="n">
        <v>10</v>
      </c>
      <c r="Z24" s="10" t="n">
        <v>11</v>
      </c>
      <c r="AA24" s="10" t="n">
        <v>12</v>
      </c>
      <c r="AR24" s="9"/>
      <c r="AS24" s="9"/>
    </row>
    <row r="25" customFormat="false" ht="14.25" hidden="false" customHeight="false" outlineLevel="0" collapsed="false">
      <c r="A25" s="17" t="n">
        <v>39386</v>
      </c>
      <c r="B25" s="20" t="n">
        <v>12038.9</v>
      </c>
      <c r="C25" s="24" t="n">
        <f aca="false">(B25/B24-1)/(A25-A24)*30</f>
        <v>0.00480446203879073</v>
      </c>
      <c r="D25" s="19" t="n">
        <f aca="false">B25/$B$3*100</f>
        <v>109.912773871237</v>
      </c>
      <c r="E25" s="19"/>
      <c r="F25" s="19"/>
      <c r="O25" s="30" t="s">
        <v>28</v>
      </c>
      <c r="P25" s="3" t="s">
        <v>4</v>
      </c>
      <c r="Q25" s="3" t="s">
        <v>5</v>
      </c>
      <c r="R25" s="3" t="s">
        <v>6</v>
      </c>
      <c r="S25" s="3" t="s">
        <v>7</v>
      </c>
      <c r="T25" s="3" t="s">
        <v>8</v>
      </c>
      <c r="U25" s="3" t="s">
        <v>9</v>
      </c>
      <c r="V25" s="3" t="s">
        <v>10</v>
      </c>
      <c r="W25" s="3" t="s">
        <v>11</v>
      </c>
      <c r="X25" s="3" t="s">
        <v>12</v>
      </c>
      <c r="Y25" s="3" t="s">
        <v>13</v>
      </c>
      <c r="Z25" s="3" t="s">
        <v>14</v>
      </c>
      <c r="AA25" s="3" t="s">
        <v>15</v>
      </c>
      <c r="AR25" s="25"/>
    </row>
    <row r="26" customFormat="false" ht="14.25" hidden="false" customHeight="false" outlineLevel="0" collapsed="false">
      <c r="A26" s="17" t="n">
        <v>39416</v>
      </c>
      <c r="B26" s="20" t="n">
        <v>12096.85</v>
      </c>
      <c r="C26" s="24" t="n">
        <f aca="false">(B26/B25-1)/(A26-A25)*30</f>
        <v>0.00481356270091138</v>
      </c>
      <c r="D26" s="19" t="n">
        <f aca="false">B26/$B$3*100</f>
        <v>110.441845899897</v>
      </c>
      <c r="E26" s="19"/>
      <c r="F26" s="19"/>
      <c r="O26" s="3" t="n">
        <v>2016</v>
      </c>
      <c r="P26" s="20"/>
      <c r="Q26" s="20"/>
      <c r="R26" s="20"/>
      <c r="S26" s="20"/>
      <c r="T26" s="31"/>
      <c r="U26" s="31" t="n">
        <f aca="false">LOOKUP(DATE($O26,U$24,U$23),$A$2:$A$2941,$I$2:$I$2941)</f>
        <v>0.00175265217391312</v>
      </c>
      <c r="V26" s="31" t="n">
        <f aca="false">LOOKUP(DATE($O26,V$24,V$23),$A$2:$A$2941,$I$2:$I$2941)</f>
        <v>0.00369268330273641</v>
      </c>
      <c r="W26" s="31" t="n">
        <f aca="false">LOOKUP(DATE($O26,W$24,W$23),$A$2:$A$2941,$I$2:$I$2941)</f>
        <v>0.00271048529859461</v>
      </c>
      <c r="X26" s="31" t="n">
        <f aca="false">LOOKUP(DATE($O26,X$24,X$23),$A$2:$A$2941,$I$2:$I$2941)</f>
        <v>0.0029014467451185</v>
      </c>
      <c r="Y26" s="31" t="n">
        <f aca="false">LOOKUP(DATE($O26,Y$24,Y$23),$A$2:$A$2941,$I$2:$I$2941)</f>
        <v>0.00260798063005815</v>
      </c>
      <c r="Z26" s="31" t="n">
        <f aca="false">LOOKUP(DATE($O26,Z$24,Z$23),$A$2:$A$2941,$I$2:$I$2941)</f>
        <v>0.00219962179448729</v>
      </c>
      <c r="AA26" s="31" t="n">
        <f aca="false">LOOKUP(DATE($O26,AA$24,AA$23),$A$2:$A$2941,$I$2:$I$2941)</f>
        <v>-0.000224669361462668</v>
      </c>
      <c r="AD26" s="32" t="s">
        <v>29</v>
      </c>
      <c r="AE26" s="8" t="s">
        <v>4</v>
      </c>
      <c r="AF26" s="8" t="s">
        <v>5</v>
      </c>
      <c r="AG26" s="8" t="s">
        <v>6</v>
      </c>
      <c r="AH26" s="8" t="s">
        <v>7</v>
      </c>
      <c r="AI26" s="8" t="s">
        <v>8</v>
      </c>
      <c r="AJ26" s="8" t="s">
        <v>9</v>
      </c>
      <c r="AK26" s="8" t="s">
        <v>10</v>
      </c>
      <c r="AL26" s="8" t="s">
        <v>11</v>
      </c>
      <c r="AM26" s="8" t="s">
        <v>12</v>
      </c>
      <c r="AN26" s="8" t="s">
        <v>13</v>
      </c>
      <c r="AO26" s="8" t="s">
        <v>14</v>
      </c>
      <c r="AP26" s="8" t="s">
        <v>15</v>
      </c>
      <c r="AQ26" s="8" t="s">
        <v>16</v>
      </c>
      <c r="AR26" s="25"/>
      <c r="AS26" s="9"/>
      <c r="AV26" s="9"/>
      <c r="AW26" s="9"/>
      <c r="AX26" s="9"/>
      <c r="AY26" s="9"/>
      <c r="AZ26" s="9"/>
      <c r="BA26" s="9"/>
      <c r="BB26" s="9"/>
      <c r="BC26" s="9"/>
    </row>
    <row r="27" customFormat="false" ht="14.25" hidden="false" customHeight="false" outlineLevel="0" collapsed="false">
      <c r="A27" s="17" t="n">
        <v>39447</v>
      </c>
      <c r="B27" s="20" t="n">
        <v>12152.6</v>
      </c>
      <c r="C27" s="24" t="n">
        <f aca="false">(B27/B26-1)/(A27-A26)*30</f>
        <v>0.00445997205084178</v>
      </c>
      <c r="D27" s="19" t="n">
        <f aca="false">B27/$B$3*100</f>
        <v>110.950832364053</v>
      </c>
      <c r="E27" s="19"/>
      <c r="F27" s="19"/>
      <c r="O27" s="3" t="n">
        <v>2017</v>
      </c>
      <c r="P27" s="31" t="n">
        <f aca="false">LOOKUP(DATE($O27,P$24,P$23),$A$2:$A$2941,$I$2:$I$2941)</f>
        <v>0.00285237409837658</v>
      </c>
      <c r="Q27" s="31" t="n">
        <f aca="false">LOOKUP(DATE($O27,Q$24,Q$23),$A$2:$A$2941,$I$2:$I$2941)</f>
        <v>0.00193066575335291</v>
      </c>
      <c r="R27" s="31" t="n">
        <f aca="false">LOOKUP(DATE($O27,R$24,R$23),$A$2:$A$2941,$I$2:$I$2941)</f>
        <v>0.00229812871495633</v>
      </c>
      <c r="S27" s="31" t="n">
        <f aca="false">LOOKUP(DATE($O27,S$24,S$23),$A$2:$A$2941,$I$2:$I$2941)</f>
        <v>0.00185174166857505</v>
      </c>
      <c r="T27" s="31" t="n">
        <f aca="false">LOOKUP(DATE($O27,T$24,T$23),$A$2:$A$2941,$I$2:$I$2941)</f>
        <v>0.00137601433028738</v>
      </c>
      <c r="U27" s="31" t="n">
        <f aca="false">LOOKUP(DATE($O27,U$24,U$23),$A$2:$A$2941,$I$2:$I$2941)</f>
        <v>0.0066078033528012</v>
      </c>
      <c r="V27" s="31" t="n">
        <f aca="false">LOOKUP(DATE($O27,V$24,V$23),$A$2:$A$2941,$I$2:$I$2941)</f>
        <v>0.00309244335637744</v>
      </c>
      <c r="W27" s="31" t="n">
        <f aca="false">LOOKUP(DATE($O27,W$24,W$23),$A$2:$A$2941,$I$2:$I$2941)</f>
        <v>0.00293915563469253</v>
      </c>
      <c r="X27" s="31" t="n">
        <f aca="false">LOOKUP(DATE($O27,X$24,X$23),$A$2:$A$2941,$I$2:$I$2941)</f>
        <v>0.00243367787652216</v>
      </c>
      <c r="Y27" s="31" t="n">
        <f aca="false">LOOKUP(DATE($O27,Y$24,Y$23),$A$2:$A$2941,$I$2:$I$2941)</f>
        <v>0.00203758067773253</v>
      </c>
      <c r="Z27" s="31" t="n">
        <f aca="false">LOOKUP(DATE($O27,Z$24,Z$23),$A$2:$A$2941,$I$2:$I$2941)</f>
        <v>0.00244565310037403</v>
      </c>
      <c r="AA27" s="31" t="n">
        <f aca="false">LOOKUP(DATE($O27,AA$24,AA$23),$A$2:$A$2941,$I$2:$I$2941)</f>
        <v>0.00237550212098284</v>
      </c>
      <c r="AD27" s="14" t="n">
        <v>2016</v>
      </c>
      <c r="AE27" s="15"/>
      <c r="AF27" s="15"/>
      <c r="AG27" s="15"/>
      <c r="AH27" s="15"/>
      <c r="AI27" s="15"/>
      <c r="AJ27" s="33"/>
      <c r="AK27" s="33" t="n">
        <f aca="false">+U26</f>
        <v>0.00175265217391312</v>
      </c>
      <c r="AL27" s="33" t="n">
        <f aca="false">+V26</f>
        <v>0.00369268330273641</v>
      </c>
      <c r="AM27" s="33" t="n">
        <f aca="false">+W26</f>
        <v>0.00271048529859461</v>
      </c>
      <c r="AN27" s="33" t="n">
        <f aca="false">+X26</f>
        <v>0.0029014467451185</v>
      </c>
      <c r="AO27" s="33" t="n">
        <f aca="false">+Y26</f>
        <v>0.00260798063005815</v>
      </c>
      <c r="AP27" s="33" t="n">
        <f aca="false">+Z26</f>
        <v>0.00219962179448729</v>
      </c>
      <c r="AQ27" s="22" t="n">
        <f aca="false">+H135/H128-1</f>
        <v>0.01562256</v>
      </c>
      <c r="AR27" s="9"/>
      <c r="AS27" s="9"/>
      <c r="AV27" s="34"/>
      <c r="AW27" s="35" t="s">
        <v>30</v>
      </c>
      <c r="AX27" s="35" t="s">
        <v>31</v>
      </c>
      <c r="AY27" s="35" t="s">
        <v>32</v>
      </c>
      <c r="AZ27" s="35" t="s">
        <v>33</v>
      </c>
      <c r="BA27" s="35" t="s">
        <v>34</v>
      </c>
      <c r="BB27" s="35" t="s">
        <v>35</v>
      </c>
      <c r="BC27" s="36"/>
      <c r="BD27" s="37"/>
    </row>
    <row r="28" customFormat="false" ht="14.25" hidden="false" customHeight="false" outlineLevel="0" collapsed="false">
      <c r="A28" s="17" t="n">
        <v>39478</v>
      </c>
      <c r="B28" s="20" t="n">
        <v>12223.14</v>
      </c>
      <c r="C28" s="24" t="n">
        <f aca="false">(B28/B27-1)/(A28-A27)*30</f>
        <v>0.0056172766427787</v>
      </c>
      <c r="D28" s="19" t="n">
        <f aca="false">B28/$B$3*100</f>
        <v>111.594848600493</v>
      </c>
      <c r="E28" s="19"/>
      <c r="F28" s="19"/>
      <c r="O28" s="3" t="n">
        <v>2018</v>
      </c>
      <c r="P28" s="31" t="n">
        <f aca="false">LOOKUP(DATE($O28,P$24,P$23),$A$2:$A$2941,$I$2:$I$2941)</f>
        <v>0.00252877718275678</v>
      </c>
      <c r="Q28" s="31" t="n">
        <f aca="false">LOOKUP(DATE($O28,Q$24,Q$23),$A$2:$A$2941,$I$2:$I$2941)</f>
        <v>0.00295017491063698</v>
      </c>
      <c r="R28" s="31" t="n">
        <f aca="false">LOOKUP(DATE($O28,R$24,R$23),$A$2:$A$2941,$I$2:$I$2941)</f>
        <v>0.00241976544111009</v>
      </c>
      <c r="S28" s="31" t="n">
        <f aca="false">LOOKUP(DATE($O28,S$24,S$23),$A$2:$A$2941,$I$2:$I$2941)</f>
        <v>0.00223151228944873</v>
      </c>
      <c r="T28" s="31" t="n">
        <f aca="false">LOOKUP(DATE($O28,T$24,T$23),$A$2:$A$2941,$I$2:$I$2941)</f>
        <v>0.00233832742465965</v>
      </c>
      <c r="U28" s="31" t="n">
        <f aca="false">LOOKUP(DATE($O28,U$24,U$23),$A$2:$A$2941,$I$2:$I$2941)</f>
        <v>0.00244188267469525</v>
      </c>
      <c r="V28" s="31" t="n">
        <f aca="false">LOOKUP(DATE($O28,V$24,V$23),$A$2:$A$2941,$I$2:$I$2941)</f>
        <v>0.00254643499228274</v>
      </c>
      <c r="W28" s="31" t="n">
        <f aca="false">LOOKUP(DATE($O28,W$24,W$23),$A$2:$A$2941,$I$2:$I$2941)</f>
        <v>0.00228410945976197</v>
      </c>
      <c r="X28" s="31" t="n">
        <f aca="false">LOOKUP(DATE($O28,X$24,X$23),$A$2:$A$2941,$I$2:$I$2941)</f>
        <v>0.00236085461460989</v>
      </c>
      <c r="Y28" s="31" t="n">
        <f aca="false">LOOKUP(DATE($O28,Y$24,Y$23),$A$2:$A$2941,$I$2:$I$2941)</f>
        <v>0.00258246214480766</v>
      </c>
      <c r="Z28" s="31" t="n">
        <f aca="false">LOOKUP(DATE($O28,Z$24,Z$23),$A$2:$A$2941,$I$2:$I$2941)</f>
        <v>0.00262082140028452</v>
      </c>
      <c r="AA28" s="31" t="n">
        <f aca="false">LOOKUP(DATE($O28,AA$24,AA$23),$A$2:$A$2941,$I$2:$I$2941)</f>
        <v>0.00202065550538094</v>
      </c>
      <c r="AD28" s="21" t="n">
        <v>2017</v>
      </c>
      <c r="AE28" s="33" t="n">
        <f aca="false">+P27</f>
        <v>0.00285237409837658</v>
      </c>
      <c r="AF28" s="33" t="n">
        <f aca="false">+Q27</f>
        <v>0.00193066575335291</v>
      </c>
      <c r="AG28" s="33" t="n">
        <f aca="false">+R27</f>
        <v>0.00229812871495633</v>
      </c>
      <c r="AH28" s="33" t="n">
        <f aca="false">+S27</f>
        <v>0.00185174166857505</v>
      </c>
      <c r="AI28" s="33" t="n">
        <f aca="false">+T27</f>
        <v>0.00137601433028738</v>
      </c>
      <c r="AJ28" s="33" t="n">
        <f aca="false">+U27</f>
        <v>0.0066078033528012</v>
      </c>
      <c r="AK28" s="33" t="n">
        <f aca="false">+V27</f>
        <v>0.00309244335637744</v>
      </c>
      <c r="AL28" s="33" t="n">
        <f aca="false">+W27</f>
        <v>0.00293915563469253</v>
      </c>
      <c r="AM28" s="33" t="n">
        <f aca="false">+X27</f>
        <v>0.00243367787652216</v>
      </c>
      <c r="AN28" s="33" t="n">
        <f aca="false">+Y27</f>
        <v>0.00203758067773253</v>
      </c>
      <c r="AO28" s="33" t="n">
        <f aca="false">+Z27</f>
        <v>0.00244565310037403</v>
      </c>
      <c r="AP28" s="33" t="n">
        <f aca="false">+AA27</f>
        <v>0.00237550212098284</v>
      </c>
      <c r="AQ28" s="22" t="n">
        <f aca="false">+H147/H136-1</f>
        <v>0.0301253840431299</v>
      </c>
      <c r="AR28" s="25" t="s">
        <v>23</v>
      </c>
      <c r="AV28" s="38"/>
      <c r="AW28" s="35" t="s">
        <v>36</v>
      </c>
      <c r="AX28" s="39" t="e">
        <f aca="false">($AW20/AX20-1)/(AW19-AX19)*30</f>
        <v>#DIV/0!</v>
      </c>
      <c r="AY28" s="39" t="e">
        <f aca="false">$AW20/AY20-1</f>
        <v>#DIV/0!</v>
      </c>
      <c r="AZ28" s="39" t="e">
        <f aca="false">$AW20/AZ20-1</f>
        <v>#DIV/0!</v>
      </c>
      <c r="BA28" s="39" t="e">
        <f aca="false">$AW20/BA20-1</f>
        <v>#DIV/0!</v>
      </c>
      <c r="BB28" s="39" t="n">
        <f aca="false">+AQ82</f>
        <v>0.053453162092505</v>
      </c>
      <c r="BC28" s="40"/>
      <c r="BD28" s="41"/>
    </row>
    <row r="29" customFormat="false" ht="14.25" hidden="false" customHeight="false" outlineLevel="0" collapsed="false">
      <c r="A29" s="17" t="n">
        <v>39507</v>
      </c>
      <c r="B29" s="20" t="n">
        <v>12284.88</v>
      </c>
      <c r="C29" s="24" t="n">
        <f aca="false">(B29/B28-1)/(A29-A28)*30</f>
        <v>0.00522525026443619</v>
      </c>
      <c r="D29" s="19" t="n">
        <f aca="false">B29/$B$3*100</f>
        <v>112.158522578913</v>
      </c>
      <c r="E29" s="19"/>
      <c r="F29" s="19"/>
      <c r="O29" s="3" t="n">
        <v>2019</v>
      </c>
      <c r="P29" s="31" t="n">
        <f aca="false">LOOKUP(DATE($O29,P$24,P$23),$A$2:$A$2941,$I$2:$I$2941)</f>
        <v>0.00222551750762521</v>
      </c>
      <c r="Q29" s="31" t="n">
        <f aca="false">LOOKUP(DATE($O29,Q$24,Q$23),$A$2:$A$2941,$I$2:$I$2941)</f>
        <v>0.00206529100140256</v>
      </c>
      <c r="R29" s="31" t="n">
        <f aca="false">LOOKUP(DATE($O29,R$24,R$23),$A$2:$A$2941,$I$2:$I$2941)</f>
        <v>0.0021430318366078</v>
      </c>
      <c r="S29" s="31" t="n">
        <f aca="false">LOOKUP(DATE($O29,S$24,S$23),$A$2:$A$2941,$I$2:$I$2941)</f>
        <v>0.00247440577263092</v>
      </c>
      <c r="T29" s="31" t="n">
        <f aca="false">LOOKUP(DATE($O29,T$24,T$23),$A$2:$A$2941,$I$2:$I$2941)</f>
        <v>0.00232336379446687</v>
      </c>
      <c r="U29" s="31" t="n">
        <f aca="false">LOOKUP(DATE($O29,U$24,U$23),$A$2:$A$2941,$I$2:$I$2941)</f>
        <v>0.00252486549014752</v>
      </c>
      <c r="V29" s="31" t="n">
        <f aca="false">LOOKUP(DATE($O29,V$24,V$23),$A$2:$A$2941,$I$2:$I$2941)</f>
        <v>0.00205402733246139</v>
      </c>
      <c r="W29" s="31" t="n">
        <f aca="false">LOOKUP(DATE($O29,W$24,W$23),$A$2:$A$2941,$I$2:$I$2941)</f>
        <v>0.00189282961040565</v>
      </c>
      <c r="X29" s="31" t="n">
        <f aca="false">LOOKUP(DATE($O29,X$24,X$23),$A$2:$A$2941,$I$2:$I$2941)</f>
        <v>0.00179307289037123</v>
      </c>
      <c r="Y29" s="31" t="n">
        <f aca="false">LOOKUP(DATE($O29,Y$24,Y$23),$A$2:$A$2941,$I$2:$I$2941)</f>
        <v>0.00252361391500494</v>
      </c>
      <c r="Z29" s="31" t="n">
        <f aca="false">LOOKUP(DATE($O29,Z$24,Z$23),$A$2:$A$2941,$I$2:$I$2941)</f>
        <v>0.00242162572062998</v>
      </c>
      <c r="AA29" s="31" t="n">
        <f aca="false">LOOKUP(DATE($O29,AA$24,AA$23),$A$2:$A$2941,$I$2:$I$2941)</f>
        <v>0.00238082218493565</v>
      </c>
      <c r="AD29" s="14" t="n">
        <v>2018</v>
      </c>
      <c r="AE29" s="15" t="n">
        <f aca="false">+P28</f>
        <v>0.00252877718275678</v>
      </c>
      <c r="AF29" s="15" t="n">
        <f aca="false">+Q28</f>
        <v>0.00295017491063698</v>
      </c>
      <c r="AG29" s="15" t="n">
        <f aca="false">+R28</f>
        <v>0.00241976544111009</v>
      </c>
      <c r="AH29" s="15" t="n">
        <f aca="false">+S28</f>
        <v>0.00223151228944873</v>
      </c>
      <c r="AI29" s="15" t="n">
        <f aca="false">+T28</f>
        <v>0.00233832742465965</v>
      </c>
      <c r="AJ29" s="15" t="n">
        <f aca="false">+U28</f>
        <v>0.00244188267469525</v>
      </c>
      <c r="AK29" s="15" t="n">
        <f aca="false">+V28</f>
        <v>0.00254643499228274</v>
      </c>
      <c r="AL29" s="15" t="n">
        <f aca="false">+W28</f>
        <v>0.00228410945976197</v>
      </c>
      <c r="AM29" s="15" t="n">
        <f aca="false">+X28</f>
        <v>0.00236085461460989</v>
      </c>
      <c r="AN29" s="15" t="n">
        <f aca="false">+Y28</f>
        <v>0.00258246214480766</v>
      </c>
      <c r="AO29" s="15" t="n">
        <f aca="false">+Z28</f>
        <v>0.00262082140028452</v>
      </c>
      <c r="AP29" s="15" t="n">
        <f aca="false">+AA28</f>
        <v>0.00202065550538094</v>
      </c>
      <c r="AQ29" s="16" t="n">
        <f aca="false">+H159/H148-1</f>
        <v>0.0274088164209876</v>
      </c>
      <c r="AS29" s="9"/>
      <c r="AV29" s="38"/>
      <c r="AW29" s="35" t="s">
        <v>25</v>
      </c>
      <c r="AX29" s="39" t="e">
        <f aca="false">($AW21/AX21-1)/(AW19-AX19)*30</f>
        <v>#DIV/0!</v>
      </c>
      <c r="AY29" s="39" t="e">
        <f aca="false">($AW21)/AY21-1</f>
        <v>#DIV/0!</v>
      </c>
      <c r="AZ29" s="39" t="e">
        <f aca="false">($AW21)/AZ21-1</f>
        <v>#DIV/0!</v>
      </c>
      <c r="BA29" s="39" t="e">
        <f aca="false">($AW21)/BA21-1</f>
        <v>#DIV/0!</v>
      </c>
      <c r="BB29" s="39" t="n">
        <f aca="false">+AQ83</f>
        <v>0.0362425240085598</v>
      </c>
      <c r="BC29" s="40"/>
      <c r="BD29" s="41"/>
    </row>
    <row r="30" customFormat="false" ht="14.25" hidden="false" customHeight="false" outlineLevel="0" collapsed="false">
      <c r="A30" s="17" t="n">
        <v>39538</v>
      </c>
      <c r="B30" s="20" t="n">
        <v>12351.45</v>
      </c>
      <c r="C30" s="24" t="n">
        <f aca="false">(B30/B29-1)/(A30-A29)*30</f>
        <v>0.00524405453249546</v>
      </c>
      <c r="D30" s="19" t="n">
        <f aca="false">B30/$B$3*100</f>
        <v>112.766293501224</v>
      </c>
      <c r="E30" s="19"/>
      <c r="F30" s="19"/>
      <c r="O30" s="3" t="n">
        <v>2020</v>
      </c>
      <c r="P30" s="31" t="n">
        <f aca="false">LOOKUP(DATE($O30,P$24,P$23),$A$2:$A$2941,$I$2:$I$2941)</f>
        <v>0.00111200640075974</v>
      </c>
      <c r="Q30" s="31" t="n">
        <f aca="false">LOOKUP(DATE($O30,Q$24,Q$23)+1,$A$2:$A$2941,$I$2:$I$2941)</f>
        <v>0.00141310978341354</v>
      </c>
      <c r="R30" s="31" t="n">
        <f aca="false">LOOKUP(DATE($O30,R$24,R$23),$A$2:$A$2941,$I$2:$I$2941)</f>
        <v>0.00143903656693886</v>
      </c>
      <c r="S30" s="31" t="n">
        <f aca="false">LOOKUP(DATE($O30,S$24,S$23),$A$2:$A$2941,$I$2:$I$2941)</f>
        <v>0.0013258873613744</v>
      </c>
      <c r="T30" s="31" t="n">
        <f aca="false">LOOKUP(DATE($O30,T$24,T$23),$A$2:$A$2941,$I$2:$I$2941)</f>
        <v>0.00110253064942024</v>
      </c>
      <c r="U30" s="31" t="n">
        <f aca="false">LOOKUP(DATE($O30,U$24,U$23),$A$2:$A$2941,$I$2:$I$2941)</f>
        <v>0.00113100752291984</v>
      </c>
      <c r="V30" s="31" t="n">
        <f aca="false">LOOKUP(DATE($O30,V$24,V$23),$A$2:$A$2941,$I$2:$I$2941)</f>
        <v>0.000621832322368522</v>
      </c>
      <c r="W30" s="31" t="n">
        <f aca="false">LOOKUP(DATE($O30,W$24,W$23),$A$2:$A$2941,$I$2:$I$2941)</f>
        <v>0.000552816992443992</v>
      </c>
      <c r="X30" s="31" t="n">
        <f aca="false">LOOKUP(DATE($O30,X$24,X$23),$A$2:$A$2941,$I$2:$I$2941)</f>
        <v>0.000937012513125168</v>
      </c>
      <c r="Y30" s="31" t="n">
        <f aca="false">+I181</f>
        <v>0.00123616150091294</v>
      </c>
      <c r="Z30" s="31" t="n">
        <f aca="false">+I182</f>
        <v>0.00105854315799925</v>
      </c>
      <c r="AA30" s="31" t="n">
        <f aca="false">+I183</f>
        <v>0.00515367877555816</v>
      </c>
      <c r="AD30" s="21" t="n">
        <v>2019</v>
      </c>
      <c r="AE30" s="33" t="n">
        <f aca="false">+P29</f>
        <v>0.00222551750762521</v>
      </c>
      <c r="AF30" s="33" t="n">
        <f aca="false">+Q29</f>
        <v>0.00206529100140256</v>
      </c>
      <c r="AG30" s="33" t="n">
        <f aca="false">+R29</f>
        <v>0.0021430318366078</v>
      </c>
      <c r="AH30" s="33" t="n">
        <f aca="false">+S29</f>
        <v>0.00247440577263092</v>
      </c>
      <c r="AI30" s="33" t="n">
        <f aca="false">+T29</f>
        <v>0.00232336379446687</v>
      </c>
      <c r="AJ30" s="33" t="n">
        <f aca="false">+U29</f>
        <v>0.00252486549014752</v>
      </c>
      <c r="AK30" s="33" t="n">
        <f aca="false">+V29</f>
        <v>0.00205402733246139</v>
      </c>
      <c r="AL30" s="33" t="n">
        <f aca="false">+W29</f>
        <v>0.00189282961040565</v>
      </c>
      <c r="AM30" s="33" t="n">
        <f aca="false">+X29</f>
        <v>0.00179307289037123</v>
      </c>
      <c r="AN30" s="33" t="n">
        <f aca="false">+Y29</f>
        <v>0.00252361391500494</v>
      </c>
      <c r="AO30" s="33" t="n">
        <f aca="false">+Z29</f>
        <v>0.00242162572062998</v>
      </c>
      <c r="AP30" s="33" t="n">
        <f aca="false">+AA29</f>
        <v>0.00238082218493565</v>
      </c>
      <c r="AQ30" s="22" t="n">
        <f aca="false">+(H171/H159-1)/COUNTA(AE30:AP30)*12</f>
        <v>0.0275442373623482</v>
      </c>
      <c r="AS30" s="9"/>
      <c r="AV30" s="9"/>
      <c r="AW30" s="35" t="s">
        <v>27</v>
      </c>
      <c r="AX30" s="39" t="e">
        <f aca="false">($AW22/AX22-1)/(AW19-AX19)*30</f>
        <v>#DIV/0!</v>
      </c>
      <c r="AY30" s="39" t="e">
        <f aca="false">+AW22/AY22-1</f>
        <v>#DIV/0!</v>
      </c>
      <c r="AZ30" s="39" t="e">
        <f aca="false">+AW22/AZ22-1</f>
        <v>#DIV/0!</v>
      </c>
      <c r="BA30" s="39" t="e">
        <f aca="false">+AW22/BA22-1</f>
        <v>#DIV/0!</v>
      </c>
      <c r="BB30" s="39" t="n">
        <f aca="false">+AQ84</f>
        <v>0.0350000719910826</v>
      </c>
      <c r="BC30" s="9"/>
      <c r="BD30" s="41"/>
    </row>
    <row r="31" customFormat="false" ht="14.25" hidden="false" customHeight="false" outlineLevel="0" collapsed="false">
      <c r="A31" s="17" t="n">
        <v>39568</v>
      </c>
      <c r="B31" s="20" t="n">
        <v>12416.18</v>
      </c>
      <c r="C31" s="24" t="n">
        <f aca="false">(B31/B30-1)/(A31-A30)*30</f>
        <v>0.00524068024401991</v>
      </c>
      <c r="D31" s="19" t="n">
        <f aca="false">B31/$B$3*100</f>
        <v>113.357265587768</v>
      </c>
      <c r="E31" s="19"/>
      <c r="F31" s="19"/>
      <c r="O31" s="3" t="n">
        <v>2021</v>
      </c>
      <c r="P31" s="31" t="n">
        <f aca="false">+I184</f>
        <v>0.000955810340599829</v>
      </c>
      <c r="Q31" s="31" t="n">
        <f aca="false">+I185</f>
        <v>0.00113502764941296</v>
      </c>
      <c r="R31" s="31" t="n">
        <f aca="false">+I186</f>
        <v>0.000478295676215583</v>
      </c>
      <c r="S31" s="31" t="n">
        <f aca="false">+I187</f>
        <v>0.000224799810013998</v>
      </c>
      <c r="T31" s="31" t="n">
        <f aca="false">+I188</f>
        <v>0.00106179285964988</v>
      </c>
      <c r="U31" s="31" t="n">
        <f aca="false">+I189</f>
        <v>0.00126786440807636</v>
      </c>
      <c r="V31" s="31" t="n">
        <f aca="false">+I190</f>
        <v>0.00127320500879731</v>
      </c>
      <c r="W31" s="31" t="n">
        <f aca="false">+I191</f>
        <v>0.00109124596978821</v>
      </c>
      <c r="X31" s="31" t="n">
        <f aca="false">+I192</f>
        <v>0.000909528660739678</v>
      </c>
      <c r="Y31" s="31" t="n">
        <f aca="false">+I193</f>
        <v>0.00078964174284528</v>
      </c>
      <c r="Z31" s="31" t="n">
        <f aca="false">+I194</f>
        <v>0.000442452516850933</v>
      </c>
      <c r="AA31" s="31" t="n">
        <f aca="false">+I195</f>
        <v>0.00160834900857842</v>
      </c>
      <c r="AD31" s="21" t="n">
        <v>2020</v>
      </c>
      <c r="AE31" s="33" t="n">
        <f aca="false">+P30</f>
        <v>0.00111200640075974</v>
      </c>
      <c r="AF31" s="33" t="n">
        <f aca="false">+Q30</f>
        <v>0.00141310978341354</v>
      </c>
      <c r="AG31" s="33" t="n">
        <f aca="false">+R30</f>
        <v>0.00143903656693886</v>
      </c>
      <c r="AH31" s="33" t="n">
        <f aca="false">+S30</f>
        <v>0.0013258873613744</v>
      </c>
      <c r="AI31" s="33" t="n">
        <f aca="false">+T30</f>
        <v>0.00110253064942024</v>
      </c>
      <c r="AJ31" s="33" t="n">
        <f aca="false">+U30</f>
        <v>0.00113100752291984</v>
      </c>
      <c r="AK31" s="33" t="n">
        <f aca="false">+V30</f>
        <v>0.000621832322368522</v>
      </c>
      <c r="AL31" s="33" t="n">
        <f aca="false">+W30</f>
        <v>0.000552816992443992</v>
      </c>
      <c r="AM31" s="33" t="n">
        <f aca="false">+X30</f>
        <v>0.000937012513125168</v>
      </c>
      <c r="AN31" s="33" t="n">
        <f aca="false">+Y30</f>
        <v>0.00123616150091294</v>
      </c>
      <c r="AO31" s="33" t="n">
        <f aca="false">+Z30</f>
        <v>0.00105854315799925</v>
      </c>
      <c r="AP31" s="33" t="n">
        <f aca="false">+AA30</f>
        <v>0.00515367877555816</v>
      </c>
      <c r="AQ31" s="22" t="n">
        <f aca="false">+(H183/H171-1)/COUNTA(AE31:AP31)*12</f>
        <v>0.0175413536039311</v>
      </c>
      <c r="AS31" s="9"/>
      <c r="AV31" s="9"/>
      <c r="AW31" s="42"/>
      <c r="AX31" s="9"/>
      <c r="AY31" s="9"/>
      <c r="AZ31" s="9"/>
      <c r="BA31" s="9"/>
      <c r="BB31" s="9"/>
      <c r="BC31" s="9"/>
      <c r="BD31" s="41"/>
    </row>
    <row r="32" customFormat="false" ht="14.25" hidden="false" customHeight="false" outlineLevel="0" collapsed="false">
      <c r="A32" s="17" t="n">
        <v>39598</v>
      </c>
      <c r="B32" s="20" t="n">
        <v>12481.48</v>
      </c>
      <c r="C32" s="24" t="n">
        <f aca="false">(B32/B31-1)/(A32-A31)*30</f>
        <v>0.00525926653769515</v>
      </c>
      <c r="D32" s="19" t="n">
        <f aca="false">B32/$B$3*100</f>
        <v>113.953441661478</v>
      </c>
      <c r="E32" s="19"/>
      <c r="F32" s="19"/>
      <c r="O32" s="3" t="n">
        <v>2022</v>
      </c>
      <c r="P32" s="31" t="n">
        <f aca="false">+I196</f>
        <v>0.00231545829619967</v>
      </c>
      <c r="Q32" s="31" t="n">
        <f aca="false">+I197</f>
        <v>0.00361957331538495</v>
      </c>
      <c r="R32" s="31" t="n">
        <f aca="false">+I198</f>
        <v>0.00360398657377771</v>
      </c>
      <c r="S32" s="31" t="n">
        <f aca="false">+I199</f>
        <v>0.00544933253167845</v>
      </c>
      <c r="T32" s="31" t="n">
        <f aca="false">+I200</f>
        <v>0.00708717654723077</v>
      </c>
      <c r="U32" s="31" t="n">
        <f aca="false">+I201</f>
        <v>0.00685648756260049</v>
      </c>
      <c r="V32" s="31" t="n">
        <f aca="false">+I202</f>
        <v>0.00666084904963216</v>
      </c>
      <c r="W32" s="31" t="n">
        <f aca="false">+I203</f>
        <v>0.00742667220312669</v>
      </c>
      <c r="X32" s="31" t="n">
        <f aca="false">+I204</f>
        <v>0.00802014867386713</v>
      </c>
      <c r="Y32" s="31" t="n">
        <f aca="false">+I205</f>
        <v>0.00853283759570286</v>
      </c>
      <c r="Z32" s="31" t="n">
        <f aca="false">+I206</f>
        <v>0.00901575637091549</v>
      </c>
      <c r="AA32" s="31" t="n">
        <f aca="false">+I207</f>
        <v>0.00959515733625338</v>
      </c>
      <c r="AD32" s="21" t="n">
        <v>2021</v>
      </c>
      <c r="AE32" s="33" t="n">
        <f aca="false">+P31</f>
        <v>0.000955810340599829</v>
      </c>
      <c r="AF32" s="33" t="n">
        <f aca="false">+Q31</f>
        <v>0.00113502764941296</v>
      </c>
      <c r="AG32" s="33" t="n">
        <f aca="false">+R31</f>
        <v>0.000478295676215583</v>
      </c>
      <c r="AH32" s="33" t="n">
        <f aca="false">+S31</f>
        <v>0.000224799810013998</v>
      </c>
      <c r="AI32" s="33" t="n">
        <f aca="false">+T31</f>
        <v>0.00106179285964988</v>
      </c>
      <c r="AJ32" s="33" t="n">
        <f aca="false">+U31</f>
        <v>0.00126786440807636</v>
      </c>
      <c r="AK32" s="33" t="n">
        <f aca="false">+V31</f>
        <v>0.00127320500879731</v>
      </c>
      <c r="AL32" s="33" t="n">
        <f aca="false">+W31</f>
        <v>0.00109124596978821</v>
      </c>
      <c r="AM32" s="33" t="n">
        <f aca="false">+X31</f>
        <v>0.000909528660739678</v>
      </c>
      <c r="AN32" s="33" t="n">
        <f aca="false">+Y31</f>
        <v>0.00078964174284528</v>
      </c>
      <c r="AO32" s="33" t="n">
        <f aca="false">+Z31</f>
        <v>0.000442452516850933</v>
      </c>
      <c r="AP32" s="33" t="n">
        <f aca="false">+AA31</f>
        <v>0.00160834900857842</v>
      </c>
      <c r="AQ32" s="22" t="n">
        <f aca="false">+(H195/H183-1)/COUNTA(AE32:AP32)*12</f>
        <v>0.0114631706445847</v>
      </c>
      <c r="AS32" s="9"/>
      <c r="BD32" s="41"/>
    </row>
    <row r="33" customFormat="false" ht="14.25" hidden="false" customHeight="false" outlineLevel="0" collapsed="false">
      <c r="A33" s="17" t="n">
        <v>39629</v>
      </c>
      <c r="B33" s="20" t="n">
        <v>12552.23</v>
      </c>
      <c r="C33" s="24" t="n">
        <f aca="false">(B33/B32-1)/(A33-A32)*30</f>
        <v>0.00548554674088997</v>
      </c>
      <c r="D33" s="19" t="n">
        <f aca="false">B33/$B$3*100</f>
        <v>114.599375156348</v>
      </c>
      <c r="E33" s="19"/>
      <c r="F33" s="19"/>
      <c r="O33" s="3" t="n">
        <v>2023</v>
      </c>
      <c r="P33" s="31" t="n">
        <f aca="false">+I208</f>
        <v>0.0107178483186667</v>
      </c>
      <c r="Q33" s="31" t="n">
        <f aca="false">+I209</f>
        <v>0.00932460704446089</v>
      </c>
      <c r="R33" s="31" t="n">
        <f aca="false">+I210</f>
        <v>0.00939042693196421</v>
      </c>
      <c r="S33" s="31" t="n">
        <f aca="false">+I211</f>
        <v>0.00945752635700601</v>
      </c>
      <c r="T33" s="31" t="n">
        <f aca="false">+I212</f>
        <v>0.00939977786303745</v>
      </c>
      <c r="U33" s="31" t="n">
        <f aca="false">+I213</f>
        <v>0.00948928733729271</v>
      </c>
      <c r="V33" s="31" t="n">
        <f aca="false">+I214</f>
        <v>0.0095512586335587</v>
      </c>
      <c r="W33" s="31" t="n">
        <f aca="false">+I215</f>
        <v>0.00871046579931949</v>
      </c>
      <c r="X33" s="31" t="n">
        <f aca="false">+I216</f>
        <v>0.00870598699920899</v>
      </c>
      <c r="Y33" s="31" t="n">
        <f aca="false">+I217</f>
        <v>0.00802416378602992</v>
      </c>
      <c r="Z33" s="31" t="n">
        <f aca="false">+I218</f>
        <v>0.00751873852010121</v>
      </c>
      <c r="AA33" s="31" t="n">
        <f aca="false">+I219</f>
        <v>0.00838989577949865</v>
      </c>
      <c r="AD33" s="21" t="n">
        <v>2022</v>
      </c>
      <c r="AE33" s="33" t="n">
        <f aca="false">+P32</f>
        <v>0.00231545829619967</v>
      </c>
      <c r="AF33" s="33" t="n">
        <f aca="false">+Q32</f>
        <v>0.00361957331538495</v>
      </c>
      <c r="AG33" s="33" t="n">
        <f aca="false">+R32</f>
        <v>0.00360398657377771</v>
      </c>
      <c r="AH33" s="33" t="n">
        <f aca="false">+S32</f>
        <v>0.00544933253167845</v>
      </c>
      <c r="AI33" s="33" t="n">
        <f aca="false">+T32</f>
        <v>0.00708717654723077</v>
      </c>
      <c r="AJ33" s="33" t="n">
        <f aca="false">+U32</f>
        <v>0.00685648756260049</v>
      </c>
      <c r="AK33" s="33" t="n">
        <f aca="false">+V32</f>
        <v>0.00666084904963216</v>
      </c>
      <c r="AL33" s="33" t="n">
        <f aca="false">+W32</f>
        <v>0.00742667220312669</v>
      </c>
      <c r="AM33" s="33" t="n">
        <f aca="false">+X32</f>
        <v>0.00802014867386713</v>
      </c>
      <c r="AN33" s="33" t="n">
        <f aca="false">+Y32</f>
        <v>0.00853283759570286</v>
      </c>
      <c r="AO33" s="33" t="n">
        <f aca="false">+Z32</f>
        <v>0.00901575637091549</v>
      </c>
      <c r="AP33" s="33" t="n">
        <f aca="false">+AA32</f>
        <v>0.00959515733625338</v>
      </c>
      <c r="AQ33" s="22" t="n">
        <f aca="false">+(H207/H195-1)/COUNTA(AE33:AP33)*12</f>
        <v>0.0820816448580206</v>
      </c>
      <c r="AR33" s="9"/>
      <c r="AS33" s="9"/>
    </row>
    <row r="34" customFormat="false" ht="14.25" hidden="false" customHeight="false" outlineLevel="0" collapsed="false">
      <c r="A34" s="17" t="n">
        <v>39660</v>
      </c>
      <c r="B34" s="20" t="n">
        <v>12628.9</v>
      </c>
      <c r="C34" s="24" t="n">
        <f aca="false">(B34/B33-1)/(A34-A33)*30</f>
        <v>0.00591104323244138</v>
      </c>
      <c r="D34" s="19" t="n">
        <f aca="false">B34/$B$3*100</f>
        <v>115.29935707934</v>
      </c>
      <c r="E34" s="19"/>
      <c r="F34" s="19"/>
      <c r="O34" s="3" t="n">
        <v>2024</v>
      </c>
      <c r="P34" s="31" t="n">
        <f aca="false">+I220</f>
        <v>0.00755139589582306</v>
      </c>
      <c r="Q34" s="31" t="n">
        <f aca="false">+I221</f>
        <v>0.00607299552429659</v>
      </c>
      <c r="R34" s="31" t="n">
        <f aca="false">+I222</f>
        <v>0.00649207502839176</v>
      </c>
      <c r="S34" s="31" t="n">
        <f aca="false">+I223</f>
        <v>0.00540365868407353</v>
      </c>
      <c r="T34" s="31" t="n">
        <f aca="false">+I224</f>
        <v>0.0057917989042293</v>
      </c>
      <c r="U34" s="31" t="n">
        <f aca="false">+I225</f>
        <v>0.00529714490971367</v>
      </c>
      <c r="V34" s="31" t="n">
        <f aca="false">+I226</f>
        <v>0.00444070721036837</v>
      </c>
      <c r="W34" s="31" t="n">
        <f aca="false">+I227</f>
        <v>0.00407473185986469</v>
      </c>
      <c r="X34" s="31" t="n">
        <f aca="false">+I228</f>
        <v>0.00433433042258979</v>
      </c>
      <c r="Y34" s="31" t="n">
        <f aca="false">+I229</f>
        <v>0.00364657609315771</v>
      </c>
      <c r="Z34" s="31" t="n">
        <f aca="false">+I230</f>
        <v>0.00386311255026683</v>
      </c>
      <c r="AA34" s="31" t="n">
        <f aca="false">+I231</f>
        <v>0.00347830557343507</v>
      </c>
      <c r="AD34" s="21" t="n">
        <v>2023</v>
      </c>
      <c r="AE34" s="33" t="n">
        <f aca="false">+P33</f>
        <v>0.0107178483186667</v>
      </c>
      <c r="AF34" s="33" t="n">
        <f aca="false">+Q33</f>
        <v>0.00932460704446089</v>
      </c>
      <c r="AG34" s="33" t="n">
        <f aca="false">+R33</f>
        <v>0.00939042693196421</v>
      </c>
      <c r="AH34" s="33" t="n">
        <f aca="false">+S33</f>
        <v>0.00945752635700601</v>
      </c>
      <c r="AI34" s="33" t="n">
        <f aca="false">+T33</f>
        <v>0.00939977786303745</v>
      </c>
      <c r="AJ34" s="33" t="n">
        <f aca="false">+U33</f>
        <v>0.00948928733729271</v>
      </c>
      <c r="AK34" s="33" t="n">
        <f aca="false">+V33</f>
        <v>0.0095512586335587</v>
      </c>
      <c r="AL34" s="33" t="n">
        <f aca="false">+W33</f>
        <v>0.00871046579931949</v>
      </c>
      <c r="AM34" s="33" t="n">
        <f aca="false">+X33</f>
        <v>0.00870598699920899</v>
      </c>
      <c r="AN34" s="33" t="n">
        <f aca="false">+Y33</f>
        <v>0.00802416378602992</v>
      </c>
      <c r="AO34" s="33" t="n">
        <f aca="false">+Z33</f>
        <v>0.00751873852010121</v>
      </c>
      <c r="AP34" s="33" t="n">
        <f aca="false">+AA33</f>
        <v>0.00838989577949865</v>
      </c>
      <c r="AQ34" s="22" t="n">
        <f aca="false">+(H219/H207-1)/COUNTA(AE34:AP34)*12</f>
        <v>0.116322011851731</v>
      </c>
      <c r="AR34" s="25"/>
    </row>
    <row r="35" customFormat="false" ht="14.25" hidden="false" customHeight="false" outlineLevel="0" collapsed="false">
      <c r="A35" s="17" t="n">
        <v>39689</v>
      </c>
      <c r="B35" s="20" t="n">
        <v>12704.63</v>
      </c>
      <c r="C35" s="24" t="n">
        <f aca="false">(B35/B34-1)/(A35-A34)*30</f>
        <v>0.00620334148740949</v>
      </c>
      <c r="D35" s="19" t="n">
        <f aca="false">B35/$B$3*100</f>
        <v>115.990756988407</v>
      </c>
      <c r="E35" s="19"/>
      <c r="F35" s="19"/>
      <c r="O35" s="3" t="n">
        <v>2025</v>
      </c>
      <c r="P35" s="31" t="n">
        <f aca="false">+I232</f>
        <v>0.00282258645089376</v>
      </c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D35" s="21" t="n">
        <v>2024</v>
      </c>
      <c r="AE35" s="33" t="n">
        <f aca="false">+P34</f>
        <v>0.00755139589582306</v>
      </c>
      <c r="AF35" s="33" t="n">
        <f aca="false">+Q34</f>
        <v>0.00607299552429659</v>
      </c>
      <c r="AG35" s="33" t="n">
        <f aca="false">+R34</f>
        <v>0.00649207502839176</v>
      </c>
      <c r="AH35" s="33" t="n">
        <f aca="false">+S34</f>
        <v>0.00540365868407353</v>
      </c>
      <c r="AI35" s="33" t="n">
        <f aca="false">+T34</f>
        <v>0.0057917989042293</v>
      </c>
      <c r="AJ35" s="33" t="n">
        <f aca="false">+U34</f>
        <v>0.00529714490971367</v>
      </c>
      <c r="AK35" s="33" t="n">
        <f aca="false">+V34</f>
        <v>0.00444070721036837</v>
      </c>
      <c r="AL35" s="33" t="n">
        <f aca="false">+W34</f>
        <v>0.00407473185986469</v>
      </c>
      <c r="AM35" s="33" t="n">
        <f aca="false">+X34</f>
        <v>0.00433433042258979</v>
      </c>
      <c r="AN35" s="33" t="n">
        <f aca="false">+Y34</f>
        <v>0.00364657609315771</v>
      </c>
      <c r="AO35" s="33" t="n">
        <f aca="false">+Z34</f>
        <v>0.00386311255026683</v>
      </c>
      <c r="AP35" s="33" t="n">
        <f aca="false">+AA34</f>
        <v>0.00347830557343507</v>
      </c>
      <c r="AQ35" s="22" t="n">
        <f aca="false">+(H231/H219-1)/COUNTA(AE35:AP35)*12</f>
        <v>0.0630618242861352</v>
      </c>
      <c r="AR35" s="25"/>
      <c r="AS35" s="9"/>
    </row>
    <row r="36" customFormat="false" ht="14.25" hidden="false" customHeight="false" outlineLevel="0" collapsed="false">
      <c r="A36" s="17" t="n">
        <v>39721</v>
      </c>
      <c r="B36" s="20" t="n">
        <v>12796.95</v>
      </c>
      <c r="C36" s="24" t="n">
        <f aca="false">(B36/B35-1)/(A36-A35)*30</f>
        <v>0.0068124770260921</v>
      </c>
      <c r="D36" s="19" t="n">
        <f aca="false">B36/$B$3*100</f>
        <v>116.833620313444</v>
      </c>
      <c r="E36" s="19"/>
      <c r="F36" s="19"/>
      <c r="P36" s="10" t="n">
        <v>31</v>
      </c>
      <c r="Q36" s="10" t="n">
        <v>28</v>
      </c>
      <c r="R36" s="10" t="n">
        <v>31</v>
      </c>
      <c r="S36" s="10" t="n">
        <v>30</v>
      </c>
      <c r="T36" s="10" t="n">
        <v>31</v>
      </c>
      <c r="U36" s="10" t="n">
        <v>30</v>
      </c>
      <c r="V36" s="10" t="n">
        <v>31</v>
      </c>
      <c r="W36" s="10" t="n">
        <v>31</v>
      </c>
      <c r="X36" s="10" t="n">
        <v>30</v>
      </c>
      <c r="Y36" s="10" t="n">
        <v>31</v>
      </c>
      <c r="Z36" s="10" t="n">
        <v>30</v>
      </c>
      <c r="AA36" s="10" t="n">
        <v>31</v>
      </c>
      <c r="AD36" s="21" t="n">
        <v>2025</v>
      </c>
      <c r="AE36" s="33" t="n">
        <f aca="false">+P35</f>
        <v>0.00282258645089376</v>
      </c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22" t="n">
        <f aca="false">+(H232/H231-1)/COUNTA(AE36:AP36)*12</f>
        <v>0.0350000719910826</v>
      </c>
      <c r="AR36" s="9"/>
      <c r="AS36" s="9"/>
    </row>
    <row r="37" customFormat="false" ht="14.25" hidden="false" customHeight="false" outlineLevel="0" collapsed="false">
      <c r="A37" s="17" t="n">
        <v>39752</v>
      </c>
      <c r="B37" s="20" t="n">
        <v>12885.37</v>
      </c>
      <c r="C37" s="24" t="n">
        <f aca="false">(B37/B36-1)/(A37-A36)*30</f>
        <v>0.00668657312371183</v>
      </c>
      <c r="D37" s="19" t="n">
        <f aca="false">B37/$B$3*100</f>
        <v>117.640877410496</v>
      </c>
      <c r="E37" s="19"/>
      <c r="F37" s="19"/>
      <c r="P37" s="10" t="n">
        <v>1</v>
      </c>
      <c r="Q37" s="10" t="n">
        <v>2</v>
      </c>
      <c r="R37" s="10" t="n">
        <v>3</v>
      </c>
      <c r="S37" s="10" t="n">
        <v>4</v>
      </c>
      <c r="T37" s="10" t="n">
        <v>5</v>
      </c>
      <c r="U37" s="10" t="n">
        <v>6</v>
      </c>
      <c r="V37" s="10" t="n">
        <v>7</v>
      </c>
      <c r="W37" s="10" t="n">
        <v>8</v>
      </c>
      <c r="X37" s="10" t="n">
        <v>9</v>
      </c>
      <c r="Y37" s="10" t="n">
        <v>10</v>
      </c>
      <c r="Z37" s="10" t="n">
        <v>11</v>
      </c>
      <c r="AA37" s="10" t="n">
        <v>12</v>
      </c>
      <c r="AD37" s="25" t="s">
        <v>26</v>
      </c>
      <c r="AR37" s="25" t="s">
        <v>23</v>
      </c>
      <c r="AS37" s="9"/>
    </row>
    <row r="38" customFormat="false" ht="14.25" hidden="false" customHeight="false" outlineLevel="0" collapsed="false">
      <c r="A38" s="17" t="n">
        <v>39780</v>
      </c>
      <c r="B38" s="20" t="n">
        <v>12970.93</v>
      </c>
      <c r="C38" s="24" t="n">
        <f aca="false">(B38/B37-1)/(A38-A37)*30</f>
        <v>0.0071143807722579</v>
      </c>
      <c r="D38" s="19" t="n">
        <f aca="false">B38/$B$3*100</f>
        <v>118.422023273691</v>
      </c>
      <c r="E38" s="19"/>
      <c r="F38" s="19"/>
      <c r="O38" s="30" t="s">
        <v>25</v>
      </c>
      <c r="P38" s="3" t="s">
        <v>4</v>
      </c>
      <c r="Q38" s="3" t="s">
        <v>5</v>
      </c>
      <c r="R38" s="3" t="s">
        <v>6</v>
      </c>
      <c r="S38" s="3" t="s">
        <v>7</v>
      </c>
      <c r="T38" s="3" t="s">
        <v>8</v>
      </c>
      <c r="U38" s="3" t="s">
        <v>9</v>
      </c>
      <c r="V38" s="3" t="s">
        <v>10</v>
      </c>
      <c r="W38" s="3" t="s">
        <v>11</v>
      </c>
      <c r="X38" s="3" t="s">
        <v>12</v>
      </c>
      <c r="Y38" s="3" t="s">
        <v>13</v>
      </c>
      <c r="Z38" s="3" t="s">
        <v>14</v>
      </c>
      <c r="AA38" s="3" t="s">
        <v>15</v>
      </c>
      <c r="AD38" s="32" t="s">
        <v>25</v>
      </c>
      <c r="AE38" s="8" t="s">
        <v>4</v>
      </c>
      <c r="AF38" s="8" t="s">
        <v>5</v>
      </c>
      <c r="AG38" s="8" t="s">
        <v>6</v>
      </c>
      <c r="AH38" s="8" t="s">
        <v>7</v>
      </c>
      <c r="AI38" s="8" t="s">
        <v>8</v>
      </c>
      <c r="AJ38" s="8" t="s">
        <v>9</v>
      </c>
      <c r="AK38" s="8" t="s">
        <v>10</v>
      </c>
      <c r="AL38" s="8" t="s">
        <v>11</v>
      </c>
      <c r="AM38" s="8" t="s">
        <v>12</v>
      </c>
      <c r="AN38" s="8" t="s">
        <v>13</v>
      </c>
      <c r="AO38" s="8" t="s">
        <v>14</v>
      </c>
      <c r="AP38" s="8" t="s">
        <v>15</v>
      </c>
      <c r="AQ38" s="8" t="s">
        <v>16</v>
      </c>
      <c r="AR38" s="9"/>
      <c r="AS38" s="9"/>
      <c r="BE38" s="37"/>
      <c r="BF38" s="37"/>
      <c r="BG38" s="37"/>
      <c r="BH38" s="37"/>
      <c r="BI38" s="37"/>
      <c r="BJ38" s="37"/>
    </row>
    <row r="39" customFormat="false" ht="15" hidden="false" customHeight="true" outlineLevel="0" collapsed="false">
      <c r="A39" s="17" t="n">
        <v>39813</v>
      </c>
      <c r="B39" s="20" t="n">
        <v>13066.33</v>
      </c>
      <c r="C39" s="24" t="n">
        <f aca="false">(B39/B38-1)/(A39-A38)*30</f>
        <v>0.00668628022256474</v>
      </c>
      <c r="D39" s="19" t="n">
        <f aca="false">B39/$B$3*100</f>
        <v>119.293006389035</v>
      </c>
      <c r="E39" s="19"/>
      <c r="F39" s="19"/>
      <c r="O39" s="3" t="n">
        <v>2016</v>
      </c>
      <c r="P39" s="31"/>
      <c r="Q39" s="31"/>
      <c r="R39" s="31"/>
      <c r="S39" s="31"/>
      <c r="T39" s="31" t="n">
        <f aca="false">LOOKUP(DATE($O39,T$24,T$23),$A$2:$A$2941,$L$2:$L$2941)</f>
        <v>0.00210176122058937</v>
      </c>
      <c r="U39" s="31" t="n">
        <f aca="false">LOOKUP(DATE($O39,U$24,U$23),$A$2:$A$2941,$L$2:$L$2941)</f>
        <v>0.00206589659301071</v>
      </c>
      <c r="V39" s="31" t="n">
        <f aca="false">LOOKUP(DATE($O39,V$24,V$23),$A$2:$A$2941,$L$2:$L$2941)</f>
        <v>0.00199299848056975</v>
      </c>
      <c r="W39" s="31" t="n">
        <f aca="false">LOOKUP(DATE($O39,W$24,W$23),$A$2:$A$2941,$L$2:$L$2941)</f>
        <v>0.00194193450093384</v>
      </c>
      <c r="X39" s="31" t="n">
        <f aca="false">LOOKUP(DATE($O39,X$24,X$23),$A$2:$A$2941,$L$2:$L$2941)</f>
        <v>0.00191408748358657</v>
      </c>
      <c r="Y39" s="31" t="n">
        <f aca="false">LOOKUP(DATE($O39,Y$24,Y$23),$A$2:$A$2941,$L$2:$L$2941)</f>
        <v>0.00191732671273402</v>
      </c>
      <c r="Z39" s="31" t="n">
        <f aca="false">LOOKUP(DATE($O39,Z$24,Z$23),$A$2:$A$2941,$L$2:$L$2941)</f>
        <v>0.00191890299658515</v>
      </c>
      <c r="AA39" s="31" t="n">
        <f aca="false">LOOKUP(DATE($O39,AA$24,AA$23),$A$2:$A$2941,$L$2:$L$2941)</f>
        <v>0.00194140865789398</v>
      </c>
      <c r="AD39" s="14" t="n">
        <v>2016</v>
      </c>
      <c r="AE39" s="15"/>
      <c r="AF39" s="15"/>
      <c r="AG39" s="15"/>
      <c r="AH39" s="15"/>
      <c r="AI39" s="15"/>
      <c r="AJ39" s="15" t="n">
        <f aca="false">+U39</f>
        <v>0.00206589659301071</v>
      </c>
      <c r="AK39" s="15" t="n">
        <f aca="false">+V39</f>
        <v>0.00199299848056975</v>
      </c>
      <c r="AL39" s="15" t="n">
        <f aca="false">+W39</f>
        <v>0.00194193450093384</v>
      </c>
      <c r="AM39" s="15" t="n">
        <f aca="false">+X39</f>
        <v>0.00191408748358657</v>
      </c>
      <c r="AN39" s="15" t="n">
        <f aca="false">+Y39</f>
        <v>0.00191732671273402</v>
      </c>
      <c r="AO39" s="15" t="n">
        <f aca="false">+Z39</f>
        <v>0.00191890299658515</v>
      </c>
      <c r="AP39" s="15" t="n">
        <f aca="false">+AA39</f>
        <v>0.00194140865789398</v>
      </c>
      <c r="AQ39" s="16" t="n">
        <f aca="false">+K134/K128-1</f>
        <v>0.012005832650718</v>
      </c>
      <c r="AR39" s="9"/>
      <c r="AS39" s="9"/>
      <c r="BE39" s="41"/>
      <c r="BF39" s="41"/>
      <c r="BG39" s="41"/>
      <c r="BH39" s="41"/>
      <c r="BI39" s="41"/>
      <c r="BJ39" s="43"/>
    </row>
    <row r="40" customFormat="false" ht="15" hidden="false" customHeight="true" outlineLevel="0" collapsed="false">
      <c r="A40" s="17" t="n">
        <v>39843</v>
      </c>
      <c r="B40" s="20" t="n">
        <v>13151.16</v>
      </c>
      <c r="C40" s="24" t="n">
        <f aca="false">(B40/B39-1)/(A40-A39)*30</f>
        <v>0.0064922591117782</v>
      </c>
      <c r="D40" s="19" t="n">
        <f aca="false">B40/$B$3*100</f>
        <v>120.067487496736</v>
      </c>
      <c r="E40" s="19"/>
      <c r="F40" s="19"/>
      <c r="O40" s="3" t="n">
        <v>2017</v>
      </c>
      <c r="P40" s="31" t="n">
        <f aca="false">LOOKUP(DATE($O40,P$37,P$36),$A$2:$A$2941,$L$2:$L$2941)</f>
        <v>0.00206666781058754</v>
      </c>
      <c r="Q40" s="31" t="n">
        <f aca="false">LOOKUP(DATE($O40,Q$37,Q$36),$A$2:$A$2941,$L$2:$L$2941)</f>
        <v>0.00169966688838048</v>
      </c>
      <c r="R40" s="31" t="n">
        <f aca="false">LOOKUP(DATE($O40,R$37,R$36),$A$2:$A$2941,$L$2:$L$2941)</f>
        <v>0.00166238659132904</v>
      </c>
      <c r="S40" s="31" t="n">
        <f aca="false">LOOKUP(DATE($O40,S$37,S$36),$A$2:$A$2941,$L$2:$L$2941)</f>
        <v>0.00153128788688361</v>
      </c>
      <c r="T40" s="31" t="n">
        <f aca="false">LOOKUP(DATE($O40,T$37,T$36),$A$2:$A$2941,$L$2:$L$2941)</f>
        <v>0.00137462325040706</v>
      </c>
      <c r="U40" s="31" t="n">
        <f aca="false">LOOKUP(DATE($O40,U$37,U$36),$A$2:$A$2941,$L$2:$L$2941)</f>
        <v>0.00127365349297204</v>
      </c>
      <c r="V40" s="31" t="n">
        <f aca="false">LOOKUP(DATE($O40,V$37,V$36),$A$2:$A$2941,$L$2:$L$2941)</f>
        <v>0.00112425218934613</v>
      </c>
      <c r="W40" s="31" t="n">
        <f aca="false">LOOKUP(DATE($O40,W$37,W$36),$A$2:$A$2941,$L$2:$L$2941)</f>
        <v>0.00108632888350212</v>
      </c>
      <c r="X40" s="31" t="n">
        <f aca="false">LOOKUP(DATE($O40,X$37,X$36),$A$2:$A$2941,$L$2:$L$2941)</f>
        <v>0.00106874552388647</v>
      </c>
      <c r="Y40" s="31" t="n">
        <f aca="false">LOOKUP(DATE($O40,Y$37,Y$36),$A$2:$A$2941,$L$2:$L$2941)</f>
        <v>0.0010556808193083</v>
      </c>
      <c r="Z40" s="31" t="n">
        <f aca="false">LOOKUP(DATE($O40,Z$37,Z$36),$A$2:$A$2941,$L$2:$L$2941)</f>
        <v>0.00109330553318499</v>
      </c>
      <c r="AA40" s="31" t="n">
        <f aca="false">LOOKUP(DATE($O40,AA$37,AA$36),$A$2:$A$2941,$L$2:$L$2941)</f>
        <v>0.00109957372706403</v>
      </c>
      <c r="AD40" s="21" t="n">
        <v>2017</v>
      </c>
      <c r="AE40" s="33" t="n">
        <f aca="false">+P40</f>
        <v>0.00206666781058754</v>
      </c>
      <c r="AF40" s="33" t="n">
        <f aca="false">+Q40</f>
        <v>0.00169966688838048</v>
      </c>
      <c r="AG40" s="33" t="n">
        <f aca="false">+R40</f>
        <v>0.00166238659132904</v>
      </c>
      <c r="AH40" s="33" t="n">
        <f aca="false">+S40</f>
        <v>0.00153128788688361</v>
      </c>
      <c r="AI40" s="33" t="n">
        <f aca="false">+T40</f>
        <v>0.00137462325040706</v>
      </c>
      <c r="AJ40" s="33" t="n">
        <f aca="false">+U40</f>
        <v>0.00127365349297204</v>
      </c>
      <c r="AK40" s="33" t="n">
        <f aca="false">+V40</f>
        <v>0.00112425218934613</v>
      </c>
      <c r="AL40" s="33" t="n">
        <f aca="false">+W40</f>
        <v>0.00108632888350212</v>
      </c>
      <c r="AM40" s="33" t="n">
        <f aca="false">+X40</f>
        <v>0.00106874552388647</v>
      </c>
      <c r="AN40" s="33" t="n">
        <f aca="false">+Y40</f>
        <v>0.0010556808193083</v>
      </c>
      <c r="AO40" s="33" t="n">
        <f aca="false">+Z40</f>
        <v>0.00109330553318499</v>
      </c>
      <c r="AP40" s="33" t="n">
        <f aca="false">+AA40</f>
        <v>0.00109957372706403</v>
      </c>
      <c r="AQ40" s="22" t="n">
        <f aca="false">+K147/K136-1</f>
        <v>0.0142947299484879</v>
      </c>
      <c r="AR40" s="9"/>
      <c r="AS40" s="9"/>
      <c r="BE40" s="41"/>
      <c r="BF40" s="41"/>
      <c r="BG40" s="41"/>
      <c r="BH40" s="41"/>
      <c r="BI40" s="41"/>
      <c r="BJ40" s="43"/>
    </row>
    <row r="41" customFormat="false" ht="15" hidden="false" customHeight="true" outlineLevel="0" collapsed="false">
      <c r="A41" s="17" t="n">
        <v>39871</v>
      </c>
      <c r="B41" s="20" t="n">
        <v>13212.09</v>
      </c>
      <c r="C41" s="24" t="n">
        <f aca="false">(B41/B40-1)/(A41-A40)*30</f>
        <v>0.00496398362252023</v>
      </c>
      <c r="D41" s="19" t="n">
        <f aca="false">B41/$B$3*100</f>
        <v>120.623766335498</v>
      </c>
      <c r="E41" s="19"/>
      <c r="F41" s="19"/>
      <c r="O41" s="3" t="n">
        <v>2018</v>
      </c>
      <c r="P41" s="31" t="n">
        <f aca="false">LOOKUP(DATE($O41,P$37,P$36),$A$2:$A$2941,$L$2:$L$2941)</f>
        <v>0.00115156869187469</v>
      </c>
      <c r="Q41" s="31" t="n">
        <f aca="false">LOOKUP(DATE($O41,Q$37,Q$36),$A$2:$A$2941,$L$2:$L$2941)</f>
        <v>0.00111383441741315</v>
      </c>
      <c r="R41" s="31" t="n">
        <f aca="false">LOOKUP(DATE($O41,R$37,R$36),$A$2:$A$2941,$L$2:$L$2941)</f>
        <v>0.0010695929665623</v>
      </c>
      <c r="S41" s="31" t="n">
        <f aca="false">LOOKUP(DATE($O41,S$37,S$36),$A$2:$A$2941,$L$2:$L$2941)</f>
        <v>0.00103307819838738</v>
      </c>
      <c r="T41" s="31" t="n">
        <f aca="false">LOOKUP(DATE($O41,T$37,T$36),$A$2:$A$2941,$L$2:$L$2941)</f>
        <v>0.00102132747567358</v>
      </c>
      <c r="U41" s="31" t="n">
        <f aca="false">LOOKUP(DATE($O41,U$37,U$36),$A$2:$A$2941,$L$2:$L$2941)</f>
        <v>0.0010162455429219</v>
      </c>
      <c r="V41" s="31" t="n">
        <f aca="false">LOOKUP(DATE($O41,V$37,V$36),$A$2:$A$2941,$L$2:$L$2941)</f>
        <v>0.00101563699319824</v>
      </c>
      <c r="W41" s="31" t="n">
        <f aca="false">LOOKUP(DATE($O41,W$37,W$36),$A$2:$A$2941,$L$2:$L$2941)</f>
        <v>0.00101844932273222</v>
      </c>
      <c r="X41" s="31" t="n">
        <f aca="false">LOOKUP(DATE($O41,X$37,X$36),$A$2:$A$2941,$L$2:$L$2941)</f>
        <v>0.00100933132248038</v>
      </c>
      <c r="Y41" s="31" t="n">
        <f aca="false">LOOKUP(DATE($O41,Y$37,Y$36),$A$2:$A$2941,$L$2:$L$2941)</f>
        <v>0.00107535708180741</v>
      </c>
      <c r="Z41" s="31" t="n">
        <f aca="false">LOOKUP(DATE($O41,Z$37,Z$36),$A$2:$A$2941,$L$2:$L$2941)</f>
        <v>0.00102533230582402</v>
      </c>
      <c r="AA41" s="31" t="n">
        <f aca="false">LOOKUP(DATE($O41,AA$37,AA$36),$A$2:$A$2941,$L$2:$L$2941)</f>
        <v>0.00134728624527007</v>
      </c>
      <c r="AD41" s="14" t="n">
        <v>2018</v>
      </c>
      <c r="AE41" s="15" t="n">
        <f aca="false">+P41</f>
        <v>0.00115156869187469</v>
      </c>
      <c r="AF41" s="15" t="n">
        <f aca="false">+Q41</f>
        <v>0.00111383441741315</v>
      </c>
      <c r="AG41" s="15" t="n">
        <f aca="false">+R41</f>
        <v>0.0010695929665623</v>
      </c>
      <c r="AH41" s="15" t="n">
        <f aca="false">+S41</f>
        <v>0.00103307819838738</v>
      </c>
      <c r="AI41" s="15" t="n">
        <f aca="false">+T41</f>
        <v>0.00102132747567358</v>
      </c>
      <c r="AJ41" s="15" t="n">
        <f aca="false">+U41</f>
        <v>0.0010162455429219</v>
      </c>
      <c r="AK41" s="15" t="n">
        <f aca="false">+V41</f>
        <v>0.00101563699319824</v>
      </c>
      <c r="AL41" s="15" t="n">
        <f aca="false">+W41</f>
        <v>0.00101844932273222</v>
      </c>
      <c r="AM41" s="15" t="n">
        <f aca="false">+X41</f>
        <v>0.00100933132248038</v>
      </c>
      <c r="AN41" s="15" t="n">
        <f aca="false">+Y41</f>
        <v>0.00107535708180741</v>
      </c>
      <c r="AO41" s="15" t="n">
        <f aca="false">+Z41</f>
        <v>0.00102533230582402</v>
      </c>
      <c r="AP41" s="15" t="n">
        <f aca="false">+AA41</f>
        <v>0.00134728624527007</v>
      </c>
      <c r="AQ41" s="16" t="n">
        <f aca="false">+K159/K148-1</f>
        <v>0.0119538751901545</v>
      </c>
      <c r="AR41" s="9"/>
      <c r="AS41" s="9"/>
      <c r="BE41" s="41"/>
      <c r="BF41" s="41"/>
      <c r="BG41" s="41"/>
      <c r="BH41" s="41"/>
      <c r="BI41" s="41"/>
      <c r="BJ41" s="43"/>
    </row>
    <row r="42" customFormat="false" ht="14.25" hidden="false" customHeight="false" outlineLevel="0" collapsed="false">
      <c r="A42" s="17" t="n">
        <v>39903</v>
      </c>
      <c r="B42" s="20" t="n">
        <v>13251.18</v>
      </c>
      <c r="C42" s="24" t="n">
        <f aca="false">(B42/B41-1)/(A42-A41)*30</f>
        <v>0.00277373791731671</v>
      </c>
      <c r="D42" s="19" t="n">
        <f aca="false">B42/$B$3*100</f>
        <v>120.98065029754</v>
      </c>
      <c r="E42" s="19"/>
      <c r="F42" s="19"/>
      <c r="O42" s="3" t="n">
        <v>2019</v>
      </c>
      <c r="P42" s="31" t="n">
        <f aca="false">LOOKUP(DATE($O42,P$37,P$36),$A$2:$A$2941,$L$2:$L$2941)</f>
        <v>0.00132101500258492</v>
      </c>
      <c r="Q42" s="31" t="n">
        <f aca="false">LOOKUP(DATE($O42,Q$37,Q$36),$A$2:$A$2941,$L$2:$L$2941)</f>
        <v>0.00139557333557535</v>
      </c>
      <c r="R42" s="31" t="n">
        <f aca="false">LOOKUP(DATE($O42,R$37,R$36),$A$2:$A$2941,$L$2:$L$2941)</f>
        <v>0.00140221374318611</v>
      </c>
      <c r="S42" s="31" t="n">
        <f aca="false">LOOKUP(DATE($O42,S$37,S$36),$A$2:$A$2941,$L$2:$L$2941)</f>
        <v>0.0014166869166139</v>
      </c>
      <c r="T42" s="31" t="n">
        <f aca="false">LOOKUP(DATE($O42,T$37,T$36),$A$2:$A$2941,$L$2:$L$2941)</f>
        <v>0.001323276436851</v>
      </c>
      <c r="U42" s="31" t="n">
        <f aca="false">LOOKUP(DATE($O42,U$37,U$36),$A$2:$A$2941,$L$2:$L$2941)</f>
        <v>0.00119907123395202</v>
      </c>
      <c r="V42" s="31" t="n">
        <f aca="false">LOOKUP(DATE($O42,V$37,V$36),$A$2:$A$2941,$L$2:$L$2941)</f>
        <v>0.00100369403718635</v>
      </c>
      <c r="W42" s="31" t="n">
        <f aca="false">LOOKUP(DATE($O42,W$37,W$36),$A$2:$A$2941,$L$2:$L$2941)</f>
        <v>0.000930980550613598</v>
      </c>
      <c r="X42" s="31" t="n">
        <f aca="false">LOOKUP(DATE($O42,X$37,X$36),$A$2:$A$2941,$L$2:$L$2941)</f>
        <v>0.00106835787484783</v>
      </c>
      <c r="Y42" s="31" t="n">
        <f aca="false">LOOKUP(DATE($O42,Y$37,Y$36),$A$2:$A$2941,$L$2:$L$2941)</f>
        <v>0.000629278093338842</v>
      </c>
      <c r="Z42" s="31" t="n">
        <f aca="false">LOOKUP(DATE($O42,Z$37,Z$36),$A$2:$A$2941,$L$2:$L$2941)</f>
        <v>0.000691726317945118</v>
      </c>
      <c r="AA42" s="31" t="n">
        <f aca="false">LOOKUP(DATE($O42,AA$37,AA$36),$A$2:$A$2941,$L$2:$L$2941)</f>
        <v>0.000600412819311486</v>
      </c>
      <c r="AD42" s="21" t="n">
        <v>2019</v>
      </c>
      <c r="AE42" s="33" t="n">
        <f aca="false">+P42</f>
        <v>0.00132101500258492</v>
      </c>
      <c r="AF42" s="33" t="n">
        <f aca="false">+Q42</f>
        <v>0.00139557333557535</v>
      </c>
      <c r="AG42" s="33" t="n">
        <f aca="false">+R42</f>
        <v>0.00140221374318611</v>
      </c>
      <c r="AH42" s="33" t="n">
        <f aca="false">+S42</f>
        <v>0.0014166869166139</v>
      </c>
      <c r="AI42" s="33" t="n">
        <f aca="false">+T42</f>
        <v>0.001323276436851</v>
      </c>
      <c r="AJ42" s="33" t="n">
        <f aca="false">+U42</f>
        <v>0.00119907123395202</v>
      </c>
      <c r="AK42" s="33" t="n">
        <f aca="false">+V42</f>
        <v>0.00100369403718635</v>
      </c>
      <c r="AL42" s="33" t="n">
        <f aca="false">+W42</f>
        <v>0.000930980550613598</v>
      </c>
      <c r="AM42" s="33" t="n">
        <f aca="false">+X42</f>
        <v>0.00106835787484783</v>
      </c>
      <c r="AN42" s="33" t="n">
        <f aca="false">+Y42</f>
        <v>0.000629278093338842</v>
      </c>
      <c r="AO42" s="33" t="n">
        <f aca="false">+Z42</f>
        <v>0.000691726317945118</v>
      </c>
      <c r="AP42" s="33" t="n">
        <f aca="false">+AA42</f>
        <v>0.000600412819311486</v>
      </c>
      <c r="AQ42" s="22" t="n">
        <f aca="false">+(K171/K159-1)/COUNTA(AE42:AP42)*12</f>
        <v>0.013208385593459</v>
      </c>
      <c r="AR42" s="9"/>
      <c r="AS42" s="9"/>
      <c r="BE42" s="41"/>
      <c r="BF42" s="41"/>
      <c r="BG42" s="41"/>
      <c r="BH42" s="41"/>
      <c r="BI42" s="41"/>
      <c r="BJ42" s="43"/>
    </row>
    <row r="43" customFormat="false" ht="14.25" hidden="false" customHeight="false" outlineLevel="0" collapsed="false">
      <c r="A43" s="17" t="n">
        <v>39933</v>
      </c>
      <c r="B43" s="20" t="n">
        <v>13272.62</v>
      </c>
      <c r="C43" s="24" t="n">
        <f aca="false">(B43/B42-1)/(A43-A42)*30</f>
        <v>0.00161796911671264</v>
      </c>
      <c r="D43" s="19" t="n">
        <f aca="false">B43/$B$3*100</f>
        <v>121.176393253441</v>
      </c>
      <c r="E43" s="19"/>
      <c r="F43" s="19"/>
      <c r="O43" s="3" t="n">
        <v>2020</v>
      </c>
      <c r="P43" s="31" t="n">
        <f aca="false">LOOKUP(DATE($O43,P$37,P$36),$A$2:$A$2941,$L$2:$L$2941)</f>
        <v>0.000494048438913942</v>
      </c>
      <c r="Q43" s="31" t="n">
        <f aca="false">LOOKUP(DATE($O43,Q$37,Q$36)+1,$A$2:$A$2941,$L$2:$L$2941)</f>
        <v>0.000492891285649559</v>
      </c>
      <c r="R43" s="31" t="n">
        <f aca="false">LOOKUP(DATE($O43,R$37,R$36),$A$2:$A$2941,$L$2:$L$2941)</f>
        <v>0.000917982620611394</v>
      </c>
      <c r="S43" s="31" t="n">
        <f aca="false">LOOKUP(DATE($O43,S$37,S$36),$A$2:$A$2941,$L$2:$L$2941)</f>
        <v>0.00220008663316351</v>
      </c>
      <c r="T43" s="31" t="n">
        <f aca="false">LOOKUP(DATE($O43,T$37,T$36),$A$2:$A$2941,$L$2:$L$2941)</f>
        <v>0.000310210869152602</v>
      </c>
      <c r="U43" s="31" t="n">
        <f aca="false">LOOKUP(DATE($O43,U$37,U$36),$A$2:$A$2941,$L$2:$L$2941)</f>
        <v>0.000100108302503399</v>
      </c>
      <c r="V43" s="31" t="n">
        <f aca="false">LOOKUP(DATE($O43,V$37,V$36),$A$2:$A$2941,$L$2:$L$2941)</f>
        <v>8.7419122293085E-005</v>
      </c>
      <c r="W43" s="31" t="n">
        <f aca="false">LOOKUP(DATE($O43,W$37,W$36),$A$2:$A$2941,$L$2:$L$2941)</f>
        <v>9.78666425215953E-005</v>
      </c>
      <c r="X43" s="31" t="n">
        <f aca="false">LOOKUP(DATE($O43,X$37,X$36),$A$2:$A$2941,$L$2:$L$2941)</f>
        <v>7.08706922130098E-005</v>
      </c>
      <c r="Y43" s="31" t="n">
        <f aca="false">LOOKUP(DATE($O43,Y$37,Y$36),$A$2:$A$2941,$L$2:$L$2941)</f>
        <v>6.51477379625694E-005</v>
      </c>
      <c r="Z43" s="31" t="n">
        <f aca="false">LOOKUP(DATE($O43,Z$37,Z$36),$A$2:$A$2941,$L$2:$L$2941)</f>
        <v>6.09358900838242E-005</v>
      </c>
      <c r="AA43" s="31" t="n">
        <f aca="false">LOOKUP(DATE($O43,AA$37,AA$36),$A$2:$A$2941,$L$2:$L$2941)</f>
        <v>5.86708038472924E-005</v>
      </c>
      <c r="AD43" s="21" t="n">
        <v>2020</v>
      </c>
      <c r="AE43" s="33" t="n">
        <f aca="false">+P43</f>
        <v>0.000494048438913942</v>
      </c>
      <c r="AF43" s="33" t="n">
        <f aca="false">+Q43</f>
        <v>0.000492891285649559</v>
      </c>
      <c r="AG43" s="33" t="n">
        <f aca="false">+R43</f>
        <v>0.000917982620611394</v>
      </c>
      <c r="AH43" s="33" t="n">
        <f aca="false">+S43</f>
        <v>0.00220008663316351</v>
      </c>
      <c r="AI43" s="33" t="n">
        <f aca="false">+T43</f>
        <v>0.000310210869152602</v>
      </c>
      <c r="AJ43" s="33" t="n">
        <f aca="false">+U43</f>
        <v>0.000100108302503399</v>
      </c>
      <c r="AK43" s="33" t="n">
        <f aca="false">+V43</f>
        <v>8.7419122293085E-005</v>
      </c>
      <c r="AL43" s="33" t="n">
        <f aca="false">+W43</f>
        <v>9.78666425215953E-005</v>
      </c>
      <c r="AM43" s="33" t="n">
        <f aca="false">+X43</f>
        <v>7.08706922130098E-005</v>
      </c>
      <c r="AN43" s="33" t="n">
        <f aca="false">+Y43</f>
        <v>6.51477379625694E-005</v>
      </c>
      <c r="AO43" s="33" t="n">
        <f aca="false">+Z43</f>
        <v>6.09358900838242E-005</v>
      </c>
      <c r="AP43" s="33" t="n">
        <f aca="false">+AA43</f>
        <v>5.86708038472924E-005</v>
      </c>
      <c r="AQ43" s="22" t="n">
        <f aca="false">+(K183/K171-1)/COUNTA(AE43:AP43)*12</f>
        <v>0.00501687943009377</v>
      </c>
      <c r="AR43" s="9"/>
      <c r="AS43" s="9"/>
      <c r="BE43" s="41"/>
      <c r="BF43" s="41"/>
      <c r="BG43" s="41"/>
      <c r="BH43" s="41"/>
      <c r="BI43" s="41"/>
      <c r="BJ43" s="43"/>
    </row>
    <row r="44" customFormat="false" ht="14.25" hidden="false" customHeight="false" outlineLevel="0" collapsed="false">
      <c r="A44" s="17" t="n">
        <v>39962</v>
      </c>
      <c r="B44" s="20" t="n">
        <v>13286.96</v>
      </c>
      <c r="C44" s="24" t="n">
        <f aca="false">(B44/B43-1)/(A44-A43)*30</f>
        <v>0.00111767554247918</v>
      </c>
      <c r="D44" s="19" t="n">
        <f aca="false">B44/$B$3*100</f>
        <v>121.307314614805</v>
      </c>
      <c r="E44" s="19"/>
      <c r="F44" s="19"/>
      <c r="O44" s="3" t="n">
        <v>2021</v>
      </c>
      <c r="P44" s="31" t="n">
        <f aca="false">LOOKUP(DATE($O44,P$37,P$36),$A$2:$A$2941,$L$2:$L$2941)</f>
        <v>5.0167891265519E-005</v>
      </c>
      <c r="Q44" s="31" t="n">
        <f aca="false">LOOKUP(DATE($O44,Q$37,Q$36),$A$2:$A$2941,$L$2:$L$2941)</f>
        <v>5.63260886863156E-005</v>
      </c>
      <c r="R44" s="31" t="n">
        <f aca="false">LOOKUP(DATE($O44,R$37,R$36),$A$2:$A$2941,$L$2:$L$2941)</f>
        <v>5.22922002018035E-005</v>
      </c>
      <c r="S44" s="31" t="n">
        <f aca="false">LOOKUP(DATE($O44,S$37,S$36),$A$2:$A$2941,$L$2:$L$2941)</f>
        <v>6.6256868343384E-005</v>
      </c>
      <c r="T44" s="31" t="n">
        <f aca="false">LOOKUP(DATE($O44,T$37,T$36),$A$2:$A$2941,$L$2:$L$2941)</f>
        <v>5.81414592230296E-005</v>
      </c>
      <c r="U44" s="31" t="n">
        <f aca="false">LOOKUP(DATE($O44,U$37,U$36),$A$2:$A$2941,$L$2:$L$2941)</f>
        <v>5.99332972144318E-005</v>
      </c>
      <c r="V44" s="31" t="n">
        <f aca="false">LOOKUP(DATE($O44,V$37,V$36),$A$2:$A$2941,$L$2:$L$2941)</f>
        <v>5.98889646373815E-005</v>
      </c>
      <c r="W44" s="31" t="n">
        <f aca="false">LOOKUP(DATE($O44,W$37,W$36),$A$2:$A$2941,$L$2:$L$2941)</f>
        <v>6.00429551559976E-005</v>
      </c>
      <c r="X44" s="31" t="n">
        <f aca="false">LOOKUP(DATE($O44,X$37,X$36),$A$2:$A$2941,$L$2:$L$2941)</f>
        <v>-0.000117767035173966</v>
      </c>
      <c r="Y44" s="31" t="n">
        <f aca="false">LOOKUP(DATE($O44,Y$37,Y$36),$A$2:$A$2941,$L$2:$L$2941)</f>
        <v>0.00098934462740187</v>
      </c>
      <c r="Z44" s="31" t="n">
        <f aca="false">LOOKUP(DATE($O44,Z$37,Z$36),$A$2:$A$2941,$L$2:$L$2941)</f>
        <v>0.00125922502391873</v>
      </c>
      <c r="AA44" s="31" t="n">
        <f aca="false">LOOKUP(DATE($O44,AA$37,AA$36),$A$2:$A$2941,$L$2:$L$2941)</f>
        <v>0.00176428278787249</v>
      </c>
      <c r="AD44" s="21" t="n">
        <v>2021</v>
      </c>
      <c r="AE44" s="33" t="n">
        <f aca="false">+P44</f>
        <v>5.0167891265519E-005</v>
      </c>
      <c r="AF44" s="33" t="n">
        <f aca="false">+Q44</f>
        <v>5.63260886863156E-005</v>
      </c>
      <c r="AG44" s="33" t="n">
        <f aca="false">+R44</f>
        <v>5.22922002018035E-005</v>
      </c>
      <c r="AH44" s="33" t="n">
        <f aca="false">+S44</f>
        <v>6.6256868343384E-005</v>
      </c>
      <c r="AI44" s="33" t="n">
        <f aca="false">+T44</f>
        <v>5.81414592230296E-005</v>
      </c>
      <c r="AJ44" s="33" t="n">
        <f aca="false">+U44</f>
        <v>5.99332972144318E-005</v>
      </c>
      <c r="AK44" s="33" t="n">
        <f aca="false">+V44</f>
        <v>5.98889646373815E-005</v>
      </c>
      <c r="AL44" s="33" t="n">
        <f aca="false">+W44</f>
        <v>6.00429551559976E-005</v>
      </c>
      <c r="AM44" s="33" t="n">
        <f aca="false">+X44</f>
        <v>-0.000117767035173966</v>
      </c>
      <c r="AN44" s="33" t="n">
        <f aca="false">+Y44</f>
        <v>0.00098934462740187</v>
      </c>
      <c r="AO44" s="33" t="n">
        <f aca="false">+Z44</f>
        <v>0.00125922502391873</v>
      </c>
      <c r="AP44" s="33" t="n">
        <f aca="false">+AA44</f>
        <v>0.00176428278787249</v>
      </c>
      <c r="AQ44" s="22" t="n">
        <f aca="false">+(K195/K183-1)/COUNTA(AE44:AP44)*12</f>
        <v>0.00446245101879761</v>
      </c>
      <c r="AR44" s="9"/>
      <c r="AS44" s="9"/>
      <c r="BD44" s="41"/>
      <c r="BE44" s="41"/>
      <c r="BF44" s="41"/>
      <c r="BG44" s="41"/>
      <c r="BH44" s="41"/>
      <c r="BI44" s="41"/>
      <c r="BJ44" s="43"/>
    </row>
    <row r="45" customFormat="false" ht="15.75" hidden="false" customHeight="true" outlineLevel="0" collapsed="false">
      <c r="A45" s="17" t="n">
        <v>39994</v>
      </c>
      <c r="B45" s="20" t="n">
        <v>13299.08</v>
      </c>
      <c r="C45" s="24" t="n">
        <f aca="false">(B45/B44-1)/(A45-A44)*30</f>
        <v>0.000855161752575523</v>
      </c>
      <c r="D45" s="19" t="n">
        <f aca="false">B45/$B$3*100</f>
        <v>121.417967815622</v>
      </c>
      <c r="E45" s="19"/>
      <c r="F45" s="19"/>
      <c r="O45" s="3" t="n">
        <v>2022</v>
      </c>
      <c r="P45" s="31" t="n">
        <f aca="false">LOOKUP(DATE($O45,P$37,P$36),$A$2:$A$2941,$L$2:$L$2941)</f>
        <v>0.00248871057809198</v>
      </c>
      <c r="Q45" s="31" t="n">
        <f aca="false">LOOKUP(DATE($O45,Q$37,Q$36),$A$2:$A$2941,$L$2:$L$2941)</f>
        <v>0.00353608384855779</v>
      </c>
      <c r="R45" s="31" t="n">
        <f aca="false">LOOKUP(DATE($O45,R$37,R$36),$A$2:$A$2941,$L$2:$L$2941)</f>
        <v>0.00367026449772572</v>
      </c>
      <c r="S45" s="31" t="n">
        <f aca="false">LOOKUP(DATE($O45,S$37,S$36),$A$2:$A$2941,$L$2:$L$2941)</f>
        <v>0.00457161325790945</v>
      </c>
      <c r="T45" s="31" t="n">
        <f aca="false">+L200</f>
        <v>0.00533280008235847</v>
      </c>
      <c r="U45" s="31" t="n">
        <f aca="false">+L201</f>
        <v>0.00588359145110817</v>
      </c>
      <c r="V45" s="31" t="n">
        <f aca="false">+L202</f>
        <v>0.00630180669104238</v>
      </c>
      <c r="W45" s="31" t="n">
        <f aca="false">+L203</f>
        <v>0.00680366648257052</v>
      </c>
      <c r="X45" s="31" t="n">
        <f aca="false">+L204</f>
        <v>0.00733574547403659</v>
      </c>
      <c r="Y45" s="31" t="n">
        <f aca="false">+L205</f>
        <v>0.00775955656318685</v>
      </c>
      <c r="Z45" s="31" t="n">
        <f aca="false">+L206</f>
        <v>0.00794709517845488</v>
      </c>
      <c r="AA45" s="31" t="n">
        <f aca="false">+L207</f>
        <v>0.00792817195118678</v>
      </c>
      <c r="AD45" s="21" t="n">
        <v>2022</v>
      </c>
      <c r="AE45" s="33" t="n">
        <f aca="false">+P45</f>
        <v>0.00248871057809198</v>
      </c>
      <c r="AF45" s="33" t="n">
        <f aca="false">+Q45</f>
        <v>0.00353608384855779</v>
      </c>
      <c r="AG45" s="33" t="n">
        <f aca="false">+R45</f>
        <v>0.00367026449772572</v>
      </c>
      <c r="AH45" s="33" t="n">
        <f aca="false">+S45</f>
        <v>0.00457161325790945</v>
      </c>
      <c r="AI45" s="33" t="n">
        <f aca="false">+T45</f>
        <v>0.00533280008235847</v>
      </c>
      <c r="AJ45" s="33" t="n">
        <f aca="false">+U45</f>
        <v>0.00588359145110817</v>
      </c>
      <c r="AK45" s="33" t="n">
        <f aca="false">+V45</f>
        <v>0.00630180669104238</v>
      </c>
      <c r="AL45" s="33" t="n">
        <f aca="false">+W45</f>
        <v>0.00680366648257052</v>
      </c>
      <c r="AM45" s="33" t="n">
        <f aca="false">+X45</f>
        <v>0.00733574547403659</v>
      </c>
      <c r="AN45" s="33" t="n">
        <f aca="false">+Y45</f>
        <v>0.00775955656318685</v>
      </c>
      <c r="AO45" s="33" t="n">
        <f aca="false">+Z45</f>
        <v>0.00794709517845488</v>
      </c>
      <c r="AP45" s="33" t="n">
        <f aca="false">+AA45</f>
        <v>0.00792817195118678</v>
      </c>
      <c r="AQ45" s="22" t="n">
        <f aca="false">+(K207/K195-1)/COUNTA(AE45:AP45)*12</f>
        <v>0.0727164295690508</v>
      </c>
      <c r="AR45" s="9"/>
      <c r="AS45" s="9"/>
      <c r="BD45" s="41"/>
      <c r="BE45" s="41"/>
      <c r="BF45" s="41"/>
      <c r="BG45" s="41"/>
      <c r="BH45" s="41"/>
      <c r="BI45" s="41"/>
      <c r="BJ45" s="43"/>
    </row>
    <row r="46" customFormat="false" ht="14.25" hidden="false" customHeight="false" outlineLevel="0" collapsed="false">
      <c r="A46" s="17" t="n">
        <v>40025</v>
      </c>
      <c r="B46" s="20" t="n">
        <v>13305.34</v>
      </c>
      <c r="C46" s="24" t="n">
        <f aca="false">(B46/B45-1)/(A46-A45)*30</f>
        <v>0.000455525082647034</v>
      </c>
      <c r="D46" s="19" t="n">
        <f aca="false">B46/$B$3*100</f>
        <v>121.47512037644</v>
      </c>
      <c r="E46" s="19"/>
      <c r="F46" s="19"/>
      <c r="O46" s="3" t="n">
        <v>2023</v>
      </c>
      <c r="P46" s="31" t="n">
        <f aca="false">+L208</f>
        <v>0.00791373033388998</v>
      </c>
      <c r="Q46" s="31" t="n">
        <f aca="false">+L209</f>
        <v>0.00791546662684725</v>
      </c>
      <c r="R46" s="44" t="n">
        <f aca="false">+L210</f>
        <v>0.00794552771901819</v>
      </c>
      <c r="S46" s="31" t="n">
        <f aca="false">+L211</f>
        <v>0.00799090615854378</v>
      </c>
      <c r="T46" s="44" t="n">
        <f aca="false">+L212</f>
        <v>0.00802279674632251</v>
      </c>
      <c r="U46" s="44" t="n">
        <f aca="false">+L213</f>
        <v>0.00800289135407151</v>
      </c>
      <c r="V46" s="44" t="n">
        <f aca="false">+L214</f>
        <v>0.00793981170339564</v>
      </c>
      <c r="W46" s="44" t="n">
        <f aca="false">+L215</f>
        <v>0.00735124411072392</v>
      </c>
      <c r="X46" s="44" t="n">
        <f aca="false">+L216</f>
        <v>0.00678482261305935</v>
      </c>
      <c r="Y46" s="44" t="n">
        <f aca="false">+L217</f>
        <v>0.0064607251902496</v>
      </c>
      <c r="Z46" s="44" t="n">
        <f aca="false">+L218</f>
        <v>0.00616956723192952</v>
      </c>
      <c r="AA46" s="44" t="n">
        <f aca="false">+L219</f>
        <v>0.00590472761028043</v>
      </c>
      <c r="AD46" s="21" t="n">
        <v>2023</v>
      </c>
      <c r="AE46" s="33" t="n">
        <f aca="false">+P46</f>
        <v>0.00791373033388998</v>
      </c>
      <c r="AF46" s="33" t="n">
        <f aca="false">+Q46</f>
        <v>0.00791546662684725</v>
      </c>
      <c r="AG46" s="33" t="n">
        <f aca="false">+R46</f>
        <v>0.00794552771901819</v>
      </c>
      <c r="AH46" s="33" t="n">
        <f aca="false">+S46</f>
        <v>0.00799090615854378</v>
      </c>
      <c r="AI46" s="33" t="n">
        <f aca="false">+T46</f>
        <v>0.00802279674632251</v>
      </c>
      <c r="AJ46" s="33" t="n">
        <f aca="false">+U46</f>
        <v>0.00800289135407151</v>
      </c>
      <c r="AK46" s="33" t="n">
        <f aca="false">+V46</f>
        <v>0.00793981170339564</v>
      </c>
      <c r="AL46" s="33" t="n">
        <f aca="false">+W46</f>
        <v>0.00735124411072392</v>
      </c>
      <c r="AM46" s="33" t="n">
        <f aca="false">+X46</f>
        <v>0.00678482261305935</v>
      </c>
      <c r="AN46" s="33" t="n">
        <f aca="false">+Y46</f>
        <v>0.0064607251902496</v>
      </c>
      <c r="AO46" s="33" t="n">
        <f aca="false">+Z46</f>
        <v>0.00616956723192952</v>
      </c>
      <c r="AP46" s="33" t="n">
        <f aca="false">+AA46</f>
        <v>0.00590472761028043</v>
      </c>
      <c r="AQ46" s="22" t="n">
        <f aca="false">+(K219/K207-1)/COUNTA(AE46:AP46)*12</f>
        <v>0.093648405763658</v>
      </c>
      <c r="AR46" s="9"/>
      <c r="AS46" s="9"/>
      <c r="BD46" s="41"/>
      <c r="BE46" s="41"/>
      <c r="BF46" s="41"/>
      <c r="BG46" s="41"/>
      <c r="BH46" s="41"/>
      <c r="BI46" s="41"/>
      <c r="BJ46" s="43"/>
    </row>
    <row r="47" customFormat="false" ht="14.25" hidden="false" customHeight="false" outlineLevel="0" collapsed="false">
      <c r="A47" s="17" t="n">
        <v>40056</v>
      </c>
      <c r="B47" s="20" t="n">
        <v>13310.07</v>
      </c>
      <c r="C47" s="24" t="n">
        <f aca="false">(B47/B46-1)/(A47-A46)*30</f>
        <v>0.000344028739952432</v>
      </c>
      <c r="D47" s="19" t="n">
        <f aca="false">B47/$B$3*100</f>
        <v>121.518304340125</v>
      </c>
      <c r="E47" s="19"/>
      <c r="F47" s="19"/>
      <c r="O47" s="3" t="n">
        <v>2024</v>
      </c>
      <c r="P47" s="44" t="n">
        <f aca="false">+L220</f>
        <v>0.00568251266298558</v>
      </c>
      <c r="Q47" s="44" t="n">
        <f aca="false">+L221</f>
        <v>0.005260252521299</v>
      </c>
      <c r="R47" s="44" t="n">
        <f aca="false">+L222</f>
        <v>0.00476801737914621</v>
      </c>
      <c r="S47" s="31" t="n">
        <f aca="false">+L223</f>
        <v>0.00429102184873626</v>
      </c>
      <c r="T47" s="44" t="n">
        <f aca="false">+L224</f>
        <v>0.00403335179608358</v>
      </c>
      <c r="U47" s="44" t="n">
        <f aca="false">+L225</f>
        <v>0.00365019312776771</v>
      </c>
      <c r="V47" s="44" t="n">
        <f aca="false">+L226</f>
        <v>0.00351689620169189</v>
      </c>
      <c r="W47" s="44" t="n">
        <f aca="false">+L227</f>
        <v>0.00351064782186953</v>
      </c>
      <c r="X47" s="44" t="n">
        <f aca="false">+L228</f>
        <v>0.0033754452875443</v>
      </c>
      <c r="Y47" s="44" t="n">
        <f aca="false">+L229</f>
        <v>0.00330078677001207</v>
      </c>
      <c r="Z47" s="44" t="n">
        <f aca="false">+L230</f>
        <v>0.00322037460491331</v>
      </c>
      <c r="AA47" s="44" t="n">
        <f aca="false">+L231</f>
        <v>0.00312566700191516</v>
      </c>
      <c r="AD47" s="21" t="n">
        <v>2024</v>
      </c>
      <c r="AE47" s="33" t="n">
        <f aca="false">+P47</f>
        <v>0.00568251266298558</v>
      </c>
      <c r="AF47" s="33" t="n">
        <f aca="false">+Q47</f>
        <v>0.005260252521299</v>
      </c>
      <c r="AG47" s="33" t="n">
        <f aca="false">+R47</f>
        <v>0.00476801737914621</v>
      </c>
      <c r="AH47" s="33" t="n">
        <f aca="false">+S47</f>
        <v>0.00429102184873626</v>
      </c>
      <c r="AI47" s="33" t="n">
        <f aca="false">+T47</f>
        <v>0.00403335179608358</v>
      </c>
      <c r="AJ47" s="33" t="n">
        <f aca="false">+U47</f>
        <v>0.00365019312776771</v>
      </c>
      <c r="AK47" s="33" t="n">
        <f aca="false">+V47</f>
        <v>0.00351689620169189</v>
      </c>
      <c r="AL47" s="33" t="n">
        <f aca="false">+W47</f>
        <v>0.00351064782186953</v>
      </c>
      <c r="AM47" s="33" t="n">
        <f aca="false">+X47</f>
        <v>0.0033754452875443</v>
      </c>
      <c r="AN47" s="33" t="n">
        <f aca="false">+Y47</f>
        <v>0.00330078677001207</v>
      </c>
      <c r="AO47" s="33" t="n">
        <f aca="false">+Z47</f>
        <v>0.00322037460491331</v>
      </c>
      <c r="AP47" s="33" t="n">
        <f aca="false">+AA47</f>
        <v>0.00312566700191516</v>
      </c>
      <c r="AQ47" s="22" t="n">
        <f aca="false">+(K231/K219-1)/COUNTA(AE47:AP47)*12</f>
        <v>0.0495295629197707</v>
      </c>
      <c r="AR47" s="9"/>
      <c r="AS47" s="9"/>
      <c r="BD47" s="41"/>
      <c r="BE47" s="41"/>
      <c r="BF47" s="41"/>
      <c r="BG47" s="41"/>
      <c r="BH47" s="41"/>
      <c r="BI47" s="41"/>
      <c r="BJ47" s="43"/>
    </row>
    <row r="48" customFormat="false" ht="14.25" hidden="false" customHeight="false" outlineLevel="0" collapsed="false">
      <c r="A48" s="17" t="n">
        <v>40086</v>
      </c>
      <c r="B48" s="20" t="n">
        <v>13315.05</v>
      </c>
      <c r="C48" s="24" t="n">
        <f aca="false">(B48/B47-1)/(A48-A47)*30</f>
        <v>0.000374152803103156</v>
      </c>
      <c r="D48" s="19" t="n">
        <f aca="false">B48/$B$3*100</f>
        <v>121.563770754322</v>
      </c>
      <c r="E48" s="19"/>
      <c r="F48" s="19"/>
      <c r="O48" s="3" t="n">
        <v>2025</v>
      </c>
      <c r="P48" s="44" t="n">
        <f aca="false">+L232</f>
        <v>0.00292278419423869</v>
      </c>
      <c r="R48" s="17"/>
      <c r="S48" s="45"/>
      <c r="AD48" s="21" t="n">
        <v>2025</v>
      </c>
      <c r="AE48" s="33" t="n">
        <f aca="false">+P48</f>
        <v>0.00292278419423869</v>
      </c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22" t="n">
        <f aca="false">+(K232/K231-1)/COUNTA(AE48:AP48)*12</f>
        <v>0.0362425240085598</v>
      </c>
      <c r="AR48" s="9"/>
      <c r="AS48" s="9"/>
      <c r="BD48" s="41"/>
      <c r="BE48" s="41"/>
      <c r="BF48" s="41"/>
      <c r="BG48" s="41"/>
      <c r="BH48" s="41"/>
      <c r="BI48" s="41"/>
      <c r="BJ48" s="43"/>
    </row>
    <row r="49" customFormat="false" ht="14.25" hidden="false" customHeight="false" outlineLevel="0" collapsed="false">
      <c r="A49" s="17" t="n">
        <v>40116</v>
      </c>
      <c r="B49" s="20" t="n">
        <v>13319.74</v>
      </c>
      <c r="C49" s="24" t="n">
        <f aca="false">(B49/B48-1)/(A49-A48)*30</f>
        <v>0.000352232999500712</v>
      </c>
      <c r="D49" s="19" t="n">
        <f aca="false">B49/$B$3*100</f>
        <v>121.606589525926</v>
      </c>
      <c r="E49" s="19"/>
      <c r="F49" s="19"/>
      <c r="R49" s="17"/>
      <c r="S49" s="45"/>
      <c r="AD49" s="25" t="s">
        <v>26</v>
      </c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BD49" s="41"/>
      <c r="BE49" s="41"/>
      <c r="BF49" s="41"/>
      <c r="BG49" s="41"/>
      <c r="BH49" s="41"/>
      <c r="BI49" s="41"/>
      <c r="BJ49" s="43"/>
      <c r="BK49" s="46"/>
    </row>
    <row r="50" customFormat="false" ht="14.25" hidden="false" customHeight="false" outlineLevel="0" collapsed="false">
      <c r="A50" s="17" t="n">
        <v>40147</v>
      </c>
      <c r="B50" s="20" t="n">
        <v>13324.51</v>
      </c>
      <c r="C50" s="24" t="n">
        <f aca="false">(B50/B49-1)/(A50-A49)*30</f>
        <v>0.000346562998396176</v>
      </c>
      <c r="D50" s="19" t="n">
        <f aca="false">B50/$B$3*100</f>
        <v>121.650138681693</v>
      </c>
      <c r="E50" s="19"/>
      <c r="F50" s="19"/>
      <c r="R50" s="17"/>
      <c r="S50" s="45"/>
      <c r="AD50" s="25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BD50" s="41"/>
      <c r="BE50" s="41"/>
      <c r="BF50" s="41"/>
      <c r="BG50" s="41"/>
      <c r="BH50" s="41"/>
      <c r="BI50" s="41"/>
      <c r="BJ50" s="43"/>
      <c r="BK50" s="46"/>
    </row>
    <row r="51" customFormat="false" ht="14.25" hidden="false" customHeight="false" outlineLevel="0" collapsed="false">
      <c r="A51" s="17" t="n">
        <v>40178</v>
      </c>
      <c r="B51" s="20" t="n">
        <v>13329.5</v>
      </c>
      <c r="C51" s="24" t="n">
        <f aca="false">(B51/B50-1)/(A51-A50)*30</f>
        <v>0.000362417248969413</v>
      </c>
      <c r="D51" s="19" t="n">
        <f aca="false">B51/$B$3*100</f>
        <v>121.695696393911</v>
      </c>
      <c r="E51" s="19"/>
      <c r="F51" s="19"/>
      <c r="R51" s="17"/>
      <c r="S51" s="45"/>
      <c r="AD51" s="25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customFormat="false" ht="14.25" hidden="false" customHeight="false" outlineLevel="0" collapsed="false">
      <c r="A52" s="17" t="n">
        <v>40207</v>
      </c>
      <c r="B52" s="20" t="n">
        <v>13334.25</v>
      </c>
      <c r="C52" s="24" t="n">
        <f aca="false">(B52/B51-1)/(A52-A51)*30</f>
        <v>0.000368640466892793</v>
      </c>
      <c r="D52" s="19" t="n">
        <f aca="false">B52/$B$3*100</f>
        <v>121.739062953637</v>
      </c>
      <c r="E52" s="19"/>
      <c r="F52" s="19"/>
      <c r="R52" s="17"/>
      <c r="S52" s="45"/>
      <c r="AD52" s="25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</row>
    <row r="53" customFormat="false" ht="14.25" hidden="false" customHeight="false" outlineLevel="0" collapsed="false">
      <c r="A53" s="17" t="n">
        <v>40235</v>
      </c>
      <c r="B53" s="20" t="n">
        <v>13338.53</v>
      </c>
      <c r="C53" s="24" t="n">
        <f aca="false">(B53/B52-1)/(A53-A52)*30</f>
        <v>0.000343904927964735</v>
      </c>
      <c r="D53" s="19" t="n">
        <f aca="false">B53/$B$3*100</f>
        <v>121.778138506401</v>
      </c>
      <c r="E53" s="19"/>
      <c r="F53" s="19"/>
      <c r="R53" s="17"/>
      <c r="S53" s="45"/>
      <c r="AC53" s="47" t="s">
        <v>37</v>
      </c>
      <c r="AD53" s="48" t="s">
        <v>38</v>
      </c>
      <c r="AE53" s="48" t="s">
        <v>4</v>
      </c>
      <c r="AF53" s="48" t="s">
        <v>5</v>
      </c>
      <c r="AG53" s="48" t="s">
        <v>6</v>
      </c>
      <c r="AH53" s="48" t="s">
        <v>7</v>
      </c>
      <c r="AI53" s="48" t="s">
        <v>8</v>
      </c>
      <c r="AJ53" s="48" t="s">
        <v>9</v>
      </c>
      <c r="AK53" s="48" t="s">
        <v>10</v>
      </c>
      <c r="AL53" s="48" t="s">
        <v>11</v>
      </c>
      <c r="AM53" s="48" t="s">
        <v>12</v>
      </c>
      <c r="AN53" s="48" t="s">
        <v>13</v>
      </c>
      <c r="AO53" s="48" t="s">
        <v>14</v>
      </c>
      <c r="AP53" s="48" t="s">
        <v>15</v>
      </c>
      <c r="AQ53" s="48" t="s">
        <v>16</v>
      </c>
      <c r="AR53" s="9"/>
      <c r="AS53" s="9"/>
    </row>
    <row r="54" customFormat="false" ht="14.25" hidden="false" customHeight="false" outlineLevel="0" collapsed="false">
      <c r="A54" s="17" t="n">
        <v>40268</v>
      </c>
      <c r="B54" s="20" t="n">
        <v>13343.79</v>
      </c>
      <c r="C54" s="24" t="n">
        <f aca="false">(B54/B53-1)/(A54-A53)*30</f>
        <v>0.000358496639571185</v>
      </c>
      <c r="D54" s="19" t="n">
        <f aca="false">B54/$B$3*100</f>
        <v>121.826161265171</v>
      </c>
      <c r="E54" s="19"/>
      <c r="F54" s="19"/>
      <c r="R54" s="17"/>
      <c r="S54" s="45"/>
      <c r="AC54" s="49" t="n">
        <v>2013</v>
      </c>
      <c r="AD54" s="49" t="s">
        <v>3</v>
      </c>
      <c r="AE54" s="50" t="n">
        <f aca="false">AE9</f>
        <v>0.00456860502403746</v>
      </c>
      <c r="AF54" s="50" t="n">
        <f aca="false">AF9</f>
        <v>0.00417453266121161</v>
      </c>
      <c r="AG54" s="50" t="n">
        <f aca="false">AG9</f>
        <v>0.00402938730701959</v>
      </c>
      <c r="AH54" s="50" t="n">
        <f aca="false">AH9</f>
        <v>0.00430136179565985</v>
      </c>
      <c r="AI54" s="50" t="n">
        <f aca="false">AI9</f>
        <v>0.00418691139971771</v>
      </c>
      <c r="AJ54" s="50" t="n">
        <f aca="false">AJ9</f>
        <v>0.00417586429228964</v>
      </c>
      <c r="AK54" s="50" t="n">
        <f aca="false">AK9</f>
        <v>0.0041935429783752</v>
      </c>
      <c r="AL54" s="50" t="n">
        <f aca="false">AL9</f>
        <v>0.00417700990933101</v>
      </c>
      <c r="AM54" s="50" t="n">
        <f aca="false">AM9</f>
        <v>0.00417603134934674</v>
      </c>
      <c r="AN54" s="50" t="n">
        <f aca="false">AN9</f>
        <v>0.00395880485699199</v>
      </c>
      <c r="AO54" s="50" t="n">
        <f aca="false">AO9</f>
        <v>0.00403700978042654</v>
      </c>
      <c r="AP54" s="50" t="n">
        <f aca="false">AP9</f>
        <v>0.00363951531406219</v>
      </c>
      <c r="AQ54" s="51" t="n">
        <f aca="false">AQ9</f>
        <v>0.0514803933405776</v>
      </c>
      <c r="AR54" s="9"/>
      <c r="AS54" s="9"/>
    </row>
    <row r="55" customFormat="false" ht="14.25" hidden="false" customHeight="false" outlineLevel="0" collapsed="false">
      <c r="A55" s="17" t="n">
        <v>40298</v>
      </c>
      <c r="B55" s="20" t="n">
        <v>13348.63</v>
      </c>
      <c r="C55" s="24" t="n">
        <f aca="false">(B55/B54-1)/(A55-A54)*30</f>
        <v>0.000362715540337399</v>
      </c>
      <c r="D55" s="19" t="n">
        <f aca="false">B55/$B$3*100</f>
        <v>121.870349507082</v>
      </c>
      <c r="E55" s="19"/>
      <c r="F55" s="19"/>
      <c r="R55" s="17"/>
      <c r="S55" s="45"/>
      <c r="AC55" s="52" t="n">
        <v>2014</v>
      </c>
      <c r="AD55" s="52" t="s">
        <v>3</v>
      </c>
      <c r="AE55" s="53" t="n">
        <f aca="false">AE10</f>
        <v>0.0038751212891769</v>
      </c>
      <c r="AF55" s="53" t="n">
        <f aca="false">AF10</f>
        <v>0.00367752678494823</v>
      </c>
      <c r="AG55" s="53" t="n">
        <f aca="false">AG10</f>
        <v>0.00343528358155682</v>
      </c>
      <c r="AH55" s="53" t="n">
        <f aca="false">AH10</f>
        <v>0.00333784899924461</v>
      </c>
      <c r="AI55" s="53" t="n">
        <f aca="false">AI10</f>
        <v>0.0033374356897462</v>
      </c>
      <c r="AJ55" s="53" t="n">
        <f aca="false">AJ10</f>
        <v>0.00333791962829792</v>
      </c>
      <c r="AK55" s="53" t="n">
        <f aca="false">AK10</f>
        <v>0.00324302804883782</v>
      </c>
      <c r="AL55" s="53" t="n">
        <f aca="false">AL10</f>
        <v>0.00305066918728811</v>
      </c>
      <c r="AM55" s="53" t="n">
        <f aca="false">AM10</f>
        <v>0.0027827262259824</v>
      </c>
      <c r="AN55" s="53" t="n">
        <f aca="false">AN10</f>
        <v>0.00254477121384836</v>
      </c>
      <c r="AO55" s="53" t="n">
        <f aca="false">AO10</f>
        <v>0.00259576167120579</v>
      </c>
      <c r="AP55" s="53" t="n">
        <f aca="false">AP10</f>
        <v>0.00242833106649904</v>
      </c>
      <c r="AQ55" s="51" t="n">
        <f aca="false">AQ10</f>
        <v>0.0387740755105999</v>
      </c>
      <c r="AR55" s="54"/>
      <c r="AS55" s="9"/>
    </row>
    <row r="56" customFormat="false" ht="14.25" hidden="false" customHeight="false" outlineLevel="0" collapsed="false">
      <c r="A56" s="17" t="n">
        <v>40329</v>
      </c>
      <c r="B56" s="20" t="n">
        <v>13353.5</v>
      </c>
      <c r="C56" s="24" t="n">
        <f aca="false">(B56/B55-1)/(A56-A55)*30</f>
        <v>0.00035306269076351</v>
      </c>
      <c r="D56" s="19" t="n">
        <f aca="false">B56/$B$3*100</f>
        <v>121.914811643054</v>
      </c>
      <c r="E56" s="19"/>
      <c r="F56" s="19"/>
      <c r="R56" s="17"/>
      <c r="S56" s="45"/>
      <c r="AC56" s="49" t="n">
        <v>2015</v>
      </c>
      <c r="AD56" s="49" t="s">
        <v>3</v>
      </c>
      <c r="AE56" s="50" t="n">
        <f aca="false">AE11</f>
        <v>0.00258912554986668</v>
      </c>
      <c r="AF56" s="50" t="n">
        <f aca="false">AF11</f>
        <v>0.00250175993867666</v>
      </c>
      <c r="AG56" s="50" t="n">
        <f aca="false">AG11</f>
        <v>0.00250477121103515</v>
      </c>
      <c r="AH56" s="50" t="n">
        <f aca="false">AH11</f>
        <v>0.00250495353036917</v>
      </c>
      <c r="AI56" s="50" t="n">
        <f aca="false">AI11</f>
        <v>0.00250183901099918</v>
      </c>
      <c r="AJ56" s="50" t="n">
        <f aca="false">AJ11</f>
        <v>0.00250233194669942</v>
      </c>
      <c r="AK56" s="50" t="n">
        <f aca="false">AK11</f>
        <v>0.00250124984444025</v>
      </c>
      <c r="AL56" s="50" t="n">
        <f aca="false">AL11</f>
        <v>0.00250064024291679</v>
      </c>
      <c r="AM56" s="50" t="n">
        <f aca="false">AM11</f>
        <v>0.00250572573977292</v>
      </c>
      <c r="AN56" s="50" t="n">
        <f aca="false">AN11</f>
        <v>0.00260270667087625</v>
      </c>
      <c r="AO56" s="50" t="n">
        <f aca="false">AO11</f>
        <v>0.00271209739123785</v>
      </c>
      <c r="AP56" s="50" t="n">
        <f aca="false">AP11</f>
        <v>0.00270220691786938</v>
      </c>
      <c r="AQ56" s="51" t="n">
        <f aca="false">AQ11</f>
        <v>0.0315061451814078</v>
      </c>
      <c r="AR56" s="9"/>
      <c r="AS56" s="9"/>
    </row>
    <row r="57" customFormat="false" ht="14.25" hidden="false" customHeight="false" outlineLevel="0" collapsed="false">
      <c r="A57" s="17" t="n">
        <v>40359</v>
      </c>
      <c r="B57" s="20" t="n">
        <v>13360.9</v>
      </c>
      <c r="C57" s="24" t="n">
        <f aca="false">(B57/B56-1)/(A57-A56)*30</f>
        <v>0.000554161830231825</v>
      </c>
      <c r="D57" s="19" t="n">
        <f aca="false">B57/$B$3*100</f>
        <v>121.982372178206</v>
      </c>
      <c r="E57" s="19"/>
      <c r="F57" s="19"/>
      <c r="R57" s="17"/>
      <c r="S57" s="45"/>
      <c r="AC57" s="52" t="n">
        <v>2016</v>
      </c>
      <c r="AD57" s="52" t="s">
        <v>3</v>
      </c>
      <c r="AE57" s="53" t="n">
        <f aca="false">AE12</f>
        <v>0.00302217774667121</v>
      </c>
      <c r="AF57" s="53" t="n">
        <f aca="false">AF12</f>
        <v>0.00292064570015064</v>
      </c>
      <c r="AG57" s="53" t="n">
        <f aca="false">AG12</f>
        <v>0.00292102170160664</v>
      </c>
      <c r="AH57" s="53" t="n">
        <f aca="false">AH12</f>
        <v>0.0029201864337197</v>
      </c>
      <c r="AI57" s="53" t="n">
        <f aca="false">AI12</f>
        <v>0.00292140107218071</v>
      </c>
      <c r="AJ57" s="53" t="n">
        <f aca="false">AJ12</f>
        <v>0.00292053779189994</v>
      </c>
      <c r="AK57" s="53" t="n">
        <f aca="false">AK12</f>
        <v>0.00289846803993268</v>
      </c>
      <c r="AL57" s="53" t="n">
        <f aca="false">AL12</f>
        <v>0.00294285760558838</v>
      </c>
      <c r="AM57" s="53" t="n">
        <f aca="false">AM12</f>
        <v>0.00292011454894903</v>
      </c>
      <c r="AN57" s="53" t="n">
        <f aca="false">AN12</f>
        <v>0.00292090550277028</v>
      </c>
      <c r="AO57" s="53" t="n">
        <f aca="false">AO12</f>
        <v>0.00292018807560002</v>
      </c>
      <c r="AP57" s="53" t="n">
        <f aca="false">AP12</f>
        <v>0.00294211401821993</v>
      </c>
      <c r="AQ57" s="51" t="n">
        <f aca="false">AQ12</f>
        <v>0.0363438378902297</v>
      </c>
      <c r="AR57" s="9"/>
      <c r="AS57" s="9"/>
    </row>
    <row r="58" customFormat="false" ht="14.25" hidden="false" customHeight="false" outlineLevel="0" collapsed="false">
      <c r="A58" s="17" t="n">
        <v>40389</v>
      </c>
      <c r="B58" s="20" t="n">
        <v>13373.99</v>
      </c>
      <c r="C58" s="24" t="n">
        <f aca="false">(B58/B57-1)/(A58-A57)*30</f>
        <v>0.00097972441976224</v>
      </c>
      <c r="D58" s="19" t="n">
        <f aca="false">B58/$B$3*100</f>
        <v>122.10188128701</v>
      </c>
      <c r="E58" s="19"/>
      <c r="F58" s="19"/>
      <c r="R58" s="17"/>
      <c r="S58" s="45"/>
      <c r="AC58" s="55" t="n">
        <v>2017</v>
      </c>
      <c r="AD58" s="49" t="s">
        <v>3</v>
      </c>
      <c r="AE58" s="50" t="n">
        <f aca="false">+AE13</f>
        <v>0.00280310406619276</v>
      </c>
      <c r="AF58" s="50" t="n">
        <f aca="false">+AF13</f>
        <v>0.00268019937197288</v>
      </c>
      <c r="AG58" s="50" t="n">
        <f aca="false">+AG13</f>
        <v>0.00261495681570322</v>
      </c>
      <c r="AH58" s="50" t="n">
        <f aca="false">+AH13</f>
        <v>0.00225491285505464</v>
      </c>
      <c r="AI58" s="50" t="n">
        <f aca="false">+AI13</f>
        <v>0.00235884042991986</v>
      </c>
      <c r="AJ58" s="50" t="n">
        <f aca="false">+AJ13</f>
        <v>0.00208725757609263</v>
      </c>
      <c r="AK58" s="50" t="n">
        <f aca="false">+AK13</f>
        <v>0.00208692683846153</v>
      </c>
      <c r="AL58" s="50" t="n">
        <f aca="false">+AL13</f>
        <v>0.00208462236825332</v>
      </c>
      <c r="AM58" s="50" t="n">
        <f aca="false">+AM13</f>
        <v>0.00208250980763447</v>
      </c>
      <c r="AN58" s="50" t="n">
        <f aca="false">+AN13</f>
        <v>0.00208824412389173</v>
      </c>
      <c r="AO58" s="50" t="n">
        <f aca="false">+AO13</f>
        <v>0.00208595808442036</v>
      </c>
      <c r="AP58" s="50" t="n">
        <f aca="false">+AP13</f>
        <v>0.000873640257343073</v>
      </c>
      <c r="AQ58" s="51" t="n">
        <f aca="false">+AQ40</f>
        <v>0.0142947299484879</v>
      </c>
      <c r="AR58" s="9"/>
      <c r="AS58" s="9"/>
    </row>
    <row r="59" customFormat="false" ht="14.25" hidden="false" customHeight="false" outlineLevel="0" collapsed="false">
      <c r="A59" s="17" t="n">
        <v>40421</v>
      </c>
      <c r="B59" s="20" t="n">
        <v>13395.21</v>
      </c>
      <c r="C59" s="24" t="n">
        <f aca="false">(B59/B58-1)/(A59-A58)*30</f>
        <v>0.00148749550433341</v>
      </c>
      <c r="D59" s="19" t="n">
        <f aca="false">B59/$B$3*100</f>
        <v>122.295615686461</v>
      </c>
      <c r="E59" s="19"/>
      <c r="F59" s="19"/>
      <c r="R59" s="17"/>
      <c r="S59" s="45"/>
      <c r="AC59" s="55"/>
      <c r="AD59" s="49" t="s">
        <v>25</v>
      </c>
      <c r="AE59" s="50" t="n">
        <f aca="false">+AE40</f>
        <v>0.00206666781058754</v>
      </c>
      <c r="AF59" s="50" t="n">
        <f aca="false">+AF40</f>
        <v>0.00169966688838048</v>
      </c>
      <c r="AG59" s="50" t="n">
        <f aca="false">+AG40</f>
        <v>0.00166238659132904</v>
      </c>
      <c r="AH59" s="50" t="n">
        <f aca="false">+AH40</f>
        <v>0.00153128788688361</v>
      </c>
      <c r="AI59" s="50" t="n">
        <f aca="false">+AI40</f>
        <v>0.00137462325040706</v>
      </c>
      <c r="AJ59" s="50" t="n">
        <f aca="false">+AJ40</f>
        <v>0.00127365349297204</v>
      </c>
      <c r="AK59" s="50" t="n">
        <f aca="false">+AK40</f>
        <v>0.00112425218934613</v>
      </c>
      <c r="AL59" s="50" t="n">
        <f aca="false">+AL40</f>
        <v>0.00108632888350212</v>
      </c>
      <c r="AM59" s="50" t="n">
        <f aca="false">+AM40</f>
        <v>0.00106874552388647</v>
      </c>
      <c r="AN59" s="50" t="n">
        <f aca="false">+AN40</f>
        <v>0.0010556808193083</v>
      </c>
      <c r="AO59" s="50" t="n">
        <f aca="false">+AO40</f>
        <v>0.00109330553318499</v>
      </c>
      <c r="AP59" s="50" t="n">
        <f aca="false">+AP40</f>
        <v>0.00109957372706403</v>
      </c>
      <c r="AQ59" s="51" t="n">
        <f aca="false">+AQ40</f>
        <v>0.0142947299484879</v>
      </c>
      <c r="AR59" s="54"/>
      <c r="AS59" s="9"/>
    </row>
    <row r="60" customFormat="false" ht="14.25" hidden="false" customHeight="false" outlineLevel="0" collapsed="false">
      <c r="A60" s="17" t="n">
        <v>40451</v>
      </c>
      <c r="B60" s="20" t="n">
        <v>13419.79</v>
      </c>
      <c r="C60" s="24" t="n">
        <f aca="false">(B60/B59-1)/(A60-A59)*30</f>
        <v>0.00183498429662565</v>
      </c>
      <c r="D60" s="19" t="n">
        <f aca="false">B60/$B$3*100</f>
        <v>122.520026220792</v>
      </c>
      <c r="E60" s="19"/>
      <c r="F60" s="19"/>
      <c r="R60" s="17"/>
      <c r="S60" s="45"/>
      <c r="AC60" s="55"/>
      <c r="AD60" s="49" t="s">
        <v>27</v>
      </c>
      <c r="AE60" s="50" t="n">
        <f aca="false">+AE28</f>
        <v>0.00285237409837658</v>
      </c>
      <c r="AF60" s="50" t="n">
        <f aca="false">+AF28</f>
        <v>0.00193066575335291</v>
      </c>
      <c r="AG60" s="50" t="n">
        <f aca="false">+AG28</f>
        <v>0.00229812871495633</v>
      </c>
      <c r="AH60" s="50" t="n">
        <f aca="false">+AH28</f>
        <v>0.00185174166857505</v>
      </c>
      <c r="AI60" s="50" t="n">
        <f aca="false">+AI28</f>
        <v>0.00137601433028738</v>
      </c>
      <c r="AJ60" s="50" t="n">
        <f aca="false">+AJ28</f>
        <v>0.0066078033528012</v>
      </c>
      <c r="AK60" s="50" t="n">
        <f aca="false">+AK28</f>
        <v>0.00309244335637744</v>
      </c>
      <c r="AL60" s="50" t="n">
        <f aca="false">+AL28</f>
        <v>0.00293915563469253</v>
      </c>
      <c r="AM60" s="50" t="n">
        <f aca="false">+AM28</f>
        <v>0.00243367787652216</v>
      </c>
      <c r="AN60" s="50" t="n">
        <f aca="false">+AN28</f>
        <v>0.00203758067773253</v>
      </c>
      <c r="AO60" s="50" t="n">
        <f aca="false">+AO28</f>
        <v>0.00244565310037403</v>
      </c>
      <c r="AP60" s="50" t="n">
        <f aca="false">+AP28</f>
        <v>0.00237550212098284</v>
      </c>
      <c r="AQ60" s="51" t="n">
        <f aca="false">+AQ28</f>
        <v>0.0301253840431299</v>
      </c>
      <c r="AR60" s="54"/>
      <c r="AS60" s="9"/>
    </row>
    <row r="61" customFormat="false" ht="14.25" hidden="false" customHeight="false" outlineLevel="0" collapsed="false">
      <c r="A61" s="17" t="n">
        <v>40480</v>
      </c>
      <c r="B61" s="20" t="n">
        <v>13448.69</v>
      </c>
      <c r="C61" s="24" t="n">
        <f aca="false">(B61/B60-1)/(A61-A60)*30</f>
        <v>0.00222779579443021</v>
      </c>
      <c r="D61" s="19" t="n">
        <f aca="false">B61/$B$3*100</f>
        <v>122.783877499968</v>
      </c>
      <c r="E61" s="19"/>
      <c r="F61" s="19"/>
      <c r="R61" s="17"/>
      <c r="S61" s="45"/>
      <c r="AC61" s="56" t="n">
        <v>2018</v>
      </c>
      <c r="AD61" s="52" t="s">
        <v>3</v>
      </c>
      <c r="AE61" s="53" t="n">
        <f aca="false">+AE14</f>
        <v>0.00329431344320307</v>
      </c>
      <c r="AF61" s="53" t="n">
        <f aca="false">+AF14</f>
        <v>0.0020809275906505</v>
      </c>
      <c r="AG61" s="53" t="n">
        <f aca="false">+AG14</f>
        <v>0.00208541509050955</v>
      </c>
      <c r="AH61" s="53" t="n">
        <f aca="false">+AH14</f>
        <v>0.00207810036525014</v>
      </c>
      <c r="AI61" s="53" t="n">
        <f aca="false">+AI14</f>
        <v>0.00207125225755497</v>
      </c>
      <c r="AJ61" s="53" t="n">
        <f aca="false">+AJ14</f>
        <v>0.00208774934509837</v>
      </c>
      <c r="AK61" s="53" t="n">
        <f aca="false">+AK14</f>
        <v>0.00208481942639968</v>
      </c>
      <c r="AL61" s="53" t="n">
        <f aca="false">+AL14</f>
        <v>0.00207620769367104</v>
      </c>
      <c r="AM61" s="53" t="n">
        <f aca="false">+AM14</f>
        <v>0.00204850697470471</v>
      </c>
      <c r="AN61" s="53" t="n">
        <f aca="false">+AN14</f>
        <v>0.00220232016640697</v>
      </c>
      <c r="AO61" s="53" t="n">
        <f aca="false">+AO14</f>
        <v>0.00229299572149211</v>
      </c>
      <c r="AP61" s="53" t="n">
        <f aca="false">+AP14</f>
        <v>0.00229128928489532</v>
      </c>
      <c r="AQ61" s="51" t="n">
        <f aca="false">+AQ14</f>
        <v>0.0274301662224075</v>
      </c>
      <c r="AR61" s="54" t="s">
        <v>23</v>
      </c>
    </row>
    <row r="62" customFormat="false" ht="14.25" hidden="false" customHeight="false" outlineLevel="0" collapsed="false">
      <c r="A62" s="17" t="n">
        <v>40512</v>
      </c>
      <c r="B62" s="20" t="n">
        <v>13483.02</v>
      </c>
      <c r="C62" s="24" t="n">
        <f aca="false">(B62/B61-1)/(A62-A61)*30</f>
        <v>0.00239312341945575</v>
      </c>
      <c r="D62" s="19" t="n">
        <f aca="false">B62/$B$3*100</f>
        <v>123.097303604263</v>
      </c>
      <c r="E62" s="19"/>
      <c r="F62" s="19"/>
      <c r="R62" s="17"/>
      <c r="S62" s="45"/>
      <c r="AC62" s="56"/>
      <c r="AD62" s="52" t="s">
        <v>25</v>
      </c>
      <c r="AE62" s="53" t="n">
        <f aca="false">+AE41</f>
        <v>0.00115156869187469</v>
      </c>
      <c r="AF62" s="53" t="n">
        <f aca="false">+AF41</f>
        <v>0.00111383441741315</v>
      </c>
      <c r="AG62" s="53" t="n">
        <f aca="false">+AG41</f>
        <v>0.0010695929665623</v>
      </c>
      <c r="AH62" s="53" t="n">
        <f aca="false">+AH41</f>
        <v>0.00103307819838738</v>
      </c>
      <c r="AI62" s="53" t="n">
        <f aca="false">+AI41</f>
        <v>0.00102132747567358</v>
      </c>
      <c r="AJ62" s="53" t="n">
        <f aca="false">+AJ41</f>
        <v>0.0010162455429219</v>
      </c>
      <c r="AK62" s="53" t="n">
        <f aca="false">+AK41</f>
        <v>0.00101563699319824</v>
      </c>
      <c r="AL62" s="53" t="n">
        <f aca="false">+AL41</f>
        <v>0.00101844932273222</v>
      </c>
      <c r="AM62" s="53" t="n">
        <f aca="false">+AM41</f>
        <v>0.00100933132248038</v>
      </c>
      <c r="AN62" s="53" t="n">
        <f aca="false">+AN41</f>
        <v>0.00107535708180741</v>
      </c>
      <c r="AO62" s="53" t="n">
        <f aca="false">+AO41</f>
        <v>0.00102533230582402</v>
      </c>
      <c r="AP62" s="53" t="n">
        <f aca="false">+AP41</f>
        <v>0.00134728624527007</v>
      </c>
      <c r="AQ62" s="51" t="n">
        <f aca="false">+AQ41</f>
        <v>0.0119538751901545</v>
      </c>
      <c r="AR62" s="54"/>
    </row>
    <row r="63" customFormat="false" ht="14.25" hidden="false" customHeight="false" outlineLevel="0" collapsed="false">
      <c r="A63" s="17" t="n">
        <v>40543</v>
      </c>
      <c r="B63" s="20" t="n">
        <v>13522.93</v>
      </c>
      <c r="C63" s="24" t="n">
        <f aca="false">(B63/B62-1)/(A63-A62)*30</f>
        <v>0.00286453484791705</v>
      </c>
      <c r="D63" s="19" t="n">
        <f aca="false">B63/$B$3*100</f>
        <v>123.461674003984</v>
      </c>
      <c r="E63" s="19"/>
      <c r="F63" s="19"/>
      <c r="R63" s="17"/>
      <c r="S63" s="45"/>
      <c r="AC63" s="56"/>
      <c r="AD63" s="52" t="s">
        <v>27</v>
      </c>
      <c r="AE63" s="53" t="n">
        <f aca="false">+AE29</f>
        <v>0.00252877718275678</v>
      </c>
      <c r="AF63" s="53" t="n">
        <f aca="false">+AF29</f>
        <v>0.00295017491063698</v>
      </c>
      <c r="AG63" s="53" t="n">
        <f aca="false">+AG29</f>
        <v>0.00241976544111009</v>
      </c>
      <c r="AH63" s="53" t="n">
        <f aca="false">+AH29</f>
        <v>0.00223151228944873</v>
      </c>
      <c r="AI63" s="53" t="n">
        <f aca="false">+AI29</f>
        <v>0.00233832742465965</v>
      </c>
      <c r="AJ63" s="53" t="n">
        <f aca="false">+AJ29</f>
        <v>0.00244188267469525</v>
      </c>
      <c r="AK63" s="53" t="n">
        <f aca="false">+AK29</f>
        <v>0.00254643499228274</v>
      </c>
      <c r="AL63" s="53" t="n">
        <f aca="false">+AL29</f>
        <v>0.00228410945976197</v>
      </c>
      <c r="AM63" s="53" t="n">
        <f aca="false">+AM29</f>
        <v>0.00236085461460989</v>
      </c>
      <c r="AN63" s="53" t="n">
        <f aca="false">+AN29</f>
        <v>0.00258246214480766</v>
      </c>
      <c r="AO63" s="53" t="n">
        <f aca="false">+AO29</f>
        <v>0.00262082140028452</v>
      </c>
      <c r="AP63" s="53" t="n">
        <f aca="false">+AP29</f>
        <v>0.00202065550538094</v>
      </c>
      <c r="AQ63" s="51" t="n">
        <f aca="false">+AQ29</f>
        <v>0.0274088164209876</v>
      </c>
      <c r="AR63" s="9"/>
    </row>
    <row r="64" customFormat="false" ht="14.25" hidden="false" customHeight="false" outlineLevel="0" collapsed="false">
      <c r="A64" s="17" t="n">
        <v>40574</v>
      </c>
      <c r="B64" s="20" t="n">
        <v>13557.12</v>
      </c>
      <c r="C64" s="24" t="n">
        <f aca="false">(B64/B63-1)/(A64-A63)*30</f>
        <v>0.00244674022376755</v>
      </c>
      <c r="D64" s="19" t="n">
        <f aca="false">B64/$B$3*100</f>
        <v>123.773821935993</v>
      </c>
      <c r="E64" s="19"/>
      <c r="F64" s="19"/>
      <c r="R64" s="17"/>
      <c r="S64" s="45"/>
      <c r="AC64" s="55" t="n">
        <v>2019</v>
      </c>
      <c r="AD64" s="49" t="s">
        <v>3</v>
      </c>
      <c r="AE64" s="50" t="n">
        <f aca="false">+AE15</f>
        <v>0.00237188602430805</v>
      </c>
      <c r="AF64" s="50" t="n">
        <f aca="false">+AF15</f>
        <v>0.00225286279810244</v>
      </c>
      <c r="AG64" s="50" t="n">
        <f aca="false">+AG15</f>
        <v>0.00258331544634016</v>
      </c>
      <c r="AH64" s="50" t="n">
        <f aca="false">+AH15</f>
        <v>0.00250042980360954</v>
      </c>
      <c r="AI64" s="50" t="n">
        <f aca="false">+AI15</f>
        <v>0.00258587170301361</v>
      </c>
      <c r="AJ64" s="50" t="n">
        <f aca="false">+AJ15</f>
        <v>0.00222096474534483</v>
      </c>
      <c r="AK64" s="50" t="n">
        <f aca="false">+AK15</f>
        <v>0.00214680842042658</v>
      </c>
      <c r="AL64" s="50" t="n">
        <f aca="false">+AL15</f>
        <v>0.00215506276406074</v>
      </c>
      <c r="AM64" s="50" t="n">
        <f aca="false">+AM15</f>
        <v>0.00172183908660228</v>
      </c>
      <c r="AN64" s="50" t="n">
        <f aca="false">+AN15</f>
        <v>0.00167150623880685</v>
      </c>
      <c r="AO64" s="50" t="n">
        <f aca="false">+AO15</f>
        <v>0.00142138128563651</v>
      </c>
      <c r="AP64" s="50" t="n">
        <f aca="false">+AP15</f>
        <v>0.00148329051167395</v>
      </c>
      <c r="AQ64" s="51" t="n">
        <f aca="false">+AQ15</f>
        <v>0.0254862524454487</v>
      </c>
      <c r="AR64" s="9"/>
    </row>
    <row r="65" s="4" customFormat="true" ht="14.25" hidden="false" customHeight="false" outlineLevel="0" collapsed="false">
      <c r="A65" s="17" t="n">
        <v>40602</v>
      </c>
      <c r="B65" s="20" t="n">
        <v>13592.3</v>
      </c>
      <c r="C65" s="24" t="n">
        <f aca="false">(B65/B64-1)/(A65-A64)*30</f>
        <v>0.00278029973496265</v>
      </c>
      <c r="D65" s="19" t="n">
        <f aca="false">B65/$B$3*100</f>
        <v>124.095008372028</v>
      </c>
      <c r="E65" s="19"/>
      <c r="F65" s="19"/>
      <c r="I65" s="5"/>
      <c r="N65" s="3"/>
      <c r="O65" s="3"/>
      <c r="P65" s="3"/>
      <c r="Q65" s="3"/>
      <c r="R65" s="17"/>
      <c r="S65" s="45"/>
      <c r="T65" s="3"/>
      <c r="U65" s="3"/>
      <c r="V65" s="3"/>
      <c r="W65" s="3"/>
      <c r="X65" s="3"/>
      <c r="Y65" s="3"/>
      <c r="Z65" s="3"/>
      <c r="AA65" s="3"/>
      <c r="AB65" s="3"/>
      <c r="AC65" s="55"/>
      <c r="AD65" s="49" t="s">
        <v>25</v>
      </c>
      <c r="AE65" s="50" t="n">
        <f aca="false">+AE42</f>
        <v>0.00132101500258492</v>
      </c>
      <c r="AF65" s="50" t="n">
        <f aca="false">+AF42</f>
        <v>0.00139557333557535</v>
      </c>
      <c r="AG65" s="50" t="n">
        <f aca="false">+AG42</f>
        <v>0.00140221374318611</v>
      </c>
      <c r="AH65" s="50" t="n">
        <f aca="false">+AH42</f>
        <v>0.0014166869166139</v>
      </c>
      <c r="AI65" s="50" t="n">
        <f aca="false">+AI42</f>
        <v>0.001323276436851</v>
      </c>
      <c r="AJ65" s="50" t="n">
        <f aca="false">+AJ42</f>
        <v>0.00119907123395202</v>
      </c>
      <c r="AK65" s="50" t="n">
        <f aca="false">+AK42</f>
        <v>0.00100369403718635</v>
      </c>
      <c r="AL65" s="50" t="n">
        <f aca="false">+AL42</f>
        <v>0.000930980550613598</v>
      </c>
      <c r="AM65" s="50" t="n">
        <f aca="false">+AM42</f>
        <v>0.00106835787484783</v>
      </c>
      <c r="AN65" s="50" t="n">
        <f aca="false">+AN42</f>
        <v>0.000629278093338842</v>
      </c>
      <c r="AO65" s="50" t="n">
        <f aca="false">+AO42</f>
        <v>0.000691726317945118</v>
      </c>
      <c r="AP65" s="50" t="n">
        <f aca="false">+AP42</f>
        <v>0.000600412819311486</v>
      </c>
      <c r="AQ65" s="51" t="n">
        <f aca="false">+AQ42</f>
        <v>0.013208385593459</v>
      </c>
      <c r="AR65" s="9"/>
      <c r="AS65" s="3"/>
    </row>
    <row r="66" s="4" customFormat="true" ht="14.25" hidden="false" customHeight="false" outlineLevel="0" collapsed="false">
      <c r="A66" s="17" t="n">
        <v>40633</v>
      </c>
      <c r="B66" s="20" t="n">
        <v>13635.91</v>
      </c>
      <c r="C66" s="24" t="n">
        <f aca="false">(B66/B65-1)/(A66-A65)*30</f>
        <v>0.0031049363100028</v>
      </c>
      <c r="D66" s="19" t="n">
        <f aca="false">B66/$B$3*100</f>
        <v>124.493159039326</v>
      </c>
      <c r="E66" s="19"/>
      <c r="F66" s="19"/>
      <c r="I66" s="5"/>
      <c r="N66" s="3"/>
      <c r="O66" s="3"/>
      <c r="P66" s="3"/>
      <c r="Q66" s="3"/>
      <c r="R66" s="17"/>
      <c r="S66" s="45"/>
      <c r="T66" s="3"/>
      <c r="U66" s="3"/>
      <c r="V66" s="3"/>
      <c r="W66" s="3"/>
      <c r="X66" s="3"/>
      <c r="Y66" s="3"/>
      <c r="Z66" s="3"/>
      <c r="AA66" s="3"/>
      <c r="AB66" s="3"/>
      <c r="AC66" s="55"/>
      <c r="AD66" s="49" t="s">
        <v>27</v>
      </c>
      <c r="AE66" s="50" t="n">
        <f aca="false">+AE30</f>
        <v>0.00222551750762521</v>
      </c>
      <c r="AF66" s="50" t="n">
        <f aca="false">+AF30</f>
        <v>0.00206529100140256</v>
      </c>
      <c r="AG66" s="50" t="n">
        <f aca="false">+AG30</f>
        <v>0.0021430318366078</v>
      </c>
      <c r="AH66" s="50" t="n">
        <f aca="false">+AH30</f>
        <v>0.00247440577263092</v>
      </c>
      <c r="AI66" s="50" t="n">
        <f aca="false">+AI30</f>
        <v>0.00232336379446687</v>
      </c>
      <c r="AJ66" s="50" t="n">
        <f aca="false">+AJ30</f>
        <v>0.00252486549014752</v>
      </c>
      <c r="AK66" s="50" t="n">
        <f aca="false">+AK30</f>
        <v>0.00205402733246139</v>
      </c>
      <c r="AL66" s="50" t="n">
        <f aca="false">+AL30</f>
        <v>0.00189282961040565</v>
      </c>
      <c r="AM66" s="50" t="n">
        <f aca="false">+AM30</f>
        <v>0.00179307289037123</v>
      </c>
      <c r="AN66" s="50" t="n">
        <f aca="false">+AN30</f>
        <v>0.00252361391500494</v>
      </c>
      <c r="AO66" s="50" t="n">
        <f aca="false">+AO30</f>
        <v>0.00242162572062998</v>
      </c>
      <c r="AP66" s="50" t="n">
        <f aca="false">+AP30</f>
        <v>0.00238082218493565</v>
      </c>
      <c r="AQ66" s="51" t="n">
        <f aca="false">+AQ30</f>
        <v>0.0275442373623482</v>
      </c>
      <c r="AR66" s="9"/>
      <c r="AS66" s="3"/>
    </row>
    <row r="67" s="4" customFormat="true" ht="14.25" hidden="false" customHeight="false" outlineLevel="0" collapsed="false">
      <c r="A67" s="17" t="n">
        <v>40662</v>
      </c>
      <c r="B67" s="20" t="n">
        <v>13682.94</v>
      </c>
      <c r="C67" s="24" t="n">
        <f aca="false">(B67/B66-1)/(A67-A66)*30</f>
        <v>0.00356791179598074</v>
      </c>
      <c r="D67" s="19" t="n">
        <f aca="false">B67/$B$3*100</f>
        <v>124.922533629626</v>
      </c>
      <c r="E67" s="19"/>
      <c r="F67" s="19"/>
      <c r="I67" s="5"/>
      <c r="O67" s="3"/>
      <c r="P67" s="3"/>
      <c r="Q67" s="3"/>
      <c r="R67" s="17"/>
      <c r="S67" s="45"/>
      <c r="T67" s="3"/>
      <c r="U67" s="3"/>
      <c r="V67" s="3"/>
      <c r="W67" s="3"/>
      <c r="X67" s="3"/>
      <c r="Y67" s="3"/>
      <c r="Z67" s="3"/>
      <c r="AA67" s="3"/>
      <c r="AB67" s="3"/>
      <c r="AC67" s="55" t="n">
        <v>2020</v>
      </c>
      <c r="AD67" s="49" t="s">
        <v>3</v>
      </c>
      <c r="AE67" s="50" t="n">
        <f aca="false">+AE16</f>
        <v>0.00165580849974623</v>
      </c>
      <c r="AF67" s="50" t="n">
        <f aca="false">+AF16</f>
        <v>0.00137985861415579</v>
      </c>
      <c r="AG67" s="50" t="n">
        <f aca="false">+AG16</f>
        <v>0.00110564513286726</v>
      </c>
      <c r="AH67" s="50" t="n">
        <f aca="false">+AH16</f>
        <v>0.00048443129828124</v>
      </c>
      <c r="AI67" s="50" t="n">
        <f aca="false">+AI16</f>
        <v>0.000386405912274901</v>
      </c>
      <c r="AJ67" s="50" t="n">
        <f aca="false">+AJ16</f>
        <v>0.000390483819491916</v>
      </c>
      <c r="AK67" s="50" t="n">
        <f aca="false">+AK16</f>
        <v>0.000428360983128151</v>
      </c>
      <c r="AL67" s="50" t="n">
        <f aca="false">+AL16</f>
        <v>0.00041973016893726</v>
      </c>
      <c r="AM67" s="50" t="n">
        <f aca="false">+AM16</f>
        <v>0.000394750243948305</v>
      </c>
      <c r="AN67" s="50" t="n">
        <f aca="false">+AN16</f>
        <v>0.000372438103266815</v>
      </c>
      <c r="AO67" s="50" t="n">
        <f aca="false">+AO16</f>
        <v>0.00032958520252091</v>
      </c>
      <c r="AP67" s="50" t="n">
        <f aca="false">+AP16</f>
        <v>0.000390100308495622</v>
      </c>
      <c r="AQ67" s="51" t="n">
        <f aca="false">+AQ16</f>
        <v>0.00776392567873274</v>
      </c>
      <c r="AR67" s="9"/>
      <c r="AS67" s="3"/>
    </row>
    <row r="68" s="4" customFormat="true" ht="14.25" hidden="false" customHeight="false" outlineLevel="0" collapsed="false">
      <c r="A68" s="17" t="n">
        <v>40694</v>
      </c>
      <c r="B68" s="20" t="n">
        <v>13741.06</v>
      </c>
      <c r="C68" s="24" t="n">
        <f aca="false">(B68/B67-1)/(A68-A67)*30</f>
        <v>0.00398214857333289</v>
      </c>
      <c r="D68" s="19" t="n">
        <f aca="false">B68/$B$3*100</f>
        <v>125.453157724634</v>
      </c>
      <c r="E68" s="19"/>
      <c r="F68" s="19"/>
      <c r="I68" s="5"/>
      <c r="O68" s="3"/>
      <c r="P68" s="3"/>
      <c r="Q68" s="3"/>
      <c r="R68" s="17"/>
      <c r="S68" s="45"/>
      <c r="T68" s="3"/>
      <c r="U68" s="3"/>
      <c r="V68" s="3"/>
      <c r="W68" s="3"/>
      <c r="X68" s="3"/>
      <c r="Y68" s="3"/>
      <c r="Z68" s="3"/>
      <c r="AA68" s="3"/>
      <c r="AB68" s="3"/>
      <c r="AC68" s="55"/>
      <c r="AD68" s="49" t="s">
        <v>25</v>
      </c>
      <c r="AE68" s="50" t="n">
        <f aca="false">+AE43</f>
        <v>0.000494048438913942</v>
      </c>
      <c r="AF68" s="50" t="n">
        <f aca="false">+AF43</f>
        <v>0.000492891285649559</v>
      </c>
      <c r="AG68" s="50" t="n">
        <f aca="false">+AG43</f>
        <v>0.000917982620611394</v>
      </c>
      <c r="AH68" s="50" t="n">
        <f aca="false">+AH43</f>
        <v>0.00220008663316351</v>
      </c>
      <c r="AI68" s="50" t="n">
        <f aca="false">+AI43</f>
        <v>0.000310210869152602</v>
      </c>
      <c r="AJ68" s="50" t="n">
        <f aca="false">+AJ43</f>
        <v>0.000100108302503399</v>
      </c>
      <c r="AK68" s="50" t="n">
        <f aca="false">+AK43</f>
        <v>8.7419122293085E-005</v>
      </c>
      <c r="AL68" s="50" t="n">
        <f aca="false">+AL43</f>
        <v>9.78666425215953E-005</v>
      </c>
      <c r="AM68" s="50" t="n">
        <f aca="false">+AM43</f>
        <v>7.08706922130098E-005</v>
      </c>
      <c r="AN68" s="50" t="n">
        <f aca="false">+AN43</f>
        <v>6.51477379625694E-005</v>
      </c>
      <c r="AO68" s="50" t="n">
        <f aca="false">+AO43</f>
        <v>6.09358900838242E-005</v>
      </c>
      <c r="AP68" s="50" t="n">
        <f aca="false">+AP43</f>
        <v>5.86708038472924E-005</v>
      </c>
      <c r="AQ68" s="51" t="n">
        <f aca="false">+AQ43</f>
        <v>0.00501687943009377</v>
      </c>
      <c r="AR68" s="3"/>
      <c r="AS68" s="3"/>
    </row>
    <row r="69" s="4" customFormat="true" ht="14.25" hidden="false" customHeight="false" outlineLevel="0" collapsed="false">
      <c r="A69" s="17" t="n">
        <v>40724</v>
      </c>
      <c r="B69" s="20" t="n">
        <v>13799.74</v>
      </c>
      <c r="C69" s="24" t="n">
        <f aca="false">(B69/B68-1)/(A69-A68)*30</f>
        <v>0.00427041290846564</v>
      </c>
      <c r="D69" s="19" t="n">
        <f aca="false">B69/$B$3*100</f>
        <v>125.988894508789</v>
      </c>
      <c r="E69" s="19"/>
      <c r="F69" s="19"/>
      <c r="I69" s="5"/>
      <c r="O69" s="3"/>
      <c r="P69" s="3"/>
      <c r="Q69" s="3"/>
      <c r="R69" s="17"/>
      <c r="S69" s="45"/>
      <c r="T69" s="3"/>
      <c r="U69" s="3"/>
      <c r="V69" s="3"/>
      <c r="W69" s="3"/>
      <c r="X69" s="3"/>
      <c r="Y69" s="3"/>
      <c r="Z69" s="3"/>
      <c r="AA69" s="3"/>
      <c r="AB69" s="3"/>
      <c r="AC69" s="55"/>
      <c r="AD69" s="49" t="s">
        <v>27</v>
      </c>
      <c r="AE69" s="50" t="n">
        <f aca="false">+AE31</f>
        <v>0.00111200640075974</v>
      </c>
      <c r="AF69" s="50" t="n">
        <f aca="false">+AF31</f>
        <v>0.00141310978341354</v>
      </c>
      <c r="AG69" s="50" t="n">
        <f aca="false">+AG31</f>
        <v>0.00143903656693886</v>
      </c>
      <c r="AH69" s="50" t="n">
        <f aca="false">+AH31</f>
        <v>0.0013258873613744</v>
      </c>
      <c r="AI69" s="50" t="n">
        <f aca="false">+AI31</f>
        <v>0.00110253064942024</v>
      </c>
      <c r="AJ69" s="50" t="n">
        <f aca="false">+AJ31</f>
        <v>0.00113100752291984</v>
      </c>
      <c r="AK69" s="50" t="n">
        <f aca="false">+AK31</f>
        <v>0.000621832322368522</v>
      </c>
      <c r="AL69" s="50" t="n">
        <f aca="false">+AL31</f>
        <v>0.000552816992443992</v>
      </c>
      <c r="AM69" s="50" t="n">
        <f aca="false">+AM31</f>
        <v>0.000937012513125168</v>
      </c>
      <c r="AN69" s="50" t="n">
        <f aca="false">+AN31</f>
        <v>0.00123616150091294</v>
      </c>
      <c r="AO69" s="50" t="n">
        <f aca="false">+AO31</f>
        <v>0.00105854315799925</v>
      </c>
      <c r="AP69" s="50" t="n">
        <f aca="false">+AP31</f>
        <v>0.00515367877555816</v>
      </c>
      <c r="AQ69" s="51" t="n">
        <f aca="false">+AQ31</f>
        <v>0.0175413536039311</v>
      </c>
      <c r="AR69" s="3"/>
      <c r="AS69" s="3"/>
    </row>
    <row r="70" s="4" customFormat="true" ht="14.25" hidden="false" customHeight="false" outlineLevel="0" collapsed="false">
      <c r="A70" s="17" t="n">
        <v>40753</v>
      </c>
      <c r="B70" s="20" t="n">
        <v>13858.14</v>
      </c>
      <c r="C70" s="24" t="n">
        <f aca="false">(B70/B69-1)/(A70-A69)*30</f>
        <v>0.00437789357650559</v>
      </c>
      <c r="D70" s="19" t="n">
        <f aca="false">B70/$B$3*100</f>
        <v>126.522074948371</v>
      </c>
      <c r="E70" s="19"/>
      <c r="F70" s="19"/>
      <c r="I70" s="5"/>
      <c r="O70" s="3"/>
      <c r="P70" s="3"/>
      <c r="Q70" s="3"/>
      <c r="R70" s="17"/>
      <c r="S70" s="45"/>
      <c r="T70" s="3"/>
      <c r="U70" s="3"/>
      <c r="V70" s="3"/>
      <c r="W70" s="3"/>
      <c r="X70" s="3"/>
      <c r="Y70" s="3"/>
      <c r="Z70" s="3"/>
      <c r="AA70" s="3"/>
      <c r="AC70" s="55" t="n">
        <v>2021</v>
      </c>
      <c r="AD70" s="49" t="s">
        <v>3</v>
      </c>
      <c r="AE70" s="50" t="n">
        <f aca="false">+AE17</f>
        <v>0.000271909818684524</v>
      </c>
      <c r="AF70" s="50" t="n">
        <f aca="false">+AF17</f>
        <v>0.000239173450272023</v>
      </c>
      <c r="AG70" s="50" t="n">
        <f aca="false">+AG17</f>
        <v>0.000259130396311313</v>
      </c>
      <c r="AH70" s="50" t="n">
        <f aca="false">+AH17</f>
        <v>0.000294342205723552</v>
      </c>
      <c r="AI70" s="50" t="n">
        <f aca="false">+AI17</f>
        <v>0.000242668745581653</v>
      </c>
      <c r="AJ70" s="50" t="n">
        <f aca="false">+AJ17</f>
        <v>0.000272607187777885</v>
      </c>
      <c r="AK70" s="50" t="n">
        <f aca="false">+AK17</f>
        <v>0.000501923514011571</v>
      </c>
      <c r="AL70" s="50" t="n">
        <f aca="false">+AL17</f>
        <v>0.00062893015614951</v>
      </c>
      <c r="AM70" s="50" t="n">
        <f aca="false">+AM17</f>
        <v>0.00124761014863051</v>
      </c>
      <c r="AN70" s="50" t="n">
        <f aca="false">+AN17</f>
        <v>0.00207168546072567</v>
      </c>
      <c r="AO70" s="50" t="n">
        <f aca="false">+AO17</f>
        <v>0.00214125696183509</v>
      </c>
      <c r="AP70" s="50" t="n">
        <f aca="false">+AP17</f>
        <v>0.0031851611422884</v>
      </c>
      <c r="AQ70" s="51" t="n">
        <f aca="false">+AQ17</f>
        <v>0.0114102002015084</v>
      </c>
      <c r="AR70" s="3"/>
      <c r="AS70" s="3"/>
    </row>
    <row r="71" s="4" customFormat="true" ht="14.25" hidden="false" customHeight="false" outlineLevel="0" collapsed="false">
      <c r="A71" s="17" t="n">
        <v>40786</v>
      </c>
      <c r="B71" s="20" t="n">
        <v>13925.03</v>
      </c>
      <c r="C71" s="24" t="n">
        <f aca="false">(B71/B70-1)/(A71-A70)*30</f>
        <v>0.00438796915813318</v>
      </c>
      <c r="D71" s="19" t="n">
        <f aca="false">B71/$B$3*100</f>
        <v>127.132767407337</v>
      </c>
      <c r="E71" s="19"/>
      <c r="F71" s="19"/>
      <c r="I71" s="5"/>
      <c r="O71" s="3"/>
      <c r="P71" s="3"/>
      <c r="Q71" s="3"/>
      <c r="R71" s="17"/>
      <c r="S71" s="45"/>
      <c r="T71" s="3"/>
      <c r="U71" s="3"/>
      <c r="V71" s="3"/>
      <c r="W71" s="3"/>
      <c r="X71" s="3"/>
      <c r="Y71" s="3"/>
      <c r="Z71" s="3"/>
      <c r="AA71" s="3"/>
      <c r="AC71" s="55"/>
      <c r="AD71" s="49" t="s">
        <v>25</v>
      </c>
      <c r="AE71" s="50" t="n">
        <f aca="false">+AE44</f>
        <v>5.0167891265519E-005</v>
      </c>
      <c r="AF71" s="50" t="n">
        <f aca="false">+AF44</f>
        <v>5.63260886863156E-005</v>
      </c>
      <c r="AG71" s="50" t="n">
        <f aca="false">+AG44</f>
        <v>5.22922002018035E-005</v>
      </c>
      <c r="AH71" s="50" t="n">
        <f aca="false">+AH44</f>
        <v>6.6256868343384E-005</v>
      </c>
      <c r="AI71" s="50" t="n">
        <f aca="false">+AI44</f>
        <v>5.81414592230296E-005</v>
      </c>
      <c r="AJ71" s="50" t="n">
        <f aca="false">+AJ44</f>
        <v>5.99332972144318E-005</v>
      </c>
      <c r="AK71" s="50" t="n">
        <f aca="false">+AK44</f>
        <v>5.98889646373815E-005</v>
      </c>
      <c r="AL71" s="50" t="n">
        <f aca="false">+AL44</f>
        <v>6.00429551559976E-005</v>
      </c>
      <c r="AM71" s="50" t="n">
        <f aca="false">+AM44</f>
        <v>-0.000117767035173966</v>
      </c>
      <c r="AN71" s="50" t="n">
        <f aca="false">+AN44</f>
        <v>0.00098934462740187</v>
      </c>
      <c r="AO71" s="50" t="n">
        <f aca="false">+AO44</f>
        <v>0.00125922502391873</v>
      </c>
      <c r="AP71" s="50" t="n">
        <f aca="false">+AP44</f>
        <v>0.00176428278787249</v>
      </c>
      <c r="AQ71" s="51" t="n">
        <f aca="false">+AQ44</f>
        <v>0.00446245101879761</v>
      </c>
      <c r="AR71" s="3"/>
      <c r="AS71" s="3"/>
    </row>
    <row r="72" s="4" customFormat="true" ht="14.25" hidden="false" customHeight="false" outlineLevel="0" collapsed="false">
      <c r="A72" s="17" t="n">
        <v>40816</v>
      </c>
      <c r="B72" s="20" t="n">
        <v>13985.97</v>
      </c>
      <c r="C72" s="24" t="n">
        <f aca="false">(B72/B71-1)/(A72-A71)*30</f>
        <v>0.00437629218752123</v>
      </c>
      <c r="D72" s="19" t="n">
        <f aca="false">B72/$B$3*100</f>
        <v>127.68913754412</v>
      </c>
      <c r="E72" s="19"/>
      <c r="F72" s="19"/>
      <c r="I72" s="5"/>
      <c r="O72" s="3"/>
      <c r="P72" s="3"/>
      <c r="Q72" s="3"/>
      <c r="R72" s="17"/>
      <c r="S72" s="45"/>
      <c r="T72" s="3"/>
      <c r="U72" s="3"/>
      <c r="V72" s="3"/>
      <c r="W72" s="3"/>
      <c r="X72" s="3"/>
      <c r="Y72" s="3"/>
      <c r="Z72" s="3"/>
      <c r="AA72" s="3"/>
      <c r="AC72" s="55"/>
      <c r="AD72" s="49" t="s">
        <v>27</v>
      </c>
      <c r="AE72" s="50" t="n">
        <f aca="false">+AE32</f>
        <v>0.000955810340599829</v>
      </c>
      <c r="AF72" s="50" t="n">
        <f aca="false">+AF32</f>
        <v>0.00113502764941296</v>
      </c>
      <c r="AG72" s="50" t="n">
        <f aca="false">+AG32</f>
        <v>0.000478295676215583</v>
      </c>
      <c r="AH72" s="50" t="n">
        <f aca="false">+AH32</f>
        <v>0.000224799810013998</v>
      </c>
      <c r="AI72" s="50" t="n">
        <f aca="false">+AI32</f>
        <v>0.00106179285964988</v>
      </c>
      <c r="AJ72" s="50" t="n">
        <f aca="false">+AJ32</f>
        <v>0.00126786440807636</v>
      </c>
      <c r="AK72" s="50" t="n">
        <f aca="false">+AK32</f>
        <v>0.00127320500879731</v>
      </c>
      <c r="AL72" s="50" t="n">
        <f aca="false">+AL32</f>
        <v>0.00109124596978821</v>
      </c>
      <c r="AM72" s="50" t="n">
        <f aca="false">+AM32</f>
        <v>0.000909528660739678</v>
      </c>
      <c r="AN72" s="50" t="n">
        <f aca="false">+AN32</f>
        <v>0.00078964174284528</v>
      </c>
      <c r="AO72" s="50" t="n">
        <f aca="false">+AO32</f>
        <v>0.000442452516850933</v>
      </c>
      <c r="AP72" s="50" t="n">
        <f aca="false">+AP32</f>
        <v>0.00160834900857842</v>
      </c>
      <c r="AQ72" s="51" t="n">
        <f aca="false">+AQ32</f>
        <v>0.0114631706445847</v>
      </c>
      <c r="AR72" s="3"/>
      <c r="AS72" s="3"/>
    </row>
    <row r="73" s="4" customFormat="true" ht="14.25" hidden="false" customHeight="false" outlineLevel="0" collapsed="false">
      <c r="A73" s="17" t="n">
        <v>40847</v>
      </c>
      <c r="B73" s="20" t="n">
        <v>14043.21</v>
      </c>
      <c r="C73" s="24" t="n">
        <f aca="false">(B73/B72-1)/(A73-A72)*30</f>
        <v>0.00396065116592525</v>
      </c>
      <c r="D73" s="19" t="n">
        <f aca="false">B73/$B$3*100</f>
        <v>128.211727413326</v>
      </c>
      <c r="E73" s="19"/>
      <c r="F73" s="19"/>
      <c r="I73" s="5"/>
      <c r="O73" s="3"/>
      <c r="P73" s="3"/>
      <c r="Q73" s="3"/>
      <c r="R73" s="17"/>
      <c r="S73" s="45"/>
      <c r="T73" s="3"/>
      <c r="U73" s="3"/>
      <c r="V73" s="3"/>
      <c r="W73" s="3"/>
      <c r="X73" s="3"/>
      <c r="Y73" s="3"/>
      <c r="Z73" s="3"/>
      <c r="AA73" s="3"/>
      <c r="AC73" s="55" t="n">
        <v>2022</v>
      </c>
      <c r="AD73" s="49" t="s">
        <v>3</v>
      </c>
      <c r="AE73" s="50" t="n">
        <f aca="false">+AE18</f>
        <v>0.00343555418239894</v>
      </c>
      <c r="AF73" s="50" t="n">
        <f aca="false">+AF18</f>
        <v>0.0042862298052635</v>
      </c>
      <c r="AG73" s="50" t="n">
        <f aca="false">+AG18</f>
        <v>0.00483147984427568</v>
      </c>
      <c r="AH73" s="50" t="n">
        <f aca="false">+AH18</f>
        <v>0.00545243589644651</v>
      </c>
      <c r="AI73" s="50" t="n">
        <f aca="false">+AI18</f>
        <v>0.00711313258265056</v>
      </c>
      <c r="AJ73" s="50" t="n">
        <f aca="false">+AJ18</f>
        <v>0.00735963642867588</v>
      </c>
      <c r="AK73" s="50" t="n">
        <f aca="false">+AK18</f>
        <v>0.00758934606328521</v>
      </c>
      <c r="AL73" s="50" t="n">
        <f aca="false">+AL18</f>
        <v>0.00897594167289917</v>
      </c>
      <c r="AM73" s="50" t="n">
        <f aca="false">+AM18</f>
        <v>0.00879983646672877</v>
      </c>
      <c r="AN73" s="50" t="n">
        <f aca="false">+AN18</f>
        <v>0.00860306861798099</v>
      </c>
      <c r="AO73" s="50" t="n">
        <f aca="false">+AO18</f>
        <v>0.0103612389794803</v>
      </c>
      <c r="AP73" s="50" t="n">
        <f aca="false">+AP18</f>
        <v>0.00941665122241275</v>
      </c>
      <c r="AQ73" s="51" t="n">
        <f aca="false">+AQ18</f>
        <v>0.0896859911813484</v>
      </c>
      <c r="AR73" s="3"/>
      <c r="AS73" s="3"/>
    </row>
    <row r="74" s="4" customFormat="true" ht="14.25" hidden="false" customHeight="false" outlineLevel="0" collapsed="false">
      <c r="A74" s="17" t="n">
        <v>40877</v>
      </c>
      <c r="B74" s="20" t="n">
        <v>14110.87</v>
      </c>
      <c r="C74" s="24" t="n">
        <f aca="false">(B74/B73-1)/(A74-A73)*30</f>
        <v>0.0048179867708309</v>
      </c>
      <c r="D74" s="19" t="n">
        <f aca="false">B74/$B$3*100</f>
        <v>128.829449819869</v>
      </c>
      <c r="E74" s="19"/>
      <c r="F74" s="19"/>
      <c r="I74" s="5"/>
      <c r="O74" s="3"/>
      <c r="P74" s="3"/>
      <c r="Q74" s="3"/>
      <c r="R74" s="17"/>
      <c r="S74" s="45"/>
      <c r="T74" s="3"/>
      <c r="U74" s="3"/>
      <c r="V74" s="3"/>
      <c r="W74" s="3"/>
      <c r="X74" s="3"/>
      <c r="Y74" s="3"/>
      <c r="Z74" s="3"/>
      <c r="AA74" s="3"/>
      <c r="AC74" s="55"/>
      <c r="AD74" s="49" t="s">
        <v>25</v>
      </c>
      <c r="AE74" s="50" t="n">
        <f aca="false">+AE45</f>
        <v>0.00248871057809198</v>
      </c>
      <c r="AF74" s="50" t="n">
        <f aca="false">+AF45</f>
        <v>0.00353608384855779</v>
      </c>
      <c r="AG74" s="50" t="n">
        <f aca="false">+AG45</f>
        <v>0.00367026449772572</v>
      </c>
      <c r="AH74" s="50" t="n">
        <f aca="false">+AH45</f>
        <v>0.00457161325790945</v>
      </c>
      <c r="AI74" s="50" t="n">
        <f aca="false">+AI45</f>
        <v>0.00533280008235847</v>
      </c>
      <c r="AJ74" s="50" t="n">
        <f aca="false">+AJ45</f>
        <v>0.00588359145110817</v>
      </c>
      <c r="AK74" s="50" t="n">
        <f aca="false">+AK45</f>
        <v>0.00630180669104238</v>
      </c>
      <c r="AL74" s="50" t="n">
        <f aca="false">+AL45</f>
        <v>0.00680366648257052</v>
      </c>
      <c r="AM74" s="50" t="n">
        <f aca="false">+AM45</f>
        <v>0.00733574547403659</v>
      </c>
      <c r="AN74" s="50" t="n">
        <f aca="false">+AN45</f>
        <v>0.00775955656318685</v>
      </c>
      <c r="AO74" s="50" t="n">
        <f aca="false">+AO45</f>
        <v>0.00794709517845488</v>
      </c>
      <c r="AP74" s="50" t="n">
        <f aca="false">+AP45</f>
        <v>0.00792817195118678</v>
      </c>
      <c r="AQ74" s="51" t="n">
        <f aca="false">+AQ45</f>
        <v>0.0727164295690508</v>
      </c>
      <c r="AR74" s="3"/>
      <c r="AS74" s="3"/>
    </row>
    <row r="75" s="4" customFormat="true" ht="14.25" hidden="false" customHeight="false" outlineLevel="0" collapsed="false">
      <c r="A75" s="17" t="n">
        <v>40907</v>
      </c>
      <c r="B75" s="20" t="n">
        <v>14172.63</v>
      </c>
      <c r="C75" s="24" t="n">
        <f aca="false">(B75/B74-1)/(A75-A74)*30</f>
        <v>0.0043767676975266</v>
      </c>
      <c r="D75" s="19" t="n">
        <f aca="false">B75/$B$3*100</f>
        <v>129.393306394331</v>
      </c>
      <c r="E75" s="19"/>
      <c r="F75" s="19"/>
      <c r="I75" s="5"/>
      <c r="O75" s="3"/>
      <c r="P75" s="3"/>
      <c r="Q75" s="3"/>
      <c r="R75" s="17"/>
      <c r="S75" s="45"/>
      <c r="T75" s="3"/>
      <c r="U75" s="3"/>
      <c r="V75" s="3"/>
      <c r="W75" s="3"/>
      <c r="X75" s="3"/>
      <c r="Y75" s="3"/>
      <c r="Z75" s="3"/>
      <c r="AA75" s="3"/>
      <c r="AC75" s="55"/>
      <c r="AD75" s="49" t="s">
        <v>27</v>
      </c>
      <c r="AE75" s="50" t="n">
        <f aca="false">+AE33</f>
        <v>0.00231545829619967</v>
      </c>
      <c r="AF75" s="50" t="n">
        <f aca="false">+AF33</f>
        <v>0.00361957331538495</v>
      </c>
      <c r="AG75" s="50" t="n">
        <f aca="false">+AG33</f>
        <v>0.00360398657377771</v>
      </c>
      <c r="AH75" s="50" t="n">
        <f aca="false">+AH33</f>
        <v>0.00544933253167845</v>
      </c>
      <c r="AI75" s="50" t="n">
        <f aca="false">+AI33</f>
        <v>0.00708717654723077</v>
      </c>
      <c r="AJ75" s="50" t="n">
        <f aca="false">+AJ33</f>
        <v>0.00685648756260049</v>
      </c>
      <c r="AK75" s="50" t="n">
        <f aca="false">+AK33</f>
        <v>0.00666084904963216</v>
      </c>
      <c r="AL75" s="50" t="n">
        <f aca="false">+AL33</f>
        <v>0.00742667220312669</v>
      </c>
      <c r="AM75" s="50" t="n">
        <f aca="false">+AM33</f>
        <v>0.00802014867386713</v>
      </c>
      <c r="AN75" s="50" t="n">
        <f aca="false">+AN33</f>
        <v>0.00853283759570286</v>
      </c>
      <c r="AO75" s="50" t="n">
        <f aca="false">+AO33</f>
        <v>0.00901575637091549</v>
      </c>
      <c r="AP75" s="50" t="n">
        <f aca="false">+AP33</f>
        <v>0.00959515733625338</v>
      </c>
      <c r="AQ75" s="51" t="n">
        <f aca="false">+AQ33</f>
        <v>0.0820816448580206</v>
      </c>
      <c r="AR75" s="3"/>
      <c r="AS75" s="3"/>
    </row>
    <row r="76" s="4" customFormat="true" ht="14.25" hidden="false" customHeight="false" outlineLevel="0" collapsed="false">
      <c r="A76" s="17" t="n">
        <v>40939</v>
      </c>
      <c r="B76" s="20" t="n">
        <v>14236.38</v>
      </c>
      <c r="C76" s="24" t="n">
        <f aca="false">(B76/B75-1)/(A76-A75)*30</f>
        <v>0.00421697490162375</v>
      </c>
      <c r="D76" s="19" t="n">
        <f aca="false">B76/$B$3*100</f>
        <v>129.975331274867</v>
      </c>
      <c r="E76" s="19"/>
      <c r="F76" s="19"/>
      <c r="I76" s="5"/>
      <c r="R76" s="17"/>
      <c r="S76" s="45"/>
      <c r="AC76" s="55" t="n">
        <v>2023</v>
      </c>
      <c r="AD76" s="49" t="s">
        <v>3</v>
      </c>
      <c r="AE76" s="50" t="n">
        <f aca="false">+AE19</f>
        <v>0.0100469572011002</v>
      </c>
      <c r="AF76" s="50" t="n">
        <f aca="false">+AF19</f>
        <v>0.0087853587137845</v>
      </c>
      <c r="AG76" s="50" t="n">
        <f aca="false">+AG19</f>
        <v>0.00973181777442234</v>
      </c>
      <c r="AH76" s="50" t="n">
        <f aca="false">+AH19</f>
        <v>0.00878524391320701</v>
      </c>
      <c r="AI76" s="50" t="n">
        <f aca="false">+AI19</f>
        <v>0.0103616631363057</v>
      </c>
      <c r="AJ76" s="50" t="n">
        <f aca="false">+AJ19</f>
        <v>0.00941507013085063</v>
      </c>
      <c r="AK76" s="50" t="n">
        <f aca="false">+AK19</f>
        <v>0.00973152922417442</v>
      </c>
      <c r="AL76" s="50" t="n">
        <f aca="false">+AL19</f>
        <v>0.00886337395135217</v>
      </c>
      <c r="AM76" s="50" t="n">
        <f aca="false">+AM19</f>
        <v>0.00779534514134506</v>
      </c>
      <c r="AN76" s="50" t="n">
        <f aca="false">+AN19</f>
        <v>0.00846015350417906</v>
      </c>
      <c r="AO76" s="50" t="n">
        <f aca="false">+AO19</f>
        <v>0.00752661431064561</v>
      </c>
      <c r="AP76" s="50" t="n">
        <f aca="false">+AP19</f>
        <v>0.00708194994827327</v>
      </c>
      <c r="AQ76" s="51" t="n">
        <f aca="false">+AQ19</f>
        <v>0.111942792636216</v>
      </c>
      <c r="AR76" s="3"/>
      <c r="AS76" s="3"/>
    </row>
    <row r="77" s="4" customFormat="true" ht="14.25" hidden="false" customHeight="false" outlineLevel="0" collapsed="false">
      <c r="A77" s="17" t="n">
        <v>40968</v>
      </c>
      <c r="B77" s="20" t="n">
        <v>14293.67</v>
      </c>
      <c r="C77" s="24" t="n">
        <f aca="false">(B77/B76-1)/(A77-A76)*30</f>
        <v>0.00416296258187693</v>
      </c>
      <c r="D77" s="19" t="n">
        <f aca="false">B77/$B$3*100</f>
        <v>130.498377634176</v>
      </c>
      <c r="E77" s="19"/>
      <c r="F77" s="19"/>
      <c r="I77" s="5"/>
      <c r="R77" s="17"/>
      <c r="S77" s="45"/>
      <c r="AC77" s="55"/>
      <c r="AD77" s="49" t="s">
        <v>25</v>
      </c>
      <c r="AE77" s="50" t="n">
        <f aca="false">+AE46</f>
        <v>0.00791373033388998</v>
      </c>
      <c r="AF77" s="50" t="n">
        <f aca="false">+AF46</f>
        <v>0.00791546662684725</v>
      </c>
      <c r="AG77" s="50" t="n">
        <f aca="false">+AG46</f>
        <v>0.00794552771901819</v>
      </c>
      <c r="AH77" s="50" t="n">
        <f aca="false">+AH46</f>
        <v>0.00799090615854378</v>
      </c>
      <c r="AI77" s="50" t="n">
        <f aca="false">+AI46</f>
        <v>0.00802279674632251</v>
      </c>
      <c r="AJ77" s="50" t="n">
        <f aca="false">+AJ46</f>
        <v>0.00800289135407151</v>
      </c>
      <c r="AK77" s="50" t="n">
        <f aca="false">+AK46</f>
        <v>0.00793981170339564</v>
      </c>
      <c r="AL77" s="50" t="n">
        <f aca="false">+AL46</f>
        <v>0.00735124411072392</v>
      </c>
      <c r="AM77" s="50" t="n">
        <f aca="false">+AM46</f>
        <v>0.00678482261305935</v>
      </c>
      <c r="AN77" s="50" t="n">
        <f aca="false">+AN46</f>
        <v>0.0064607251902496</v>
      </c>
      <c r="AO77" s="50" t="n">
        <f aca="false">+AO46</f>
        <v>0.00616956723192952</v>
      </c>
      <c r="AP77" s="50" t="n">
        <f aca="false">+AP46</f>
        <v>0.00590472761028043</v>
      </c>
      <c r="AQ77" s="51" t="n">
        <f aca="false">+AQ46</f>
        <v>0.093648405763658</v>
      </c>
      <c r="AR77" s="3"/>
      <c r="AS77" s="3"/>
    </row>
    <row r="78" s="4" customFormat="true" ht="14.25" hidden="false" customHeight="false" outlineLevel="0" collapsed="false">
      <c r="A78" s="17" t="n">
        <v>40998</v>
      </c>
      <c r="B78" s="20" t="n">
        <v>14353.34</v>
      </c>
      <c r="C78" s="24" t="n">
        <f aca="false">(B78/B77-1)/(A78-A77)*30</f>
        <v>0.00417457517908271</v>
      </c>
      <c r="D78" s="19" t="n">
        <f aca="false">B78/$B$3*100</f>
        <v>131.043152922358</v>
      </c>
      <c r="E78" s="19"/>
      <c r="F78" s="19"/>
      <c r="I78" s="5"/>
      <c r="R78" s="17"/>
      <c r="S78" s="45"/>
      <c r="AC78" s="55"/>
      <c r="AD78" s="49" t="s">
        <v>27</v>
      </c>
      <c r="AE78" s="50" t="n">
        <f aca="false">+AE34</f>
        <v>0.0107178483186667</v>
      </c>
      <c r="AF78" s="50" t="n">
        <f aca="false">+AF34</f>
        <v>0.00932460704446089</v>
      </c>
      <c r="AG78" s="50" t="n">
        <f aca="false">+AG34</f>
        <v>0.00939042693196421</v>
      </c>
      <c r="AH78" s="50" t="n">
        <f aca="false">+AH34</f>
        <v>0.00945752635700601</v>
      </c>
      <c r="AI78" s="50" t="n">
        <f aca="false">+AI34</f>
        <v>0.00939977786303745</v>
      </c>
      <c r="AJ78" s="50" t="n">
        <f aca="false">+AJ34</f>
        <v>0.00948928733729271</v>
      </c>
      <c r="AK78" s="50" t="n">
        <f aca="false">+AK34</f>
        <v>0.0095512586335587</v>
      </c>
      <c r="AL78" s="50" t="n">
        <f aca="false">+AL34</f>
        <v>0.00871046579931949</v>
      </c>
      <c r="AM78" s="50" t="n">
        <f aca="false">+AM34</f>
        <v>0.00870598699920899</v>
      </c>
      <c r="AN78" s="50" t="n">
        <f aca="false">+AN34</f>
        <v>0.00802416378602992</v>
      </c>
      <c r="AO78" s="50" t="n">
        <f aca="false">+AO34</f>
        <v>0.00751873852010121</v>
      </c>
      <c r="AP78" s="50" t="n">
        <f aca="false">+AP34</f>
        <v>0.00838989577949865</v>
      </c>
      <c r="AQ78" s="51" t="n">
        <f aca="false">+AQ34</f>
        <v>0.116322011851731</v>
      </c>
      <c r="AR78" s="3"/>
      <c r="AS78" s="3"/>
    </row>
    <row r="79" s="4" customFormat="true" ht="14.25" hidden="false" customHeight="false" outlineLevel="0" collapsed="false">
      <c r="A79" s="17" t="n">
        <v>41029</v>
      </c>
      <c r="B79" s="20" t="n">
        <v>14415.21</v>
      </c>
      <c r="C79" s="24" t="n">
        <f aca="false">(B79/B78-1)/(A79-A78)*30</f>
        <v>0.00417144675374423</v>
      </c>
      <c r="D79" s="19" t="n">
        <f aca="false">B79/$B$3*100</f>
        <v>131.608013775045</v>
      </c>
      <c r="E79" s="19"/>
      <c r="F79" s="19"/>
      <c r="I79" s="5"/>
      <c r="R79" s="17"/>
      <c r="S79" s="45"/>
      <c r="AC79" s="55" t="n">
        <v>2024</v>
      </c>
      <c r="AD79" s="49" t="s">
        <v>3</v>
      </c>
      <c r="AE79" s="44" t="n">
        <f aca="false">+AE20</f>
        <v>0.00735722532416316</v>
      </c>
      <c r="AF79" s="44" t="n">
        <f aca="false">+AF20</f>
        <v>0.00611213912063557</v>
      </c>
      <c r="AG79" s="44" t="n">
        <f aca="false">+AG20</f>
        <v>0.00564735171406094</v>
      </c>
      <c r="AH79" s="44" t="n">
        <f aca="false">+AH20</f>
        <v>0.00609278396182833</v>
      </c>
      <c r="AI79" s="44" t="n">
        <f aca="false">+AI20</f>
        <v>0.00551411929031809</v>
      </c>
      <c r="AJ79" s="44" t="n">
        <f aca="false">+AJ20</f>
        <v>0.00461354906321554</v>
      </c>
      <c r="AK79" s="44" t="n">
        <f aca="false">+AK20</f>
        <v>0.00528435035284347</v>
      </c>
      <c r="AL79" s="44" t="n">
        <f aca="false">+AL20</f>
        <v>0.00480235203759283</v>
      </c>
      <c r="AM79" s="44" t="n">
        <f aca="false">+AM20</f>
        <v>0.00478104349541386</v>
      </c>
      <c r="AN79" s="44" t="n">
        <f aca="false">+AN20</f>
        <v>0.00451044051641847</v>
      </c>
      <c r="AO79" s="44" t="n">
        <f aca="false">+AO20</f>
        <v>0.0043843255475724</v>
      </c>
      <c r="AP79" s="44" t="n">
        <f aca="false">+AP20</f>
        <v>0.00444626417327787</v>
      </c>
      <c r="AQ79" s="44" t="n">
        <f aca="false">+AQ20</f>
        <v>0.0654251259349719</v>
      </c>
      <c r="AR79" s="3"/>
      <c r="AS79" s="3"/>
    </row>
    <row r="80" s="4" customFormat="true" ht="14.25" hidden="false" customHeight="false" outlineLevel="0" collapsed="false">
      <c r="A80" s="17" t="n">
        <v>41060</v>
      </c>
      <c r="B80" s="20" t="n">
        <v>14477.55</v>
      </c>
      <c r="C80" s="24" t="n">
        <f aca="false">(B80/B79-1)/(A80-A79)*30</f>
        <v>0.00418509562178174</v>
      </c>
      <c r="D80" s="19" t="n">
        <f aca="false">B80/$B$3*100</f>
        <v>132.177165634695</v>
      </c>
      <c r="E80" s="19"/>
      <c r="F80" s="19"/>
      <c r="I80" s="5"/>
      <c r="R80" s="17"/>
      <c r="S80" s="45"/>
      <c r="AC80" s="55"/>
      <c r="AD80" s="49" t="s">
        <v>25</v>
      </c>
      <c r="AE80" s="44" t="n">
        <f aca="false">+AE47</f>
        <v>0.00568251266298558</v>
      </c>
      <c r="AF80" s="44" t="n">
        <f aca="false">+AF47</f>
        <v>0.005260252521299</v>
      </c>
      <c r="AG80" s="44" t="n">
        <f aca="false">+AG47</f>
        <v>0.00476801737914621</v>
      </c>
      <c r="AH80" s="44" t="n">
        <f aca="false">+AH47</f>
        <v>0.00429102184873626</v>
      </c>
      <c r="AI80" s="44" t="n">
        <f aca="false">+AI47</f>
        <v>0.00403335179608358</v>
      </c>
      <c r="AJ80" s="44" t="n">
        <f aca="false">+AJ47</f>
        <v>0.00365019312776771</v>
      </c>
      <c r="AK80" s="44" t="n">
        <f aca="false">+AK47</f>
        <v>0.00351689620169189</v>
      </c>
      <c r="AL80" s="44" t="n">
        <f aca="false">+AL47</f>
        <v>0.00351064782186953</v>
      </c>
      <c r="AM80" s="44" t="n">
        <f aca="false">+AM47</f>
        <v>0.0033754452875443</v>
      </c>
      <c r="AN80" s="44" t="n">
        <f aca="false">+AN47</f>
        <v>0.00330078677001207</v>
      </c>
      <c r="AO80" s="44" t="n">
        <f aca="false">+AO47</f>
        <v>0.00322037460491331</v>
      </c>
      <c r="AP80" s="44" t="n">
        <f aca="false">+AP47</f>
        <v>0.00312566700191516</v>
      </c>
      <c r="AQ80" s="44" t="n">
        <f aca="false">+AQ47</f>
        <v>0.0495295629197707</v>
      </c>
      <c r="AR80" s="3"/>
      <c r="AS80" s="3"/>
    </row>
    <row r="81" s="4" customFormat="true" ht="14.25" hidden="false" customHeight="false" outlineLevel="0" collapsed="false">
      <c r="A81" s="17" t="n">
        <v>41089</v>
      </c>
      <c r="B81" s="20" t="n">
        <v>14536.13</v>
      </c>
      <c r="C81" s="24" t="n">
        <f aca="false">(B81/B80-1)/(A81-A80)*30</f>
        <v>0.00418579110415774</v>
      </c>
      <c r="D81" s="19" t="n">
        <f aca="false">B81/$B$3*100</f>
        <v>132.711989438645</v>
      </c>
      <c r="E81" s="19"/>
      <c r="F81" s="19"/>
      <c r="I81" s="5"/>
      <c r="R81" s="17"/>
      <c r="S81" s="45"/>
      <c r="AC81" s="55"/>
      <c r="AD81" s="49" t="s">
        <v>27</v>
      </c>
      <c r="AE81" s="44" t="n">
        <f aca="false">+AE35</f>
        <v>0.00755139589582306</v>
      </c>
      <c r="AF81" s="44" t="n">
        <f aca="false">+AF35</f>
        <v>0.00607299552429659</v>
      </c>
      <c r="AG81" s="44" t="n">
        <f aca="false">+AG35</f>
        <v>0.00649207502839176</v>
      </c>
      <c r="AH81" s="44" t="n">
        <f aca="false">+AH35</f>
        <v>0.00540365868407353</v>
      </c>
      <c r="AI81" s="44" t="n">
        <f aca="false">+AI35</f>
        <v>0.0057917989042293</v>
      </c>
      <c r="AJ81" s="44" t="n">
        <f aca="false">+AJ35</f>
        <v>0.00529714490971367</v>
      </c>
      <c r="AK81" s="44" t="n">
        <f aca="false">+AK35</f>
        <v>0.00444070721036837</v>
      </c>
      <c r="AL81" s="44" t="n">
        <f aca="false">+AL35</f>
        <v>0.00407473185986469</v>
      </c>
      <c r="AM81" s="44" t="n">
        <f aca="false">+AM35</f>
        <v>0.00433433042258979</v>
      </c>
      <c r="AN81" s="44" t="n">
        <f aca="false">+AN35</f>
        <v>0.00364657609315771</v>
      </c>
      <c r="AO81" s="44" t="n">
        <f aca="false">+AO35</f>
        <v>0.00386311255026683</v>
      </c>
      <c r="AP81" s="44" t="n">
        <f aca="false">+AP35</f>
        <v>0.00347830557343507</v>
      </c>
      <c r="AQ81" s="44" t="n">
        <f aca="false">+AQ35</f>
        <v>0.0630618242861352</v>
      </c>
      <c r="AR81" s="3"/>
      <c r="AS81" s="3"/>
    </row>
    <row r="82" s="4" customFormat="true" ht="14.25" hidden="false" customHeight="false" outlineLevel="0" collapsed="false">
      <c r="A82" s="17" t="n">
        <v>41121</v>
      </c>
      <c r="B82" s="20" t="n">
        <v>14600.61</v>
      </c>
      <c r="C82" s="24" t="n">
        <f aca="false">(B82/B81-1)/(A82-A81)*30</f>
        <v>0.00415860342470799</v>
      </c>
      <c r="D82" s="19" t="n">
        <f aca="false">B82/$B$3*100</f>
        <v>133.300679074676</v>
      </c>
      <c r="E82" s="19"/>
      <c r="F82" s="19"/>
      <c r="I82" s="5"/>
      <c r="R82" s="17"/>
      <c r="S82" s="45"/>
      <c r="AC82" s="55" t="n">
        <v>2025</v>
      </c>
      <c r="AD82" s="49" t="s">
        <v>3</v>
      </c>
      <c r="AE82" s="44" t="n">
        <f aca="false">+AE21</f>
        <v>0.00445443017437541</v>
      </c>
      <c r="AF82" s="44" t="n">
        <f aca="false">+AF24</f>
        <v>0</v>
      </c>
      <c r="AG82" s="44" t="n">
        <f aca="false">+AG24</f>
        <v>0</v>
      </c>
      <c r="AH82" s="44" t="n">
        <f aca="false">+AH24</f>
        <v>0</v>
      </c>
      <c r="AI82" s="44" t="n">
        <f aca="false">+AI24</f>
        <v>0</v>
      </c>
      <c r="AJ82" s="44" t="n">
        <f aca="false">+AJ24</f>
        <v>0</v>
      </c>
      <c r="AK82" s="44" t="n">
        <f aca="false">+AK24</f>
        <v>0</v>
      </c>
      <c r="AL82" s="44" t="n">
        <f aca="false">+AL24</f>
        <v>0</v>
      </c>
      <c r="AM82" s="44" t="n">
        <f aca="false">+AM24</f>
        <v>0</v>
      </c>
      <c r="AN82" s="44" t="n">
        <f aca="false">+AN24</f>
        <v>0</v>
      </c>
      <c r="AO82" s="44" t="n">
        <f aca="false">+AO24</f>
        <v>0</v>
      </c>
      <c r="AP82" s="44" t="n">
        <f aca="false">+AP24</f>
        <v>0</v>
      </c>
      <c r="AQ82" s="44" t="n">
        <f aca="false">+AQ21</f>
        <v>0.053453162092505</v>
      </c>
      <c r="AR82" s="3"/>
    </row>
    <row r="83" s="4" customFormat="true" ht="14.25" hidden="false" customHeight="false" outlineLevel="0" collapsed="false">
      <c r="A83" s="17" t="n">
        <v>41152</v>
      </c>
      <c r="B83" s="20" t="n">
        <v>14663.33</v>
      </c>
      <c r="C83" s="24" t="n">
        <f aca="false">(B83/B82-1)/(A83-A82)*30</f>
        <v>0.0041571396122181</v>
      </c>
      <c r="D83" s="19" t="n">
        <f aca="false">B83/$B$3*100</f>
        <v>133.873300259104</v>
      </c>
      <c r="E83" s="19"/>
      <c r="F83" s="19"/>
      <c r="I83" s="5"/>
      <c r="R83" s="17"/>
      <c r="S83" s="45"/>
      <c r="AC83" s="55"/>
      <c r="AD83" s="49" t="s">
        <v>25</v>
      </c>
      <c r="AE83" s="44" t="n">
        <f aca="false">+AE48</f>
        <v>0.00292278419423869</v>
      </c>
      <c r="AF83" s="44" t="n">
        <f aca="false">+AF51</f>
        <v>0</v>
      </c>
      <c r="AG83" s="44" t="n">
        <f aca="false">+AG51</f>
        <v>0</v>
      </c>
      <c r="AH83" s="44" t="n">
        <f aca="false">+AH51</f>
        <v>0</v>
      </c>
      <c r="AI83" s="44" t="n">
        <f aca="false">+AI51</f>
        <v>0</v>
      </c>
      <c r="AJ83" s="44" t="n">
        <f aca="false">+AJ51</f>
        <v>0</v>
      </c>
      <c r="AK83" s="44" t="n">
        <f aca="false">+AK51</f>
        <v>0</v>
      </c>
      <c r="AL83" s="44" t="n">
        <f aca="false">+AL51</f>
        <v>0</v>
      </c>
      <c r="AM83" s="44" t="n">
        <f aca="false">+AM51</f>
        <v>0</v>
      </c>
      <c r="AN83" s="44" t="n">
        <f aca="false">+AN51</f>
        <v>0</v>
      </c>
      <c r="AO83" s="44" t="n">
        <f aca="false">+AO51</f>
        <v>0</v>
      </c>
      <c r="AP83" s="44" t="n">
        <f aca="false">+AP51</f>
        <v>0</v>
      </c>
      <c r="AQ83" s="44" t="n">
        <f aca="false">+AQ48</f>
        <v>0.0362425240085598</v>
      </c>
      <c r="AR83" s="3"/>
    </row>
    <row r="84" s="4" customFormat="true" ht="14.25" hidden="false" customHeight="false" outlineLevel="0" collapsed="false">
      <c r="A84" s="17" t="n">
        <v>41180</v>
      </c>
      <c r="B84" s="20" t="n">
        <v>14720.68</v>
      </c>
      <c r="C84" s="24" t="n">
        <f aca="false">(B84/B83-1)/(A84-A83)*30</f>
        <v>0.0041904825555607</v>
      </c>
      <c r="D84" s="19" t="n">
        <f aca="false">B84/$B$3*100</f>
        <v>134.396894406536</v>
      </c>
      <c r="E84" s="19"/>
      <c r="F84" s="19"/>
      <c r="I84" s="5"/>
      <c r="R84" s="17"/>
      <c r="S84" s="45"/>
      <c r="AC84" s="55"/>
      <c r="AD84" s="49" t="s">
        <v>27</v>
      </c>
      <c r="AE84" s="44" t="n">
        <f aca="false">+AE36</f>
        <v>0.00282258645089376</v>
      </c>
      <c r="AF84" s="44" t="n">
        <f aca="false">+AF39</f>
        <v>0</v>
      </c>
      <c r="AG84" s="44" t="n">
        <f aca="false">+AG39</f>
        <v>0</v>
      </c>
      <c r="AH84" s="44" t="n">
        <f aca="false">+AH39</f>
        <v>0</v>
      </c>
      <c r="AI84" s="44" t="n">
        <f aca="false">+AI39</f>
        <v>0</v>
      </c>
      <c r="AJ84" s="44" t="n">
        <f aca="false">+AJ39</f>
        <v>0.00206589659301071</v>
      </c>
      <c r="AK84" s="44" t="n">
        <f aca="false">+AK39</f>
        <v>0.00199299848056975</v>
      </c>
      <c r="AL84" s="44" t="n">
        <f aca="false">+AL39</f>
        <v>0.00194193450093384</v>
      </c>
      <c r="AM84" s="44" t="n">
        <f aca="false">+AM39</f>
        <v>0.00191408748358657</v>
      </c>
      <c r="AN84" s="44" t="n">
        <f aca="false">+AN39</f>
        <v>0.00191732671273402</v>
      </c>
      <c r="AO84" s="44" t="n">
        <f aca="false">+AO39</f>
        <v>0.00191890299658515</v>
      </c>
      <c r="AP84" s="44" t="n">
        <f aca="false">+AP39</f>
        <v>0.00194140865789398</v>
      </c>
      <c r="AQ84" s="44" t="n">
        <f aca="false">+AQ36</f>
        <v>0.0350000719910826</v>
      </c>
    </row>
    <row r="85" s="4" customFormat="true" ht="14.25" hidden="false" customHeight="false" outlineLevel="0" collapsed="false">
      <c r="A85" s="17" t="n">
        <v>41213</v>
      </c>
      <c r="B85" s="20" t="n">
        <v>14788.56</v>
      </c>
      <c r="C85" s="24" t="n">
        <f aca="false">(B85/B84-1)/(A85-A84)*30</f>
        <v>0.0041920000237142</v>
      </c>
      <c r="D85" s="19" t="n">
        <f aca="false">B85/$B$3*100</f>
        <v>135.016625369529</v>
      </c>
      <c r="E85" s="19"/>
      <c r="F85" s="19"/>
      <c r="I85" s="5"/>
      <c r="R85" s="17"/>
      <c r="S85" s="45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="4" customFormat="true" ht="14.25" hidden="false" customHeight="false" outlineLevel="0" collapsed="false">
      <c r="A86" s="17" t="n">
        <v>41243</v>
      </c>
      <c r="B86" s="20" t="n">
        <v>14850.38</v>
      </c>
      <c r="C86" s="24" t="n">
        <f aca="false">(B86/B85-1)/(A86-A85)*30</f>
        <v>0.00418025825367718</v>
      </c>
      <c r="D86" s="19" t="n">
        <f aca="false">B86/$B$3*100</f>
        <v>135.581029732113</v>
      </c>
      <c r="E86" s="19"/>
      <c r="F86" s="19"/>
      <c r="I86" s="5"/>
      <c r="R86" s="17"/>
      <c r="S86" s="45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="4" customFormat="true" ht="14.25" hidden="false" customHeight="false" outlineLevel="0" collapsed="false">
      <c r="A87" s="17" t="n">
        <v>41274</v>
      </c>
      <c r="B87" s="20" t="n">
        <v>14908.2</v>
      </c>
      <c r="C87" s="24" t="n">
        <f aca="false">(B87/B86-1)/(A87-A86)*30</f>
        <v>0.00376790618891083</v>
      </c>
      <c r="D87" s="19" t="n">
        <f aca="false">B87/$B$3*100</f>
        <v>136.108914886507</v>
      </c>
      <c r="E87" s="19"/>
      <c r="F87" s="19"/>
      <c r="I87" s="5"/>
      <c r="R87" s="17"/>
      <c r="S87" s="45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="4" customFormat="true" ht="14.25" hidden="false" customHeight="false" outlineLevel="0" collapsed="false">
      <c r="A88" s="17" t="n">
        <v>41305</v>
      </c>
      <c r="B88" s="20" t="n">
        <v>14978.58</v>
      </c>
      <c r="C88" s="24" t="n">
        <f aca="false">(B88/B87-1)/(A88-A87)*30</f>
        <v>0.00456860502403746</v>
      </c>
      <c r="D88" s="19" t="n">
        <f aca="false">B88/$B$3*100</f>
        <v>136.75147035462</v>
      </c>
      <c r="E88" s="19"/>
      <c r="F88" s="19"/>
      <c r="I88" s="5"/>
      <c r="R88" s="17"/>
      <c r="S88" s="45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="4" customFormat="true" ht="14.25" hidden="false" customHeight="false" outlineLevel="0" collapsed="false">
      <c r="A89" s="17" t="n">
        <v>41333</v>
      </c>
      <c r="B89" s="20" t="n">
        <v>15036.94</v>
      </c>
      <c r="C89" s="24" t="n">
        <f aca="false">(B89/B88-1)/(A89-A88)*30</f>
        <v>0.00417453266121161</v>
      </c>
      <c r="D89" s="19" t="n">
        <f aca="false">B89/$B$3*100</f>
        <v>137.28428560212</v>
      </c>
      <c r="E89" s="19"/>
      <c r="F89" s="19"/>
      <c r="I89" s="5"/>
      <c r="R89" s="17"/>
      <c r="S89" s="45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="4" customFormat="true" ht="14.25" hidden="false" customHeight="false" outlineLevel="0" collapsed="false">
      <c r="A90" s="17" t="n">
        <v>41362</v>
      </c>
      <c r="B90" s="20" t="n">
        <v>15095.51</v>
      </c>
      <c r="C90" s="24" t="n">
        <f aca="false">(B90/B89-1)/(A90-A89)*30</f>
        <v>0.00402938730701959</v>
      </c>
      <c r="D90" s="19" t="n">
        <f aca="false">B90/$B$3*100</f>
        <v>137.819018108049</v>
      </c>
      <c r="E90" s="19"/>
      <c r="F90" s="19"/>
      <c r="I90" s="5"/>
      <c r="R90" s="17"/>
      <c r="S90" s="45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="4" customFormat="true" ht="14.25" hidden="false" customHeight="false" outlineLevel="0" collapsed="false">
      <c r="A91" s="17" t="n">
        <v>41394</v>
      </c>
      <c r="B91" s="20" t="n">
        <v>15164.77</v>
      </c>
      <c r="C91" s="24" t="n">
        <f aca="false">(B91/B90-1)/(A91-A90)*30</f>
        <v>0.00430136179565985</v>
      </c>
      <c r="D91" s="19" t="n">
        <f aca="false">B91/$B$3*100</f>
        <v>138.451348197868</v>
      </c>
      <c r="E91" s="19"/>
      <c r="F91" s="19"/>
      <c r="I91" s="5"/>
      <c r="R91" s="17"/>
      <c r="S91" s="45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="4" customFormat="true" ht="14.25" hidden="false" customHeight="false" outlineLevel="0" collapsed="false">
      <c r="A92" s="17" t="n">
        <v>41425</v>
      </c>
      <c r="B92" s="20" t="n">
        <v>15230.38</v>
      </c>
      <c r="C92" s="24" t="n">
        <f aca="false">(B92/B91-1)/(A92-A91)*30</f>
        <v>0.00418691139971771</v>
      </c>
      <c r="D92" s="19" t="n">
        <f aca="false">B92/$B$3*100</f>
        <v>139.050354510214</v>
      </c>
      <c r="E92" s="19"/>
      <c r="F92" s="19"/>
      <c r="I92" s="5"/>
      <c r="R92" s="17"/>
      <c r="S92" s="45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="4" customFormat="true" ht="14.25" hidden="false" customHeight="false" outlineLevel="0" collapsed="false">
      <c r="A93" s="17" t="n">
        <v>41453</v>
      </c>
      <c r="B93" s="20" t="n">
        <v>15289.74</v>
      </c>
      <c r="C93" s="24" t="n">
        <f aca="false">(B93/B92-1)/(A93-A92)*30</f>
        <v>0.00417586429228964</v>
      </c>
      <c r="D93" s="19" t="n">
        <f aca="false">B93/$B$3*100</f>
        <v>139.592299559761</v>
      </c>
      <c r="E93" s="19"/>
      <c r="F93" s="19"/>
      <c r="I93" s="5"/>
      <c r="R93" s="17"/>
      <c r="S93" s="45"/>
    </row>
    <row r="94" s="4" customFormat="true" ht="14.25" hidden="false" customHeight="false" outlineLevel="0" collapsed="false">
      <c r="A94" s="17" t="n">
        <v>41486</v>
      </c>
      <c r="B94" s="20" t="n">
        <v>15360.27</v>
      </c>
      <c r="C94" s="24" t="n">
        <f aca="false">(B94/B93-1)/(A94-A93)*30</f>
        <v>0.0041935429783752</v>
      </c>
      <c r="D94" s="19" t="n">
        <f aca="false">B94/$B$3*100</f>
        <v>140.23622449818</v>
      </c>
      <c r="E94" s="19"/>
      <c r="F94" s="19"/>
      <c r="I94" s="5"/>
      <c r="R94" s="17"/>
      <c r="S94" s="45"/>
    </row>
    <row r="95" s="4" customFormat="true" ht="14.25" hidden="false" customHeight="false" outlineLevel="0" collapsed="false">
      <c r="A95" s="17" t="n">
        <v>41516</v>
      </c>
      <c r="B95" s="20" t="n">
        <v>15424.43</v>
      </c>
      <c r="C95" s="24" t="n">
        <f aca="false">(B95/B94-1)/(A95-A94)*30</f>
        <v>0.00417700990933101</v>
      </c>
      <c r="D95" s="19" t="n">
        <f aca="false">B95/$B$3*100</f>
        <v>140.821992597557</v>
      </c>
      <c r="E95" s="19"/>
      <c r="F95" s="19"/>
      <c r="I95" s="5"/>
      <c r="R95" s="17"/>
      <c r="S95" s="45"/>
    </row>
    <row r="96" s="4" customFormat="true" ht="14.25" hidden="false" customHeight="false" outlineLevel="0" collapsed="false">
      <c r="A96" s="17" t="n">
        <v>41547</v>
      </c>
      <c r="B96" s="20" t="n">
        <v>15490.99</v>
      </c>
      <c r="C96" s="24" t="n">
        <f aca="false">(B96/B95-1)/(A96-A95)*30</f>
        <v>0.00417603134934674</v>
      </c>
      <c r="D96" s="19" t="n">
        <f aca="false">B96/$B$3*100</f>
        <v>141.429672221847</v>
      </c>
      <c r="E96" s="19"/>
      <c r="F96" s="19"/>
      <c r="I96" s="5"/>
      <c r="R96" s="17"/>
      <c r="S96" s="45"/>
    </row>
    <row r="97" s="4" customFormat="true" ht="14.25" hidden="false" customHeight="false" outlineLevel="0" collapsed="false">
      <c r="A97" s="17" t="n">
        <v>41578</v>
      </c>
      <c r="B97" s="20" t="n">
        <v>15554.36</v>
      </c>
      <c r="C97" s="24" t="n">
        <f aca="false">(B97/B96-1)/(A97-A96)*30</f>
        <v>0.00395880485699199</v>
      </c>
      <c r="D97" s="19" t="n">
        <f aca="false">B97/$B$3*100</f>
        <v>142.008227777605</v>
      </c>
      <c r="E97" s="19"/>
      <c r="F97" s="19"/>
      <c r="I97" s="5"/>
      <c r="R97" s="17"/>
      <c r="S97" s="45"/>
    </row>
    <row r="98" s="4" customFormat="true" ht="14.25" hidden="false" customHeight="false" outlineLevel="0" collapsed="false">
      <c r="A98" s="17" t="n">
        <v>41607</v>
      </c>
      <c r="B98" s="20" t="n">
        <v>15615.06</v>
      </c>
      <c r="C98" s="24" t="n">
        <f aca="false">(B98/B97-1)/(A98-A97)*30</f>
        <v>0.00403700978042654</v>
      </c>
      <c r="D98" s="19" t="n">
        <f aca="false">B98/$B$3*100</f>
        <v>142.562406761897</v>
      </c>
      <c r="E98" s="19"/>
      <c r="F98" s="19"/>
      <c r="I98" s="5"/>
      <c r="R98" s="17"/>
      <c r="S98" s="45"/>
    </row>
    <row r="99" s="4" customFormat="true" ht="14.25" hidden="false" customHeight="false" outlineLevel="0" collapsed="false">
      <c r="A99" s="17" t="n">
        <v>41639</v>
      </c>
      <c r="B99" s="20" t="n">
        <v>15675.68</v>
      </c>
      <c r="C99" s="24" t="n">
        <f aca="false">(B99/B98-1)/(A99-A98)*30</f>
        <v>0.00363951531406219</v>
      </c>
      <c r="D99" s="19" t="n">
        <f aca="false">B99/$B$3*100</f>
        <v>143.115855362024</v>
      </c>
      <c r="E99" s="19"/>
      <c r="F99" s="19"/>
      <c r="I99" s="5"/>
      <c r="R99" s="17"/>
      <c r="S99" s="45"/>
    </row>
    <row r="100" s="4" customFormat="true" ht="14.25" hidden="false" customHeight="false" outlineLevel="0" collapsed="false">
      <c r="A100" s="17" t="n">
        <v>41670</v>
      </c>
      <c r="B100" s="20" t="n">
        <v>15738.45</v>
      </c>
      <c r="C100" s="24" t="n">
        <f aca="false">(B100/B99-1)/(A100-A99)*30</f>
        <v>0.0038751212891769</v>
      </c>
      <c r="D100" s="19" t="n">
        <f aca="false">B100/$B$3*100</f>
        <v>143.688933036554</v>
      </c>
      <c r="E100" s="19"/>
      <c r="F100" s="19"/>
      <c r="I100" s="5"/>
      <c r="R100" s="17"/>
      <c r="S100" s="45"/>
    </row>
    <row r="101" s="4" customFormat="true" ht="14.25" hidden="false" customHeight="false" outlineLevel="0" collapsed="false">
      <c r="A101" s="17" t="n">
        <v>41698</v>
      </c>
      <c r="B101" s="20" t="n">
        <v>15792.47</v>
      </c>
      <c r="C101" s="24" t="n">
        <f aca="false">(B101/B100-1)/(A101-A100)*30</f>
        <v>0.00367752678494823</v>
      </c>
      <c r="D101" s="19" t="n">
        <f aca="false">B101/$B$3*100</f>
        <v>144.182124943167</v>
      </c>
      <c r="E101" s="19"/>
      <c r="F101" s="19"/>
      <c r="I101" s="5"/>
      <c r="R101" s="17"/>
      <c r="S101" s="45"/>
    </row>
    <row r="102" s="4" customFormat="true" ht="14.25" hidden="false" customHeight="false" outlineLevel="0" collapsed="false">
      <c r="A102" s="17" t="n">
        <v>41729</v>
      </c>
      <c r="B102" s="20" t="n">
        <v>15848.53</v>
      </c>
      <c r="C102" s="24" t="n">
        <f aca="false">(B102/B101-1)/(A102-A101)*30</f>
        <v>0.00343528358155682</v>
      </c>
      <c r="D102" s="19" t="n">
        <f aca="false">B102/$B$3*100</f>
        <v>144.693941645957</v>
      </c>
      <c r="E102" s="19"/>
      <c r="F102" s="19"/>
      <c r="I102" s="5"/>
      <c r="R102" s="17"/>
      <c r="S102" s="45"/>
    </row>
    <row r="103" s="4" customFormat="true" ht="14.25" hidden="false" customHeight="false" outlineLevel="0" collapsed="false">
      <c r="A103" s="17" t="n">
        <v>41759</v>
      </c>
      <c r="B103" s="20" t="n">
        <v>15901.43</v>
      </c>
      <c r="C103" s="24" t="n">
        <f aca="false">(B103/B102-1)/(A103-A102)*30</f>
        <v>0.00333784899924461</v>
      </c>
      <c r="D103" s="19" t="n">
        <f aca="false">B103/$B$3*100</f>
        <v>145.176908174277</v>
      </c>
      <c r="E103" s="19"/>
      <c r="F103" s="19"/>
      <c r="I103" s="5"/>
      <c r="R103" s="17"/>
      <c r="S103" s="45"/>
    </row>
    <row r="104" s="4" customFormat="true" ht="14.25" hidden="false" customHeight="false" outlineLevel="0" collapsed="false">
      <c r="A104" s="17" t="n">
        <v>41789</v>
      </c>
      <c r="B104" s="20" t="n">
        <v>15954.5</v>
      </c>
      <c r="C104" s="24" t="n">
        <f aca="false">(B104/B103-1)/(A104-A103)*30</f>
        <v>0.0033374356897462</v>
      </c>
      <c r="D104" s="19" t="n">
        <f aca="false">B104/$B$3*100</f>
        <v>145.661426768945</v>
      </c>
      <c r="E104" s="19"/>
      <c r="F104" s="19"/>
      <c r="I104" s="5"/>
      <c r="R104" s="17"/>
      <c r="S104" s="45"/>
    </row>
    <row r="105" s="4" customFormat="true" ht="14.25" hidden="false" customHeight="false" outlineLevel="0" collapsed="false">
      <c r="A105" s="17" t="n">
        <v>41820</v>
      </c>
      <c r="B105" s="20" t="n">
        <v>16009.53</v>
      </c>
      <c r="C105" s="24" t="n">
        <f aca="false">(B105/B104-1)/(A105-A104)*30</f>
        <v>0.00333791962829792</v>
      </c>
      <c r="D105" s="19" t="n">
        <f aca="false">B105/$B$3*100</f>
        <v>146.163839775626</v>
      </c>
      <c r="E105" s="19"/>
      <c r="F105" s="19"/>
      <c r="I105" s="5"/>
      <c r="R105" s="17"/>
      <c r="S105" s="45"/>
    </row>
    <row r="106" s="4" customFormat="true" ht="14.25" hidden="false" customHeight="false" outlineLevel="0" collapsed="false">
      <c r="A106" s="17" t="n">
        <v>41851</v>
      </c>
      <c r="B106" s="20" t="n">
        <v>16063.18</v>
      </c>
      <c r="C106" s="24" t="n">
        <f aca="false">(B106/B105-1)/(A106-A105)*30</f>
        <v>0.00324302804883782</v>
      </c>
      <c r="D106" s="19" t="n">
        <f aca="false">B106/$B$3*100</f>
        <v>146.653653655481</v>
      </c>
      <c r="E106" s="19"/>
      <c r="F106" s="19"/>
      <c r="I106" s="5"/>
      <c r="R106" s="17"/>
      <c r="S106" s="45"/>
    </row>
    <row r="107" s="4" customFormat="true" ht="14.25" hidden="false" customHeight="false" outlineLevel="0" collapsed="false">
      <c r="A107" s="17" t="n">
        <v>41880</v>
      </c>
      <c r="B107" s="20" t="n">
        <v>16110.55</v>
      </c>
      <c r="C107" s="24" t="n">
        <f aca="false">(B107/B106-1)/(A107-A106)*30</f>
        <v>0.00305066918728811</v>
      </c>
      <c r="D107" s="19" t="n">
        <f aca="false">B107/$B$3*100</f>
        <v>147.086132378478</v>
      </c>
      <c r="E107" s="19"/>
      <c r="F107" s="19"/>
      <c r="I107" s="5"/>
      <c r="R107" s="17"/>
      <c r="S107" s="45"/>
    </row>
    <row r="108" s="4" customFormat="true" ht="14.25" hidden="false" customHeight="false" outlineLevel="0" collapsed="false">
      <c r="A108" s="17" t="n">
        <v>41912</v>
      </c>
      <c r="B108" s="20" t="n">
        <v>16158.37</v>
      </c>
      <c r="C108" s="24" t="n">
        <f aca="false">(B108/B107-1)/(A108-A107)*30</f>
        <v>0.0027827262259824</v>
      </c>
      <c r="D108" s="19" t="n">
        <f aca="false">B108/$B$3*100</f>
        <v>147.522719512396</v>
      </c>
      <c r="E108" s="19"/>
      <c r="F108" s="19"/>
      <c r="I108" s="5"/>
      <c r="R108" s="17"/>
      <c r="S108" s="45"/>
    </row>
    <row r="109" s="4" customFormat="true" ht="14.25" hidden="false" customHeight="false" outlineLevel="0" collapsed="false">
      <c r="A109" s="17" t="n">
        <v>41943</v>
      </c>
      <c r="B109" s="20" t="n">
        <v>16200.86</v>
      </c>
      <c r="C109" s="24" t="n">
        <f aca="false">(B109/B108-1)/(A109-A108)*30</f>
        <v>0.00254477121384836</v>
      </c>
      <c r="D109" s="19" t="n">
        <f aca="false">B109/$B$3*100</f>
        <v>147.910644801399</v>
      </c>
      <c r="E109" s="19"/>
      <c r="F109" s="19"/>
      <c r="I109" s="5"/>
      <c r="R109" s="17"/>
      <c r="S109" s="45"/>
    </row>
    <row r="110" s="4" customFormat="true" ht="14.25" hidden="false" customHeight="false" outlineLevel="0" collapsed="false">
      <c r="A110" s="17" t="n">
        <v>41971</v>
      </c>
      <c r="B110" s="20" t="n">
        <v>16240.11</v>
      </c>
      <c r="C110" s="24" t="n">
        <f aca="false">(B110/B109-1)/(A110-A109)*30</f>
        <v>0.00259576167120579</v>
      </c>
      <c r="D110" s="19" t="n">
        <f aca="false">B110/$B$3*100</f>
        <v>148.268989531769</v>
      </c>
      <c r="E110" s="19"/>
      <c r="F110" s="19"/>
      <c r="I110" s="5"/>
      <c r="R110" s="17"/>
      <c r="S110" s="45"/>
    </row>
    <row r="111" s="4" customFormat="true" ht="14.25" hidden="false" customHeight="false" outlineLevel="0" collapsed="false">
      <c r="A111" s="17" t="n">
        <v>42004</v>
      </c>
      <c r="B111" s="20" t="n">
        <v>16283.49</v>
      </c>
      <c r="C111" s="24" t="n">
        <f aca="false">(B111/B110-1)/(A111-A110)*30</f>
        <v>0.00242833106649904</v>
      </c>
      <c r="D111" s="19" t="n">
        <f aca="false">B111/$B$3*100</f>
        <v>148.665040344595</v>
      </c>
      <c r="E111" s="19"/>
      <c r="F111" s="19"/>
      <c r="I111" s="5"/>
      <c r="R111" s="17"/>
      <c r="S111" s="45"/>
    </row>
    <row r="112" s="4" customFormat="true" ht="14.25" hidden="false" customHeight="false" outlineLevel="0" collapsed="false">
      <c r="A112" s="17" t="n">
        <v>42034</v>
      </c>
      <c r="B112" s="20" t="n">
        <v>16325.65</v>
      </c>
      <c r="C112" s="24" t="n">
        <f aca="false">(B112/B111-1)/(A112-A111)*30</f>
        <v>0.00258912554986668</v>
      </c>
      <c r="D112" s="19" t="n">
        <f aca="false">B112/$B$3*100</f>
        <v>149.049952798923</v>
      </c>
      <c r="E112" s="19"/>
      <c r="F112" s="19"/>
      <c r="I112" s="5"/>
      <c r="R112" s="17"/>
      <c r="S112" s="45"/>
    </row>
    <row r="113" customFormat="false" ht="14.25" hidden="false" customHeight="false" outlineLevel="0" collapsed="false">
      <c r="A113" s="17" t="n">
        <v>42062</v>
      </c>
      <c r="B113" s="20" t="n">
        <v>16363.77</v>
      </c>
      <c r="C113" s="24" t="n">
        <f aca="false">(B113/B112-1)/(A113-A112)*30</f>
        <v>0.00250175993867666</v>
      </c>
      <c r="D113" s="19" t="n">
        <f aca="false">B113/$B$3*100</f>
        <v>149.397980852979</v>
      </c>
      <c r="E113" s="19"/>
      <c r="F113" s="19"/>
      <c r="N113" s="4"/>
      <c r="O113" s="4"/>
      <c r="P113" s="4"/>
      <c r="Q113" s="4"/>
      <c r="R113" s="17"/>
      <c r="S113" s="45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customFormat="false" ht="14.25" hidden="false" customHeight="false" outlineLevel="0" collapsed="false">
      <c r="A114" s="17" t="n">
        <v>42094</v>
      </c>
      <c r="B114" s="20" t="n">
        <v>16407.49</v>
      </c>
      <c r="C114" s="24" t="n">
        <f aca="false">(B114/B113-1)/(A114-A113)*30</f>
        <v>0.00250477121103515</v>
      </c>
      <c r="D114" s="19" t="n">
        <f aca="false">B114/$B$3*100</f>
        <v>149.797135798502</v>
      </c>
      <c r="E114" s="19"/>
      <c r="F114" s="19"/>
      <c r="N114" s="4"/>
      <c r="O114" s="4"/>
      <c r="P114" s="4"/>
      <c r="Q114" s="4"/>
      <c r="R114" s="17"/>
      <c r="S114" s="45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customFormat="false" ht="14.25" hidden="false" customHeight="false" outlineLevel="0" collapsed="false">
      <c r="A115" s="17" t="n">
        <v>42124</v>
      </c>
      <c r="B115" s="20" t="n">
        <v>16448.59</v>
      </c>
      <c r="C115" s="24" t="n">
        <f aca="false">(B115/B114-1)/(A115-A114)*30</f>
        <v>0.00250495353036917</v>
      </c>
      <c r="D115" s="19" t="n">
        <f aca="false">B115/$B$3*100</f>
        <v>150.172370662659</v>
      </c>
      <c r="E115" s="19"/>
      <c r="F115" s="19"/>
      <c r="O115" s="4"/>
      <c r="P115" s="4"/>
      <c r="Q115" s="4"/>
      <c r="R115" s="17"/>
      <c r="S115" s="45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customFormat="false" ht="14.25" hidden="false" customHeight="false" outlineLevel="0" collapsed="false">
      <c r="A116" s="17" t="n">
        <v>42153</v>
      </c>
      <c r="B116" s="20" t="n">
        <v>16488.37</v>
      </c>
      <c r="C116" s="24" t="n">
        <f aca="false">(B116/B115-1)/(A116-A115)*30</f>
        <v>0.00250183901099918</v>
      </c>
      <c r="D116" s="19" t="n">
        <f aca="false">B116/$B$3*100</f>
        <v>150.535554188114</v>
      </c>
      <c r="E116" s="19"/>
      <c r="F116" s="19"/>
      <c r="O116" s="4"/>
      <c r="P116" s="4"/>
      <c r="Q116" s="4"/>
      <c r="R116" s="17"/>
      <c r="S116" s="45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customFormat="false" ht="14.25" hidden="false" customHeight="false" outlineLevel="0" collapsed="false">
      <c r="A117" s="17" t="n">
        <v>42185</v>
      </c>
      <c r="B117" s="20" t="n">
        <v>16532.38</v>
      </c>
      <c r="C117" s="24" t="n">
        <f aca="false">(B117/B116-1)/(A117-A116)*30</f>
        <v>0.00250233194669942</v>
      </c>
      <c r="D117" s="19" t="n">
        <f aca="false">B117/$B$3*100</f>
        <v>150.93735677623</v>
      </c>
      <c r="E117" s="19"/>
      <c r="F117" s="19"/>
      <c r="O117" s="4"/>
      <c r="P117" s="4"/>
      <c r="Q117" s="4"/>
      <c r="R117" s="17"/>
      <c r="S117" s="45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customFormat="false" ht="14.25" hidden="false" customHeight="false" outlineLevel="0" collapsed="false">
      <c r="A118" s="17" t="n">
        <v>42216</v>
      </c>
      <c r="B118" s="20" t="n">
        <v>16575.11</v>
      </c>
      <c r="C118" s="24" t="n">
        <f aca="false">(B118/B117-1)/(A118-A117)*30</f>
        <v>0.00250124984444025</v>
      </c>
      <c r="D118" s="19" t="n">
        <f aca="false">B118/$B$3*100</f>
        <v>151.327473217726</v>
      </c>
      <c r="E118" s="19"/>
      <c r="F118" s="19"/>
      <c r="O118" s="4"/>
      <c r="P118" s="4"/>
      <c r="Q118" s="4"/>
      <c r="R118" s="17"/>
      <c r="S118" s="45"/>
      <c r="T118" s="4"/>
      <c r="U118" s="4"/>
      <c r="V118" s="4"/>
      <c r="W118" s="4"/>
      <c r="X118" s="4"/>
      <c r="Y118" s="4"/>
      <c r="Z118" s="4"/>
      <c r="AA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customFormat="false" ht="14.25" hidden="false" customHeight="false" outlineLevel="0" collapsed="false">
      <c r="A119" s="17" t="n">
        <v>42247</v>
      </c>
      <c r="B119" s="20" t="n">
        <v>16617.94</v>
      </c>
      <c r="C119" s="24" t="n">
        <f aca="false">(B119/B118-1)/(A119-A118)*30</f>
        <v>0.00250064024291679</v>
      </c>
      <c r="D119" s="19" t="n">
        <f aca="false">B119/$B$3*100</f>
        <v>151.718502639426</v>
      </c>
      <c r="E119" s="19"/>
      <c r="F119" s="19"/>
      <c r="O119" s="4"/>
      <c r="P119" s="4"/>
      <c r="Q119" s="4"/>
      <c r="R119" s="17"/>
      <c r="S119" s="45"/>
      <c r="T119" s="4"/>
      <c r="U119" s="4"/>
      <c r="V119" s="4"/>
      <c r="W119" s="4"/>
      <c r="X119" s="4"/>
      <c r="Y119" s="4"/>
      <c r="Z119" s="4"/>
      <c r="AA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customFormat="false" ht="14.25" hidden="false" customHeight="false" outlineLevel="0" collapsed="false">
      <c r="A120" s="17" t="n">
        <v>42277</v>
      </c>
      <c r="B120" s="20" t="n">
        <v>16659.58</v>
      </c>
      <c r="C120" s="24" t="n">
        <f aca="false">(B120/B119-1)/(A120-A119)*30</f>
        <v>0.00250572573977292</v>
      </c>
      <c r="D120" s="19" t="n">
        <f aca="false">B120/$B$3*100</f>
        <v>152.098667596689</v>
      </c>
      <c r="E120" s="19"/>
      <c r="F120" s="19"/>
      <c r="O120" s="4"/>
      <c r="P120" s="4"/>
      <c r="Q120" s="4"/>
      <c r="R120" s="17"/>
      <c r="S120" s="45"/>
      <c r="T120" s="4"/>
      <c r="U120" s="4"/>
      <c r="V120" s="4"/>
      <c r="W120" s="4"/>
      <c r="X120" s="4"/>
      <c r="Y120" s="4"/>
      <c r="Z120" s="4"/>
      <c r="AA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customFormat="false" ht="14.25" hidden="false" customHeight="false" outlineLevel="0" collapsed="false">
      <c r="A121" s="17" t="n">
        <v>42307</v>
      </c>
      <c r="B121" s="20" t="n">
        <v>16702.94</v>
      </c>
      <c r="C121" s="24" t="n">
        <f aca="false">(B121/B120-1)/(A121-A120)*30</f>
        <v>0.00260270667087625</v>
      </c>
      <c r="D121" s="19" t="n">
        <f aca="false">B121/$B$3*100</f>
        <v>152.494535813475</v>
      </c>
      <c r="E121" s="19"/>
      <c r="F121" s="19"/>
      <c r="O121" s="4"/>
      <c r="P121" s="4"/>
      <c r="Q121" s="4"/>
      <c r="R121" s="17"/>
      <c r="S121" s="45"/>
      <c r="T121" s="4"/>
      <c r="U121" s="4"/>
      <c r="V121" s="4"/>
      <c r="W121" s="4"/>
      <c r="X121" s="4"/>
      <c r="Y121" s="4"/>
      <c r="Z121" s="4"/>
      <c r="AA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customFormat="false" ht="14.25" hidden="false" customHeight="false" outlineLevel="0" collapsed="false">
      <c r="A122" s="17" t="n">
        <v>42338</v>
      </c>
      <c r="B122" s="20" t="n">
        <v>16749.75</v>
      </c>
      <c r="C122" s="24" t="n">
        <f aca="false">(B122/B121-1)/(A122-A121)*30</f>
        <v>0.00271209739123785</v>
      </c>
      <c r="D122" s="19" t="n">
        <f aca="false">B122/$B$3*100</f>
        <v>152.921901847324</v>
      </c>
      <c r="E122" s="19"/>
      <c r="F122" s="17"/>
      <c r="O122" s="4"/>
      <c r="P122" s="4"/>
      <c r="Q122" s="4"/>
      <c r="R122" s="17"/>
      <c r="S122" s="45"/>
      <c r="T122" s="4"/>
      <c r="U122" s="4"/>
      <c r="V122" s="4"/>
      <c r="W122" s="4"/>
      <c r="X122" s="4"/>
      <c r="Y122" s="4"/>
      <c r="Z122" s="4"/>
      <c r="AA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customFormat="false" ht="14.25" hidden="false" customHeight="false" outlineLevel="0" collapsed="false">
      <c r="A123" s="17" t="n">
        <v>42369</v>
      </c>
      <c r="B123" s="20" t="n">
        <v>16796.52</v>
      </c>
      <c r="C123" s="24" t="n">
        <f aca="false">(B123/B122-1)/(A123-A122)*30</f>
        <v>0.00270220691786938</v>
      </c>
      <c r="D123" s="19" t="n">
        <f aca="false">B123/$B$3*100</f>
        <v>153.348902689092</v>
      </c>
      <c r="E123" s="19"/>
      <c r="F123" s="17" t="n">
        <v>42369</v>
      </c>
      <c r="K123" s="4" t="n">
        <v>4563.3999</v>
      </c>
      <c r="O123" s="4"/>
      <c r="P123" s="4"/>
      <c r="Q123" s="4"/>
      <c r="R123" s="17"/>
      <c r="S123" s="45"/>
      <c r="T123" s="4"/>
      <c r="U123" s="4"/>
      <c r="V123" s="4"/>
      <c r="W123" s="4"/>
      <c r="X123" s="4"/>
      <c r="Y123" s="4"/>
      <c r="Z123" s="4"/>
      <c r="AA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customFormat="false" ht="14.25" hidden="false" customHeight="false" outlineLevel="0" collapsed="false">
      <c r="A124" s="17" t="n">
        <v>42398</v>
      </c>
      <c r="B124" s="20" t="n">
        <v>16845.59</v>
      </c>
      <c r="C124" s="24" t="n">
        <f aca="false">(B124/B123-1)/(A124-A123)*30</f>
        <v>0.00302217774667121</v>
      </c>
      <c r="D124" s="19" t="n">
        <f aca="false">B124/$B$3*100</f>
        <v>153.796902075569</v>
      </c>
      <c r="E124" s="19"/>
      <c r="F124" s="17" t="n">
        <v>42400</v>
      </c>
      <c r="K124" s="4" t="n">
        <v>4573.6155</v>
      </c>
      <c r="R124" s="17"/>
      <c r="S124" s="45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customFormat="false" ht="14.25" hidden="false" customHeight="false" outlineLevel="0" collapsed="false">
      <c r="A125" s="17" t="n">
        <v>42429</v>
      </c>
      <c r="B125" s="20" t="n">
        <v>16896.43</v>
      </c>
      <c r="C125" s="24" t="n">
        <f aca="false">(B125/B124-1)/(A125-A124)*30</f>
        <v>0.00292064570015064</v>
      </c>
      <c r="D125" s="19" t="n">
        <f aca="false">B125/$B$3*100</f>
        <v>154.261061211671</v>
      </c>
      <c r="E125" s="19"/>
      <c r="F125" s="17" t="n">
        <v>42428</v>
      </c>
      <c r="K125" s="4" t="n">
        <v>4583.5859</v>
      </c>
      <c r="R125" s="17"/>
      <c r="S125" s="45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customFormat="false" ht="14.25" hidden="false" customHeight="false" outlineLevel="0" collapsed="false">
      <c r="A126" s="17" t="n">
        <v>42460</v>
      </c>
      <c r="B126" s="20" t="n">
        <v>16947.43</v>
      </c>
      <c r="C126" s="24" t="n">
        <f aca="false">(B126/B125-1)/(A126-A125)*30</f>
        <v>0.00292102170160664</v>
      </c>
      <c r="D126" s="19" t="n">
        <f aca="false">B126/$B$3*100</f>
        <v>154.7266811161</v>
      </c>
      <c r="E126" s="19"/>
      <c r="F126" s="17" t="n">
        <v>42460</v>
      </c>
      <c r="K126" s="4" t="n">
        <v>4594.8136</v>
      </c>
      <c r="R126" s="17"/>
      <c r="S126" s="45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customFormat="false" ht="14.25" hidden="false" customHeight="false" outlineLevel="0" collapsed="false">
      <c r="A127" s="17" t="n">
        <v>42489</v>
      </c>
      <c r="B127" s="20" t="n">
        <v>16995.27</v>
      </c>
      <c r="C127" s="24" t="n">
        <f aca="false">(B127/B126-1)/(A127-A126)*30</f>
        <v>0.0029201864337197</v>
      </c>
      <c r="D127" s="19" t="n">
        <f aca="false">B127/$B$3*100</f>
        <v>155.163450846059</v>
      </c>
      <c r="F127" s="17" t="n">
        <v>42490</v>
      </c>
      <c r="K127" s="4" t="n">
        <v>4604.8477</v>
      </c>
      <c r="R127" s="17"/>
      <c r="S127" s="45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customFormat="false" ht="14.25" hidden="false" customHeight="false" outlineLevel="0" collapsed="false">
      <c r="A128" s="17" t="n">
        <v>42521</v>
      </c>
      <c r="B128" s="20" t="n">
        <v>17048.23</v>
      </c>
      <c r="C128" s="24" t="n">
        <f aca="false">(B128/B127-1)/(A128-A127)*30</f>
        <v>0.00292140107218071</v>
      </c>
      <c r="D128" s="19" t="n">
        <f aca="false">B128/$B$3*100</f>
        <v>155.646965162501</v>
      </c>
      <c r="F128" s="17" t="n">
        <f aca="false">+A128</f>
        <v>42521</v>
      </c>
      <c r="G128" s="57" t="n">
        <v>1000</v>
      </c>
      <c r="H128" s="4" t="n">
        <f aca="false">+G128</f>
        <v>1000</v>
      </c>
      <c r="I128" s="24"/>
      <c r="J128" s="18" t="n">
        <v>155.65</v>
      </c>
      <c r="K128" s="4" t="n">
        <v>4614.8486</v>
      </c>
      <c r="L128" s="24" t="n">
        <f aca="false">+(K128/K127-1)/(F128-F127)*30</f>
        <v>0.00210176122058937</v>
      </c>
      <c r="M128" s="3" t="n">
        <v>155.65</v>
      </c>
      <c r="R128" s="17"/>
      <c r="S128" s="45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customFormat="false" ht="14.25" hidden="false" customHeight="false" outlineLevel="0" collapsed="false">
      <c r="A129" s="17" t="n">
        <v>42551</v>
      </c>
      <c r="B129" s="20" t="n">
        <v>17098.02</v>
      </c>
      <c r="C129" s="24" t="n">
        <f aca="false">(B129/B128-1)/(A129-A128)*30</f>
        <v>0.00292053779189994</v>
      </c>
      <c r="D129" s="19" t="n">
        <f aca="false">B129/$B$3*100</f>
        <v>156.101538006453</v>
      </c>
      <c r="F129" s="17" t="n">
        <f aca="false">+A129</f>
        <v>42551</v>
      </c>
      <c r="G129" s="4" t="n">
        <v>1001.3437</v>
      </c>
      <c r="H129" s="4" t="n">
        <f aca="false">+G129</f>
        <v>1001.3437</v>
      </c>
      <c r="I129" s="24" t="n">
        <f aca="false">+(((H129)/H128)-1)/23*30</f>
        <v>0.00175265217391312</v>
      </c>
      <c r="J129" s="18" t="n">
        <f aca="false">+J128*(1+I129)</f>
        <v>155.92280031087</v>
      </c>
      <c r="K129" s="4" t="n">
        <v>4624.3824</v>
      </c>
      <c r="L129" s="24" t="n">
        <f aca="false">+(K129/K128-1)/(F129-F128)*30</f>
        <v>0.00206589659301071</v>
      </c>
      <c r="M129" s="19" t="n">
        <f aca="false">+M128*(1+L129)</f>
        <v>155.971556804702</v>
      </c>
      <c r="R129" s="17"/>
      <c r="S129" s="45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customFormat="false" ht="14.25" hidden="false" customHeight="false" outlineLevel="0" collapsed="false">
      <c r="A130" s="17" t="n">
        <v>42582</v>
      </c>
      <c r="B130" s="58" t="n">
        <v>17149.23</v>
      </c>
      <c r="C130" s="24" t="n">
        <f aca="false">(B130/B129-1)/(A130-A129)*30</f>
        <v>0.00289846803993268</v>
      </c>
      <c r="D130" s="19" t="n">
        <f aca="false">B130/$B$3*100</f>
        <v>156.569075169312</v>
      </c>
      <c r="F130" s="17" t="n">
        <f aca="false">+A130</f>
        <v>42582</v>
      </c>
      <c r="G130" s="4" t="n">
        <v>1005.1646</v>
      </c>
      <c r="H130" s="4" t="n">
        <f aca="false">+G130</f>
        <v>1005.1646</v>
      </c>
      <c r="I130" s="24" t="n">
        <f aca="false">+(H130/H129-1)/(F130-F129)*30</f>
        <v>0.00369268330273641</v>
      </c>
      <c r="J130" s="18" t="n">
        <f aca="false">+J129*(1+I130)</f>
        <v>156.498573832093</v>
      </c>
      <c r="K130" s="4" t="n">
        <v>4633.906</v>
      </c>
      <c r="L130" s="24" t="n">
        <f aca="false">+(K130/K129-1)/(F130-F129)*30</f>
        <v>0.00199299848056975</v>
      </c>
      <c r="M130" s="19" t="n">
        <f aca="false">+M129*(1+L130)</f>
        <v>156.282407880426</v>
      </c>
      <c r="R130" s="17"/>
      <c r="S130" s="45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customFormat="false" ht="14.25" hidden="false" customHeight="false" outlineLevel="0" collapsed="false">
      <c r="A131" s="17" t="n">
        <v>42613</v>
      </c>
      <c r="B131" s="20" t="n">
        <v>17201.38</v>
      </c>
      <c r="C131" s="24" t="n">
        <f aca="false">(B131/B130-1)/(A131-A130)*30</f>
        <v>0.00294285760558838</v>
      </c>
      <c r="D131" s="19" t="n">
        <f aca="false">B131/$B$3*100</f>
        <v>157.045194346096</v>
      </c>
      <c r="F131" s="17" t="n">
        <f aca="false">+A131</f>
        <v>42613</v>
      </c>
      <c r="G131" s="4" t="n">
        <v>1007.9799</v>
      </c>
      <c r="H131" s="4" t="n">
        <f aca="false">+G131</f>
        <v>1007.9799</v>
      </c>
      <c r="I131" s="24" t="n">
        <f aca="false">+(H131/H130-1)/(F131-F130)*30</f>
        <v>0.00271048529859461</v>
      </c>
      <c r="J131" s="18" t="n">
        <f aca="false">+J130*(1+I131)</f>
        <v>156.922760915716</v>
      </c>
      <c r="K131" s="4" t="n">
        <v>4643.2047</v>
      </c>
      <c r="L131" s="24" t="n">
        <f aca="false">+(K131/K130-1)/(F131-F130)*30</f>
        <v>0.00194193450093384</v>
      </c>
      <c r="M131" s="19" t="n">
        <f aca="false">+M130*(1+L131)</f>
        <v>156.585898080178</v>
      </c>
      <c r="R131" s="17"/>
      <c r="S131" s="45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customFormat="false" ht="14.25" hidden="false" customHeight="false" outlineLevel="0" collapsed="false">
      <c r="A132" s="17" t="n">
        <f aca="false">+A131+30</f>
        <v>42643</v>
      </c>
      <c r="B132" s="20" t="n">
        <v>17251.61</v>
      </c>
      <c r="C132" s="24" t="n">
        <f aca="false">(B132/B131-1)/(A132-A131)*30</f>
        <v>0.00292011454894903</v>
      </c>
      <c r="D132" s="19" t="n">
        <f aca="false">B132/$B$3*100</f>
        <v>157.503784302949</v>
      </c>
      <c r="F132" s="17" t="n">
        <f aca="false">+A132</f>
        <v>42643</v>
      </c>
      <c r="G132" s="4" t="n">
        <v>1010.9045</v>
      </c>
      <c r="H132" s="4" t="n">
        <f aca="false">+G132</f>
        <v>1010.9045</v>
      </c>
      <c r="I132" s="24" t="n">
        <f aca="false">+(H132/H131-1)/(F132-F131)*30</f>
        <v>0.0029014467451185</v>
      </c>
      <c r="J132" s="18" t="n">
        <f aca="false">+J131*(1+I132)</f>
        <v>157.37806394961</v>
      </c>
      <c r="K132" s="4" t="n">
        <v>4652.0922</v>
      </c>
      <c r="L132" s="24" t="n">
        <f aca="false">+(K132/K131-1)/(F132-F131)*30</f>
        <v>0.00191408748358657</v>
      </c>
      <c r="M132" s="19" t="n">
        <f aca="false">+M131*(1+L132)</f>
        <v>156.885617187799</v>
      </c>
      <c r="R132" s="17"/>
      <c r="S132" s="45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customFormat="false" ht="14.25" hidden="false" customHeight="false" outlineLevel="0" collapsed="false">
      <c r="A133" s="17" t="n">
        <v>42674</v>
      </c>
      <c r="B133" s="20" t="n">
        <v>17303.68</v>
      </c>
      <c r="C133" s="24" t="n">
        <f aca="false">(B133/B132-1)/(A133-A132)*30</f>
        <v>0.00292090550277028</v>
      </c>
      <c r="D133" s="19" t="n">
        <f aca="false">B133/$B$3*100</f>
        <v>157.979173095569</v>
      </c>
      <c r="F133" s="17" t="n">
        <f aca="false">+A133</f>
        <v>42674</v>
      </c>
      <c r="G133" s="4" t="n">
        <v>1013.6288</v>
      </c>
      <c r="H133" s="4" t="n">
        <f aca="false">+G133</f>
        <v>1013.6288</v>
      </c>
      <c r="I133" s="24" t="n">
        <f aca="false">+(H133/H132-1)/(F133-F132)*30</f>
        <v>0.00260798063005815</v>
      </c>
      <c r="J133" s="18" t="n">
        <f aca="false">+J132*(1+I133)</f>
        <v>157.788502891987</v>
      </c>
      <c r="K133" s="4" t="n">
        <v>4661.3091</v>
      </c>
      <c r="L133" s="24" t="n">
        <f aca="false">+(K133/K132-1)/(F133-F132)*30</f>
        <v>0.00191732671273402</v>
      </c>
      <c r="M133" s="19" t="n">
        <f aca="false">+M132*(1+L133)</f>
        <v>157.186418172477</v>
      </c>
      <c r="R133" s="17"/>
      <c r="S133" s="45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customFormat="false" ht="14.25" hidden="false" customHeight="false" outlineLevel="0" collapsed="false">
      <c r="A134" s="17" t="n">
        <v>42704</v>
      </c>
      <c r="B134" s="20" t="n">
        <v>17354.21</v>
      </c>
      <c r="C134" s="24" t="n">
        <f aca="false">(B134/B133-1)/(A134-A133)*30</f>
        <v>0.00292018807560002</v>
      </c>
      <c r="D134" s="19" t="n">
        <f aca="false">B134/$B$3*100</f>
        <v>158.440501993036</v>
      </c>
      <c r="F134" s="17" t="n">
        <f aca="false">+A134</f>
        <v>42704</v>
      </c>
      <c r="G134" s="4" t="n">
        <v>1015.8584</v>
      </c>
      <c r="H134" s="4" t="n">
        <f aca="false">+G134</f>
        <v>1015.8584</v>
      </c>
      <c r="I134" s="24" t="n">
        <f aca="false">+(H134/H133-1)/(F134-F133)*30</f>
        <v>0.00219962179448729</v>
      </c>
      <c r="J134" s="18" t="n">
        <f aca="false">+J133*(1+I134)</f>
        <v>158.135577921868</v>
      </c>
      <c r="K134" s="4" t="n">
        <v>4670.2537</v>
      </c>
      <c r="L134" s="24" t="n">
        <f aca="false">+(K134/K133-1)/(F134-F133)*30</f>
        <v>0.00191890299658515</v>
      </c>
      <c r="M134" s="19" t="n">
        <f aca="false">+M133*(1+L134)</f>
        <v>157.488043661331</v>
      </c>
      <c r="R134" s="17"/>
      <c r="S134" s="45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customFormat="false" ht="14.25" hidden="false" customHeight="false" outlineLevel="0" collapsed="false">
      <c r="A135" s="17" t="n">
        <v>42735</v>
      </c>
      <c r="B135" s="20" t="n">
        <v>17406.97</v>
      </c>
      <c r="C135" s="24" t="n">
        <f aca="false">(B135/B134-1)/(A135-A134)*30</f>
        <v>0.00294211401821993</v>
      </c>
      <c r="D135" s="19" t="n">
        <f aca="false">B135/$B$3*100</f>
        <v>158.922190349069</v>
      </c>
      <c r="F135" s="17" t="n">
        <f aca="false">+A135</f>
        <v>42735</v>
      </c>
      <c r="G135" s="4" t="n">
        <v>1015.602</v>
      </c>
      <c r="H135" s="4" t="n">
        <f aca="false">+G135+$S$144</f>
        <v>1015.62256</v>
      </c>
      <c r="I135" s="24" t="n">
        <f aca="false">+(H135/H134-1)/(F135-F134)*30</f>
        <v>-0.000224669361462668</v>
      </c>
      <c r="J135" s="18" t="n">
        <f aca="false">+J134*(1+I135)</f>
        <v>158.100049702551</v>
      </c>
      <c r="K135" s="4" t="n">
        <v>4679.6228</v>
      </c>
      <c r="L135" s="24" t="n">
        <f aca="false">+(K135/K134-1)/(F135-F134)*30</f>
        <v>0.00194140865789398</v>
      </c>
      <c r="M135" s="19" t="n">
        <f aca="false">+M134*(1+L135)</f>
        <v>157.79379231281</v>
      </c>
      <c r="R135" s="17"/>
      <c r="S135" s="45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customFormat="false" ht="14.25" hidden="false" customHeight="false" outlineLevel="0" collapsed="false">
      <c r="A136" s="17" t="n">
        <v>42766</v>
      </c>
      <c r="B136" s="20" t="n">
        <v>17457.39</v>
      </c>
      <c r="C136" s="24" t="n">
        <f aca="false">(B136/B135-1)/(A136-A135)*30</f>
        <v>0.00280310406619276</v>
      </c>
      <c r="D136" s="19" t="n">
        <f aca="false">B136/$B$3*100</f>
        <v>159.38251496831</v>
      </c>
      <c r="F136" s="17" t="n">
        <f aca="false">+A136</f>
        <v>42766</v>
      </c>
      <c r="G136" s="4" t="n">
        <v>1018.5955</v>
      </c>
      <c r="H136" s="4" t="n">
        <f aca="false">+G136+$S$144</f>
        <v>1018.61606</v>
      </c>
      <c r="I136" s="24" t="n">
        <f aca="false">+(H136/H135-1)/(F136-F135)*30</f>
        <v>0.00285237409837658</v>
      </c>
      <c r="J136" s="18" t="n">
        <f aca="false">+J135*(1+I136)</f>
        <v>158.551010189275</v>
      </c>
      <c r="K136" s="4" t="n">
        <v>4689.6164</v>
      </c>
      <c r="L136" s="24" t="n">
        <f aca="false">+(K136/K135-1)/(F136-F135)*30</f>
        <v>0.00206666781058754</v>
      </c>
      <c r="M136" s="19" t="n">
        <f aca="false">+M135*(1+L136)</f>
        <v>158.119899664093</v>
      </c>
      <c r="R136" s="17"/>
      <c r="S136" s="45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customFormat="false" ht="14.25" hidden="false" customHeight="false" outlineLevel="0" collapsed="false">
      <c r="A137" s="17" t="n">
        <v>42794</v>
      </c>
      <c r="B137" s="20" t="n">
        <v>17501.06</v>
      </c>
      <c r="C137" s="24" t="n">
        <f aca="false">(B137/B136-1)/(A137-A136)*30</f>
        <v>0.00268019937197288</v>
      </c>
      <c r="D137" s="19" t="n">
        <f aca="false">B137/$B$3*100</f>
        <v>159.781213423731</v>
      </c>
      <c r="F137" s="17" t="n">
        <f aca="false">+A137</f>
        <v>42794</v>
      </c>
      <c r="G137" s="4" t="n">
        <v>1020.431</v>
      </c>
      <c r="H137" s="4" t="n">
        <f aca="false">+G137+$S$144</f>
        <v>1020.45156</v>
      </c>
      <c r="I137" s="24" t="n">
        <f aca="false">+(H137/H136-1)/(F137-F136)*30</f>
        <v>0.00193066575335291</v>
      </c>
      <c r="J137" s="18" t="n">
        <f aca="false">+J136*(1+I137)</f>
        <v>158.857119194807</v>
      </c>
      <c r="K137" s="4" t="n">
        <v>4697.0558</v>
      </c>
      <c r="L137" s="24" t="n">
        <f aca="false">+(K137/K136-1)/(F137-F136)*30</f>
        <v>0.00169966688838048</v>
      </c>
      <c r="M137" s="19" t="n">
        <f aca="false">+M136*(1+L137)</f>
        <v>158.388650821946</v>
      </c>
      <c r="R137" s="17"/>
      <c r="S137" s="45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customFormat="false" ht="14.25" hidden="false" customHeight="false" outlineLevel="0" collapsed="false">
      <c r="A138" s="17" t="n">
        <v>42825</v>
      </c>
      <c r="B138" s="20" t="n">
        <v>17548.35</v>
      </c>
      <c r="C138" s="24" t="n">
        <f aca="false">(B138/B137-1)/(A138-A137)*30</f>
        <v>0.00261495681570322</v>
      </c>
      <c r="D138" s="19" t="n">
        <f aca="false">B138/$B$3*100</f>
        <v>160.212961762563</v>
      </c>
      <c r="F138" s="17" t="n">
        <f aca="false">+A138</f>
        <v>42825</v>
      </c>
      <c r="G138" s="4" t="n">
        <v>1022.8543</v>
      </c>
      <c r="H138" s="4" t="n">
        <f aca="false">+G138+$S$144</f>
        <v>1022.87486</v>
      </c>
      <c r="I138" s="24" t="n">
        <f aca="false">+(H138/H137-1)/(F138-F137)*30</f>
        <v>0.00229812871495633</v>
      </c>
      <c r="J138" s="18" t="n">
        <f aca="false">+J137*(1+I138)</f>
        <v>159.222193302004</v>
      </c>
      <c r="K138" s="4" t="n">
        <v>4705.1244</v>
      </c>
      <c r="L138" s="24" t="n">
        <f aca="false">+(K138/K137-1)/(F138-F137)*30</f>
        <v>0.00166238659132904</v>
      </c>
      <c r="M138" s="19" t="n">
        <f aca="false">+M137*(1+L138)</f>
        <v>158.651953991292</v>
      </c>
      <c r="R138" s="17"/>
      <c r="S138" s="45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customFormat="false" ht="14.25" hidden="false" customHeight="false" outlineLevel="0" collapsed="false">
      <c r="A139" s="17" t="n">
        <v>42855</v>
      </c>
      <c r="B139" s="20" t="n">
        <v>17587.92</v>
      </c>
      <c r="C139" s="24" t="n">
        <f aca="false">(B139/B138-1)/(A139-A138)*30</f>
        <v>0.00225491285505464</v>
      </c>
      <c r="D139" s="19" t="n">
        <f aca="false">B139/$B$3*100</f>
        <v>160.574228029588</v>
      </c>
      <c r="F139" s="17" t="n">
        <f aca="false">+A139</f>
        <v>42855</v>
      </c>
      <c r="G139" s="4" t="n">
        <v>1024.7484</v>
      </c>
      <c r="H139" s="4" t="n">
        <f aca="false">+G139+$S$144</f>
        <v>1024.76896</v>
      </c>
      <c r="I139" s="24" t="n">
        <f aca="false">+(H139/H138-1)/(F139-F138)*30</f>
        <v>0.00185174166857505</v>
      </c>
      <c r="J139" s="18" t="n">
        <f aca="false">+J138*(1+I139)</f>
        <v>159.517031671903</v>
      </c>
      <c r="K139" s="4" t="n">
        <v>4712.3293</v>
      </c>
      <c r="L139" s="24" t="n">
        <f aca="false">+(K139/K138-1)/(F139-F138)*30</f>
        <v>0.00153128788688361</v>
      </c>
      <c r="M139" s="19" t="n">
        <f aca="false">+M138*(1+L139)</f>
        <v>158.894895806669</v>
      </c>
      <c r="R139" s="17"/>
      <c r="S139" s="45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customFormat="false" ht="14.25" hidden="false" customHeight="false" outlineLevel="0" collapsed="false">
      <c r="A140" s="17" t="n">
        <v>42886</v>
      </c>
      <c r="B140" s="20" t="n">
        <v>17630.79</v>
      </c>
      <c r="C140" s="24" t="n">
        <f aca="false">(B140/B139-1)/(A140-A139)*30</f>
        <v>0.00235884042991986</v>
      </c>
      <c r="D140" s="19" t="n">
        <f aca="false">B140/$B$3*100</f>
        <v>160.96562264337</v>
      </c>
      <c r="F140" s="17" t="n">
        <f aca="false">+A140</f>
        <v>42886</v>
      </c>
      <c r="G140" s="4" t="n">
        <v>1026.2055</v>
      </c>
      <c r="H140" s="4" t="n">
        <f aca="false">+G140+$S$144</f>
        <v>1026.22606</v>
      </c>
      <c r="I140" s="24" t="n">
        <f aca="false">+(H140/H139-1)/(F140-F139)*30</f>
        <v>0.00137601433028738</v>
      </c>
      <c r="J140" s="18" t="n">
        <f aca="false">+J139*(1+I140)</f>
        <v>159.736529393408</v>
      </c>
      <c r="K140" s="4" t="n">
        <v>4719.0229</v>
      </c>
      <c r="L140" s="24" t="n">
        <f aca="false">+(K140/K139-1)/(F140-F139)*30</f>
        <v>0.00137462325040706</v>
      </c>
      <c r="M140" s="19" t="n">
        <f aca="false">+M139*(1+L140)</f>
        <v>159.113316424816</v>
      </c>
      <c r="R140" s="17"/>
      <c r="S140" s="45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customFormat="false" ht="14.25" hidden="false" customHeight="false" outlineLevel="0" collapsed="false">
      <c r="A141" s="17" t="n">
        <v>42916</v>
      </c>
      <c r="B141" s="20" t="n">
        <v>17667.59</v>
      </c>
      <c r="C141" s="24" t="n">
        <f aca="false">(B141/B140-1)/(A141-A140)*30</f>
        <v>0.00208725757609263</v>
      </c>
      <c r="D141" s="19" t="n">
        <f aca="false">B141/$B$3*100</f>
        <v>161.301599358723</v>
      </c>
      <c r="F141" s="17" t="n">
        <f aca="false">+A141</f>
        <v>42916</v>
      </c>
      <c r="G141" s="4" t="n">
        <v>1032.9866</v>
      </c>
      <c r="H141" s="4" t="n">
        <f aca="false">+G141+$S$144</f>
        <v>1033.00716</v>
      </c>
      <c r="I141" s="24" t="n">
        <f aca="false">+(H141/H140-1)/(F141-F140)*30</f>
        <v>0.0066078033528012</v>
      </c>
      <c r="J141" s="18" t="n">
        <f aca="false">+J140*(1+I141)</f>
        <v>160.792036967899</v>
      </c>
      <c r="K141" s="4" t="n">
        <v>4725.0333</v>
      </c>
      <c r="L141" s="24" t="n">
        <f aca="false">+(K141/K140-1)/(F141-F140)*30</f>
        <v>0.00127365349297204</v>
      </c>
      <c r="M141" s="19" t="n">
        <f aca="false">+M140*(1+L141)</f>
        <v>159.315971656059</v>
      </c>
      <c r="R141" s="17"/>
      <c r="S141" s="45"/>
    </row>
    <row r="142" customFormat="false" ht="14.25" hidden="false" customHeight="false" outlineLevel="0" collapsed="false">
      <c r="A142" s="17" t="n">
        <v>42947</v>
      </c>
      <c r="B142" s="20" t="n">
        <v>17705.69</v>
      </c>
      <c r="C142" s="24" t="n">
        <f aca="false">(B142/B141-1)/(A142-A141)*30</f>
        <v>0.00208692683846153</v>
      </c>
      <c r="D142" s="19" t="n">
        <f aca="false">B142/$B$3*100</f>
        <v>161.649444816737</v>
      </c>
      <c r="F142" s="17" t="n">
        <f aca="false">+A142</f>
        <v>42947</v>
      </c>
      <c r="G142" s="4" t="n">
        <v>1036.2876</v>
      </c>
      <c r="H142" s="4" t="n">
        <f aca="false">+G142+$S$144</f>
        <v>1036.30816</v>
      </c>
      <c r="I142" s="24" t="n">
        <f aca="false">+(H142/H141-1)/(F142-F141)*30</f>
        <v>0.00309244335637744</v>
      </c>
      <c r="J142" s="18" t="n">
        <f aca="false">+J141*(1+I142)</f>
        <v>161.289277234379</v>
      </c>
      <c r="K142" s="4" t="n">
        <v>4730.5225</v>
      </c>
      <c r="L142" s="24" t="n">
        <f aca="false">+(K142/K141-1)/(F142-F141)*30</f>
        <v>0.00112425218934613</v>
      </c>
      <c r="M142" s="19" t="n">
        <f aca="false">+M141*(1+L142)</f>
        <v>159.495082985991</v>
      </c>
      <c r="R142" s="17"/>
      <c r="S142" s="45"/>
    </row>
    <row r="143" customFormat="false" ht="14.25" hidden="false" customHeight="false" outlineLevel="0" collapsed="false">
      <c r="A143" s="17" t="n">
        <v>42978</v>
      </c>
      <c r="B143" s="20" t="n">
        <v>17743.83</v>
      </c>
      <c r="C143" s="24" t="n">
        <f aca="false">(B143/B142-1)/(A143-A142)*30</f>
        <v>0.00208462236825332</v>
      </c>
      <c r="D143" s="19" t="n">
        <f aca="false">B143/$B$3*100</f>
        <v>161.997655466834</v>
      </c>
      <c r="F143" s="17" t="n">
        <f aca="false">+A143</f>
        <v>42978</v>
      </c>
      <c r="G143" s="4" t="n">
        <v>1039.435</v>
      </c>
      <c r="H143" s="4" t="n">
        <f aca="false">+G143+$S$144</f>
        <v>1039.45556</v>
      </c>
      <c r="I143" s="24" t="n">
        <f aca="false">+(H143/H142-1)/(F143-F142)*30</f>
        <v>0.00293915563469253</v>
      </c>
      <c r="J143" s="18" t="n">
        <f aca="false">+J142*(1+I143)</f>
        <v>161.763331522378</v>
      </c>
      <c r="K143" s="4" t="n">
        <v>4735.8327</v>
      </c>
      <c r="L143" s="24" t="n">
        <f aca="false">+(K143/K142-1)/(F143-F142)*30</f>
        <v>0.00108632888350212</v>
      </c>
      <c r="M143" s="19" t="n">
        <f aca="false">+M142*(1+L143)</f>
        <v>159.668347101415</v>
      </c>
      <c r="R143" s="17"/>
      <c r="S143" s="3" t="s">
        <v>39</v>
      </c>
    </row>
    <row r="144" customFormat="false" ht="14.25" hidden="false" customHeight="false" outlineLevel="0" collapsed="false">
      <c r="A144" s="17" t="n">
        <v>43008</v>
      </c>
      <c r="B144" s="20" t="n">
        <v>17780.7817</v>
      </c>
      <c r="C144" s="24" t="n">
        <f aca="false">(B144/B143-1)/(A144-A143)*30</f>
        <v>0.00208250980763447</v>
      </c>
      <c r="D144" s="19" t="n">
        <f aca="false">B144/$B$3*100</f>
        <v>162.335017173158</v>
      </c>
      <c r="F144" s="17" t="n">
        <v>43008</v>
      </c>
      <c r="G144" s="4" t="n">
        <v>1041.9647</v>
      </c>
      <c r="H144" s="4" t="n">
        <f aca="false">+G144+$S$144</f>
        <v>1041.98526</v>
      </c>
      <c r="I144" s="24" t="n">
        <f aca="false">+(H144/H143-1)/(F144-F143)*30</f>
        <v>0.00243367787652216</v>
      </c>
      <c r="J144" s="18" t="n">
        <f aca="false">+J143*(1+I144)</f>
        <v>162.157011363536</v>
      </c>
      <c r="K144" s="4" t="n">
        <v>4740.8941</v>
      </c>
      <c r="L144" s="24" t="n">
        <f aca="false">+(K144/K143-1)/(F144-F143)*30</f>
        <v>0.00106874552388647</v>
      </c>
      <c r="M144" s="19" t="n">
        <f aca="false">+M143*(1+L144)</f>
        <v>159.838991932686</v>
      </c>
      <c r="R144" s="17"/>
      <c r="S144" s="59" t="n">
        <v>0.02056</v>
      </c>
    </row>
    <row r="145" customFormat="false" ht="14.25" hidden="false" customHeight="false" outlineLevel="0" collapsed="false">
      <c r="A145" s="17" t="n">
        <v>43039</v>
      </c>
      <c r="B145" s="3" t="n">
        <v>17819.15</v>
      </c>
      <c r="C145" s="24" t="n">
        <f aca="false">(B145/B144-1)/(A145-A144)*30</f>
        <v>0.00208824412389173</v>
      </c>
      <c r="D145" s="19" t="n">
        <f aca="false">B145/$B$3*100</f>
        <v>162.685312157062</v>
      </c>
      <c r="F145" s="17" t="n">
        <v>43039</v>
      </c>
      <c r="G145" s="4" t="n">
        <v>1044.1586</v>
      </c>
      <c r="H145" s="4" t="n">
        <f aca="false">+G145+$S$144</f>
        <v>1044.17916</v>
      </c>
      <c r="I145" s="24" t="n">
        <f aca="false">+(H145/H144-1)/(F145-F144)*30</f>
        <v>0.00203758067773253</v>
      </c>
      <c r="J145" s="18" t="n">
        <f aca="false">+J144*(1+I145)</f>
        <v>162.48741935665</v>
      </c>
      <c r="K145" s="4" t="n">
        <v>4746.0658</v>
      </c>
      <c r="L145" s="24" t="n">
        <f aca="false">+(K145/K144-1)/(F145-F144)*30</f>
        <v>0.0010556808193083</v>
      </c>
      <c r="M145" s="19" t="n">
        <f aca="false">+M144*(1+L145)</f>
        <v>160.007730890647</v>
      </c>
      <c r="R145" s="17"/>
      <c r="S145" s="4" t="s">
        <v>40</v>
      </c>
    </row>
    <row r="146" customFormat="false" ht="14.25" hidden="false" customHeight="false" outlineLevel="0" collapsed="false">
      <c r="A146" s="17" t="n">
        <v>43069</v>
      </c>
      <c r="B146" s="3" t="n">
        <f aca="false">+VLOOKUP(A146,[1]Simple!$A$3790:$B$3818,2)</f>
        <v>17856.32</v>
      </c>
      <c r="C146" s="24" t="n">
        <f aca="false">(B146/B145-1)/(A146-A145)*30</f>
        <v>0.00208595808442036</v>
      </c>
      <c r="D146" s="19" t="n">
        <f aca="false">B146/$B$3*100</f>
        <v>163.024666899172</v>
      </c>
      <c r="F146" s="17" t="n">
        <v>43069</v>
      </c>
      <c r="G146" s="4" t="n">
        <v>1046.7123</v>
      </c>
      <c r="H146" s="4" t="n">
        <f aca="false">+G146+$S$144</f>
        <v>1046.73286</v>
      </c>
      <c r="I146" s="24" t="n">
        <f aca="false">+(H146/H145-1)/(F146-F145)*30</f>
        <v>0.00244565310037403</v>
      </c>
      <c r="J146" s="18" t="n">
        <f aca="false">+J145*(1+I146)</f>
        <v>162.884807217571</v>
      </c>
      <c r="K146" s="4" t="n">
        <v>4751.2547</v>
      </c>
      <c r="L146" s="24" t="n">
        <f aca="false">+(K146/K145-1)/(F146-F145)*30</f>
        <v>0.00109330553318499</v>
      </c>
      <c r="M146" s="19" t="n">
        <f aca="false">+M145*(1+L146)</f>
        <v>160.182668228182</v>
      </c>
      <c r="R146" s="17"/>
      <c r="S146" s="3" t="n">
        <v>19.2742</v>
      </c>
    </row>
    <row r="147" customFormat="false" ht="14.25" hidden="false" customHeight="false" outlineLevel="0" collapsed="false">
      <c r="A147" s="17" t="n">
        <v>43100</v>
      </c>
      <c r="B147" s="3" t="n">
        <f aca="false">+VLOOKUP(A147,[1]Simple!$A$3790:$B$3818,2)</f>
        <v>17872.44</v>
      </c>
      <c r="C147" s="24" t="n">
        <f aca="false">(B147/B146-1)/(A147-A146)*30</f>
        <v>0.000873640257343073</v>
      </c>
      <c r="D147" s="19" t="n">
        <f aca="false">B147/$B$3*100</f>
        <v>163.17183930818</v>
      </c>
      <c r="F147" s="17" t="n">
        <v>43100</v>
      </c>
      <c r="G147" s="4" t="n">
        <v>1030.0075</v>
      </c>
      <c r="H147" s="4" t="n">
        <f aca="false">+G147+$S$144+$S$146</f>
        <v>1049.30226</v>
      </c>
      <c r="I147" s="24" t="n">
        <f aca="false">+(H147/H146-1)/(F147-F146)*30</f>
        <v>0.00237550212098284</v>
      </c>
      <c r="J147" s="18" t="n">
        <f aca="false">+J146*(1+I147)</f>
        <v>163.271740422592</v>
      </c>
      <c r="K147" s="4" t="n">
        <v>4756.6532</v>
      </c>
      <c r="L147" s="24" t="n">
        <f aca="false">+(K147/K146-1)/(F147-F146)*30</f>
        <v>0.00109957372706403</v>
      </c>
      <c r="M147" s="19" t="n">
        <f aca="false">+M146*(1+L147)</f>
        <v>160.358800881697</v>
      </c>
      <c r="Q147" s="4"/>
      <c r="R147" s="17"/>
      <c r="S147" s="3" t="s">
        <v>41</v>
      </c>
    </row>
    <row r="148" customFormat="false" ht="14.25" hidden="false" customHeight="false" outlineLevel="0" collapsed="false">
      <c r="A148" s="17" t="n">
        <v>43131</v>
      </c>
      <c r="B148" s="3" t="n">
        <v>17933.28</v>
      </c>
      <c r="C148" s="24" t="n">
        <f aca="false">(B148/B147-1)/(A148-A147)*30</f>
        <v>0.00329431344320307</v>
      </c>
      <c r="D148" s="19" t="n">
        <f aca="false">B148/$B$3*100</f>
        <v>163.727296464758</v>
      </c>
      <c r="F148" s="17" t="n">
        <v>43131</v>
      </c>
      <c r="G148" s="4" t="n">
        <v>1032.7494</v>
      </c>
      <c r="H148" s="4" t="n">
        <f aca="false">+G148+$S$144+$S$146</f>
        <v>1052.04416</v>
      </c>
      <c r="I148" s="24" t="n">
        <f aca="false">+(H148/H147-1)/(F148-F147)*30</f>
        <v>0.00252877718275678</v>
      </c>
      <c r="J148" s="18" t="n">
        <f aca="false">+J147*(1+I148)</f>
        <v>163.684618274362</v>
      </c>
      <c r="K148" s="4" t="n">
        <v>4762.3134</v>
      </c>
      <c r="L148" s="24" t="n">
        <f aca="false">+(K148/K147-1)/(F148-F147)*30</f>
        <v>0.00115156869187469</v>
      </c>
      <c r="M148" s="19" t="n">
        <f aca="false">+M147*(1+L148)</f>
        <v>160.543465056259</v>
      </c>
      <c r="R148" s="17"/>
      <c r="S148" s="3" t="n">
        <v>28.674485248212</v>
      </c>
    </row>
    <row r="149" customFormat="false" ht="14.25" hidden="false" customHeight="false" outlineLevel="0" collapsed="false">
      <c r="A149" s="17" t="n">
        <v>43159</v>
      </c>
      <c r="B149" s="3" t="n">
        <v>17968.11</v>
      </c>
      <c r="C149" s="24" t="n">
        <f aca="false">(B149/B148-1)/(A149-A148)*30</f>
        <v>0.0020809275906505</v>
      </c>
      <c r="D149" s="19" t="n">
        <f aca="false">B149/$B$3*100</f>
        <v>164.045287470077</v>
      </c>
      <c r="F149" s="17" t="n">
        <v>43159</v>
      </c>
      <c r="G149" s="4" t="n">
        <v>1035.6462</v>
      </c>
      <c r="H149" s="4" t="n">
        <f aca="false">+G149+$S$144+$S$146</f>
        <v>1054.94096</v>
      </c>
      <c r="I149" s="24" t="n">
        <f aca="false">+(H149/H148-1)/(F149-F148)*30</f>
        <v>0.00295017491063698</v>
      </c>
      <c r="J149" s="18" t="n">
        <f aca="false">+J148*(1+I149)</f>
        <v>164.167516528452</v>
      </c>
      <c r="K149" s="4" t="n">
        <v>4767.2642</v>
      </c>
      <c r="L149" s="24" t="n">
        <f aca="false">+(K149/K148-1)/(F149-F148)*30</f>
        <v>0.00111383441741315</v>
      </c>
      <c r="M149" s="19" t="n">
        <f aca="false">+M148*(1+L149)</f>
        <v>160.722283893129</v>
      </c>
      <c r="R149" s="17"/>
      <c r="S149" s="3" t="s">
        <v>42</v>
      </c>
    </row>
    <row r="150" customFormat="false" ht="14.25" hidden="false" customHeight="false" outlineLevel="0" collapsed="false">
      <c r="A150" s="17" t="n">
        <v>43190</v>
      </c>
      <c r="B150" s="3" t="n">
        <v>18006.83</v>
      </c>
      <c r="C150" s="24" t="n">
        <f aca="false">(B150/B149-1)/(A150-A149)*30</f>
        <v>0.00208541509050955</v>
      </c>
      <c r="D150" s="19" t="n">
        <f aca="false">B150/$B$3*100</f>
        <v>164.398793405361</v>
      </c>
      <c r="F150" s="17" t="n">
        <v>43190</v>
      </c>
      <c r="G150" s="4" t="n">
        <v>1038.284</v>
      </c>
      <c r="H150" s="4" t="n">
        <f aca="false">+G150+$S$144+$S$146</f>
        <v>1057.57876</v>
      </c>
      <c r="I150" s="24" t="n">
        <f aca="false">+(H150/H149-1)/(F150-F149)*30</f>
        <v>0.00241976544111009</v>
      </c>
      <c r="J150" s="18" t="n">
        <f aca="false">+J149*(1+I150)</f>
        <v>164.5647634115</v>
      </c>
      <c r="K150" s="4" t="n">
        <v>4772.5332</v>
      </c>
      <c r="L150" s="24" t="n">
        <f aca="false">+(K150/K149-1)/(F150-F149)*30</f>
        <v>0.0010695929665623</v>
      </c>
      <c r="M150" s="19" t="n">
        <f aca="false">+M149*(1+L150)</f>
        <v>160.894191317551</v>
      </c>
      <c r="R150" s="17"/>
      <c r="S150" s="3" t="n">
        <v>5.6443199</v>
      </c>
    </row>
    <row r="151" customFormat="false" ht="14.25" hidden="false" customHeight="false" outlineLevel="0" collapsed="false">
      <c r="A151" s="17" t="n">
        <v>43220</v>
      </c>
      <c r="B151" s="3" t="n">
        <v>18044.25</v>
      </c>
      <c r="C151" s="24" t="n">
        <f aca="false">(B151/B150-1)/(A151-A150)*30</f>
        <v>0.00207810036525014</v>
      </c>
      <c r="D151" s="19" t="n">
        <f aca="false">B151/$B$3*100</f>
        <v>164.740430597984</v>
      </c>
      <c r="F151" s="17" t="n">
        <v>43220</v>
      </c>
      <c r="G151" s="4" t="n">
        <v>1040.644</v>
      </c>
      <c r="H151" s="4" t="n">
        <f aca="false">+G151+$S$144+$S$146</f>
        <v>1059.93876</v>
      </c>
      <c r="I151" s="24" t="n">
        <f aca="false">+(H151/H150-1)/(F151-F150)*30</f>
        <v>0.00223151228944873</v>
      </c>
      <c r="J151" s="18" t="n">
        <f aca="false">+J150*(1+I151)</f>
        <v>164.931991703463</v>
      </c>
      <c r="K151" s="4" t="n">
        <v>4777.4636</v>
      </c>
      <c r="L151" s="24" t="n">
        <f aca="false">+(K151/K150-1)/(F151-F150)*30</f>
        <v>0.00103307819838738</v>
      </c>
      <c r="M151" s="19" t="n">
        <f aca="false">+M150*(1+L151)</f>
        <v>161.060407598848</v>
      </c>
      <c r="R151" s="17"/>
      <c r="S151" s="3" t="s">
        <v>43</v>
      </c>
    </row>
    <row r="152" customFormat="false" ht="14.25" hidden="false" customHeight="false" outlineLevel="0" collapsed="false">
      <c r="A152" s="17" t="n">
        <v>43251</v>
      </c>
      <c r="B152" s="18" t="n">
        <v>18082.87</v>
      </c>
      <c r="C152" s="24" t="n">
        <f aca="false">(B152/B151-1)/(A152-A151)*30</f>
        <v>0.00207125225755497</v>
      </c>
      <c r="D152" s="19" t="n">
        <f aca="false">B152/$B$3*100</f>
        <v>165.093023553063</v>
      </c>
      <c r="F152" s="17" t="n">
        <v>43251</v>
      </c>
      <c r="G152" s="4" t="n">
        <v>1043.2051</v>
      </c>
      <c r="H152" s="4" t="n">
        <f aca="false">+G152+$S$144+$S$146</f>
        <v>1062.49986</v>
      </c>
      <c r="I152" s="24" t="n">
        <f aca="false">+(H152/H151-1)/(F152-F151)*30</f>
        <v>0.00233832742465965</v>
      </c>
      <c r="J152" s="18" t="n">
        <f aca="false">+J151*(1+I152)</f>
        <v>165.317656702867</v>
      </c>
      <c r="K152" s="4" t="n">
        <v>4782.5056</v>
      </c>
      <c r="L152" s="24" t="n">
        <f aca="false">+(K152/K151-1)/(F152-F151)*30</f>
        <v>0.00102132747567358</v>
      </c>
      <c r="M152" s="19" t="n">
        <f aca="false">+M151*(1+L152)</f>
        <v>161.224903018372</v>
      </c>
      <c r="R152" s="17"/>
      <c r="S152" s="3" t="n">
        <v>6.93360983181593</v>
      </c>
    </row>
    <row r="153" customFormat="false" ht="14.25" hidden="false" customHeight="false" outlineLevel="0" collapsed="false">
      <c r="A153" s="17" t="n">
        <v>43281</v>
      </c>
      <c r="B153" s="19" t="n">
        <v>18120.6225</v>
      </c>
      <c r="C153" s="24" t="n">
        <f aca="false">(B153/B152-1)/(A153-A152)*30</f>
        <v>0.00208774934509859</v>
      </c>
      <c r="D153" s="19" t="n">
        <f aca="false">B153/$B$3*100</f>
        <v>165.437696404867</v>
      </c>
      <c r="F153" s="17" t="n">
        <v>43281</v>
      </c>
      <c r="G153" s="4" t="n">
        <v>1045.7996</v>
      </c>
      <c r="H153" s="4" t="n">
        <f aca="false">+G153+$S$144+$S$146</f>
        <v>1065.09436</v>
      </c>
      <c r="I153" s="24" t="n">
        <f aca="false">+(H153/H152-1)/(F153-F152)*30</f>
        <v>0.00244188267469525</v>
      </c>
      <c r="J153" s="18" t="n">
        <f aca="false">+J152*(1+I153)</f>
        <v>165.721343024591</v>
      </c>
      <c r="K153" s="3" t="n">
        <v>4787.3658</v>
      </c>
      <c r="L153" s="24" t="n">
        <f aca="false">+(K153/K152-1)/(F153-F152)*30</f>
        <v>0.0010162455429219</v>
      </c>
      <c r="M153" s="19" t="n">
        <f aca="false">+M152*(1+L153)</f>
        <v>161.388747107472</v>
      </c>
      <c r="R153" s="17"/>
      <c r="S153" s="45" t="s">
        <v>44</v>
      </c>
    </row>
    <row r="154" customFormat="false" ht="14.25" hidden="false" customHeight="false" outlineLevel="0" collapsed="false">
      <c r="A154" s="17" t="n">
        <v>43312</v>
      </c>
      <c r="B154" s="18" t="n">
        <v>18159.66</v>
      </c>
      <c r="C154" s="24" t="n">
        <f aca="false">(B154/B153-1)/(A154-A153)*30</f>
        <v>0.00208481942639947</v>
      </c>
      <c r="D154" s="19" t="n">
        <f aca="false">B154/$B$3*100</f>
        <v>165.794101052301</v>
      </c>
      <c r="F154" s="17" t="n">
        <v>43312</v>
      </c>
      <c r="G154" s="4" t="n">
        <v>1048.6022</v>
      </c>
      <c r="H154" s="4" t="n">
        <f aca="false">+G154+$S$144+$S$146</f>
        <v>1067.89696</v>
      </c>
      <c r="I154" s="24" t="n">
        <f aca="false">+(H154/H153-1)/(F154-F153)*30</f>
        <v>0.00254643499228274</v>
      </c>
      <c r="J154" s="18" t="n">
        <f aca="false">+J153*(1+I154)</f>
        <v>166.143341651437</v>
      </c>
      <c r="K154" s="3" t="n">
        <v>4792.3901</v>
      </c>
      <c r="L154" s="24" t="n">
        <f aca="false">+(K154/K153-1)/(F154-F153)*30</f>
        <v>0.00101563699319824</v>
      </c>
      <c r="M154" s="19" t="n">
        <f aca="false">+M153*(1+L154)</f>
        <v>161.552659489321</v>
      </c>
      <c r="R154" s="17"/>
      <c r="S154" s="3" t="n">
        <v>9.57801631380478</v>
      </c>
    </row>
    <row r="155" customFormat="false" ht="14.25" hidden="false" customHeight="false" outlineLevel="0" collapsed="false">
      <c r="A155" s="17" t="n">
        <v>43343</v>
      </c>
      <c r="B155" s="18" t="n">
        <v>18198.62</v>
      </c>
      <c r="C155" s="24" t="n">
        <f aca="false">(B155/B154-1)/(A155-A154)*30</f>
        <v>0.00207620769367104</v>
      </c>
      <c r="D155" s="19" t="n">
        <f aca="false">B155/$B$3*100</f>
        <v>166.149798140077</v>
      </c>
      <c r="F155" s="17" t="n">
        <v>43343</v>
      </c>
      <c r="G155" s="4" t="n">
        <v>1051.1227</v>
      </c>
      <c r="H155" s="4" t="n">
        <f aca="false">+G155+$S$144+$S$146</f>
        <v>1070.41746</v>
      </c>
      <c r="I155" s="24" t="n">
        <f aca="false">+(H155/H154-1)/(F155-F154)*30</f>
        <v>0.00228410945976197</v>
      </c>
      <c r="J155" s="18" t="n">
        <f aca="false">+J154*(1+I155)</f>
        <v>166.52283122978</v>
      </c>
      <c r="K155" s="3" t="n">
        <v>4797.4336</v>
      </c>
      <c r="L155" s="24" t="n">
        <f aca="false">+(K155/K154-1)/(F155-F154)*30</f>
        <v>0.00101844932273222</v>
      </c>
      <c r="M155" s="19" t="n">
        <f aca="false">+M154*(1+L155)</f>
        <v>161.717192685963</v>
      </c>
      <c r="R155" s="17"/>
      <c r="S155" s="45" t="s">
        <v>45</v>
      </c>
    </row>
    <row r="156" customFormat="false" ht="14.25" hidden="false" customHeight="false" outlineLevel="0" collapsed="false">
      <c r="A156" s="17" t="n">
        <v>43373</v>
      </c>
      <c r="B156" s="60" t="n">
        <v>18235.9</v>
      </c>
      <c r="C156" s="24" t="n">
        <f aca="false">(B156/B155-1)/(A156-A155)*30</f>
        <v>0.00204850697470471</v>
      </c>
      <c r="D156" s="19" t="n">
        <f aca="false">B156/$B$3*100</f>
        <v>166.490157160412</v>
      </c>
      <c r="F156" s="17" t="n">
        <v>43373</v>
      </c>
      <c r="G156" s="4" t="n">
        <v>1053.6498</v>
      </c>
      <c r="H156" s="4" t="n">
        <f aca="false">+G156+$S$144+$S$146</f>
        <v>1072.94456</v>
      </c>
      <c r="I156" s="24" t="n">
        <f aca="false">+(H156/H155-1)/(F156-F155)*30</f>
        <v>0.00236085461460989</v>
      </c>
      <c r="J156" s="18" t="n">
        <f aca="false">+J155*(1+I156)</f>
        <v>166.915967424326</v>
      </c>
      <c r="K156" s="3" t="n">
        <v>4802.2758</v>
      </c>
      <c r="L156" s="24" t="n">
        <f aca="false">+(K156/K155-1)/(F156-F155)*30</f>
        <v>0.00100933132248038</v>
      </c>
      <c r="M156" s="19" t="n">
        <f aca="false">+M155*(1+L156)</f>
        <v>161.880418913925</v>
      </c>
      <c r="R156" s="17"/>
      <c r="S156" s="3" t="n">
        <v>28.2367751734684</v>
      </c>
    </row>
    <row r="157" customFormat="false" ht="14.25" hidden="false" customHeight="false" outlineLevel="0" collapsed="false">
      <c r="A157" s="17" t="n">
        <v>43404</v>
      </c>
      <c r="B157" s="3" t="n">
        <v>18277.4</v>
      </c>
      <c r="C157" s="24" t="n">
        <f aca="false">(B157/B156-1)/(A157-A156)*30</f>
        <v>0.00220232016640697</v>
      </c>
      <c r="D157" s="19" t="n">
        <f aca="false">B157/$B$3*100</f>
        <v>166.869043945389</v>
      </c>
      <c r="F157" s="17" t="n">
        <v>43404</v>
      </c>
      <c r="G157" s="4" t="n">
        <v>1056.513</v>
      </c>
      <c r="H157" s="4" t="n">
        <f aca="false">+G157+$S$144+$S$146</f>
        <v>1075.80776</v>
      </c>
      <c r="I157" s="24" t="n">
        <f aca="false">+(H157/H156-1)/(F157-F156)*30</f>
        <v>0.00258246214480766</v>
      </c>
      <c r="J157" s="18" t="n">
        <f aca="false">+J156*(1+I157)</f>
        <v>167.347021591564</v>
      </c>
      <c r="K157" s="3" t="n">
        <v>4807.6121</v>
      </c>
      <c r="L157" s="24" t="n">
        <f aca="false">+(K157/K156-1)/(F157-F156)*30</f>
        <v>0.00107535708180741</v>
      </c>
      <c r="M157" s="19" t="n">
        <f aca="false">+M156*(1+L157)</f>
        <v>162.05449816881</v>
      </c>
      <c r="R157" s="17"/>
      <c r="S157" s="45" t="s">
        <v>46</v>
      </c>
    </row>
    <row r="158" customFormat="false" ht="14.25" hidden="false" customHeight="false" outlineLevel="0" collapsed="false">
      <c r="A158" s="17" t="n">
        <v>43434</v>
      </c>
      <c r="B158" s="19" t="n">
        <v>18319.31</v>
      </c>
      <c r="C158" s="24" t="n">
        <f aca="false">(B158/B157-1)/(A158-A157)*30</f>
        <v>0.00229299572149211</v>
      </c>
      <c r="D158" s="19" t="n">
        <f aca="false">B158/$B$3*100</f>
        <v>167.251673949205</v>
      </c>
      <c r="F158" s="17" t="n">
        <v>43434</v>
      </c>
      <c r="G158" s="4" t="n">
        <v>1059.3325</v>
      </c>
      <c r="H158" s="4" t="n">
        <f aca="false">+G158+$S$144+$S$146</f>
        <v>1078.62726</v>
      </c>
      <c r="I158" s="24" t="n">
        <f aca="false">+(H158/H157-1)/(F158-F157)*30</f>
        <v>0.00262082140028452</v>
      </c>
      <c r="J158" s="18" t="n">
        <f aca="false">+J157*(1+I158)</f>
        <v>167.785608247025</v>
      </c>
      <c r="K158" s="3" t="n">
        <v>4812.5415</v>
      </c>
      <c r="L158" s="24" t="n">
        <f aca="false">+(K158/K157-1)/(F158-F157)*30</f>
        <v>0.00102533230582402</v>
      </c>
      <c r="M158" s="19" t="n">
        <f aca="false">+M157*(1+L158)</f>
        <v>162.220657881086</v>
      </c>
      <c r="R158" s="17"/>
      <c r="S158" s="3" t="n">
        <v>79.17</v>
      </c>
    </row>
    <row r="159" customFormat="false" ht="14.25" hidden="false" customHeight="false" outlineLevel="0" collapsed="false">
      <c r="A159" s="17" t="n">
        <v>43465</v>
      </c>
      <c r="B159" s="3" t="n">
        <v>18362.684</v>
      </c>
      <c r="C159" s="24" t="n">
        <f aca="false">(B159/B158-1)/(A159-A158)*30</f>
        <v>0.00229128928489532</v>
      </c>
      <c r="D159" s="19" t="n">
        <f aca="false">B159/$B$3*100</f>
        <v>167.647669983219</v>
      </c>
      <c r="F159" s="17" t="n">
        <v>43465</v>
      </c>
      <c r="G159" s="4" t="n">
        <v>1032.9102</v>
      </c>
      <c r="H159" s="4" t="n">
        <f aca="false">+G159+$S$144+$S$146+$S$148</f>
        <v>1080.87944524821</v>
      </c>
      <c r="I159" s="24" t="n">
        <f aca="false">+(H159/H158-1)/(F159-F158)*30</f>
        <v>0.00202065550538094</v>
      </c>
      <c r="J159" s="18" t="n">
        <f aca="false">+J158*(1+I159)</f>
        <v>168.124645160053</v>
      </c>
      <c r="K159" s="18" t="n">
        <v>4819.2415</v>
      </c>
      <c r="L159" s="24" t="n">
        <f aca="false">+(K159/K158-1)/(F159-F158)*30</f>
        <v>0.00134728624527007</v>
      </c>
      <c r="M159" s="19" t="n">
        <f aca="false">+M158*(1+L159)</f>
        <v>162.439215542148</v>
      </c>
      <c r="R159" s="17"/>
      <c r="S159" s="45"/>
    </row>
    <row r="160" customFormat="false" ht="14.25" hidden="false" customHeight="false" outlineLevel="0" collapsed="false">
      <c r="A160" s="17" t="n">
        <v>43496</v>
      </c>
      <c r="B160" s="3" t="n">
        <v>18407.69</v>
      </c>
      <c r="C160" s="24" t="n">
        <f aca="false">(B160/B159-1)/(A160-A159)*30</f>
        <v>0.00237188602430805</v>
      </c>
      <c r="D160" s="19" t="n">
        <f aca="false">B160/$B$3*100</f>
        <v>168.058565854175</v>
      </c>
      <c r="F160" s="17" t="n">
        <v>43496</v>
      </c>
      <c r="G160" s="4" t="n">
        <v>1035.3959</v>
      </c>
      <c r="H160" s="4" t="n">
        <f aca="false">+G160+$S$144+$S$146+$S$148</f>
        <v>1083.36514524821</v>
      </c>
      <c r="I160" s="24" t="n">
        <f aca="false">+(H160/H159-1)/(F160-F159)*30</f>
        <v>0.00222551750762521</v>
      </c>
      <c r="J160" s="18" t="n">
        <f aca="false">+J159*(1+I160)</f>
        <v>168.49880950132</v>
      </c>
      <c r="K160" s="3" t="n">
        <v>4825.82</v>
      </c>
      <c r="L160" s="24" t="n">
        <f aca="false">+(K160/K159-1)/(F160-F159)*30</f>
        <v>0.00132101500258492</v>
      </c>
      <c r="M160" s="19" t="n">
        <f aca="false">+M159*(1+L160)</f>
        <v>162.653800182888</v>
      </c>
      <c r="R160" s="17"/>
      <c r="S160" s="45"/>
    </row>
    <row r="161" customFormat="false" ht="14.25" hidden="false" customHeight="false" outlineLevel="0" collapsed="false">
      <c r="A161" s="17" t="n">
        <v>43524</v>
      </c>
      <c r="B161" s="3" t="n">
        <v>18449.16</v>
      </c>
      <c r="C161" s="24" t="n">
        <f aca="false">(B161/B160-1)/(A161-A160)*30</f>
        <v>0.00241378156939547</v>
      </c>
      <c r="D161" s="19" t="n">
        <f aca="false">B161/$B$3*100</f>
        <v>168.43717874509</v>
      </c>
      <c r="F161" s="17" t="n">
        <v>43524</v>
      </c>
      <c r="G161" s="4" t="n">
        <v>1037.4842</v>
      </c>
      <c r="H161" s="4" t="n">
        <f aca="false">+G161+$S$144+$S$146+$S$148</f>
        <v>1085.45344524821</v>
      </c>
      <c r="I161" s="24" t="n">
        <f aca="false">+(H161/H160-1)/(F161-F160)*30</f>
        <v>0.00206529100140256</v>
      </c>
      <c r="J161" s="18" t="n">
        <f aca="false">+J160*(1+I161)</f>
        <v>168.84680857633</v>
      </c>
      <c r="K161" s="3" t="n">
        <v>4832.1058</v>
      </c>
      <c r="L161" s="24" t="n">
        <f aca="false">+(K161/K160-1)/(F161-F160)*30</f>
        <v>0.00139557333557535</v>
      </c>
      <c r="M161" s="19" t="n">
        <f aca="false">+M160*(1+L161)</f>
        <v>162.880795489353</v>
      </c>
      <c r="R161" s="17"/>
      <c r="S161" s="45"/>
    </row>
    <row r="162" customFormat="false" ht="14.25" hidden="false" customHeight="false" outlineLevel="0" collapsed="false">
      <c r="A162" s="17" t="n">
        <v>43555</v>
      </c>
      <c r="B162" s="3" t="n">
        <v>18496.82</v>
      </c>
      <c r="C162" s="24" t="n">
        <f aca="false">(B162/B161-1)/(A162-A161)*30</f>
        <v>0.00249998269000661</v>
      </c>
      <c r="D162" s="19" t="n">
        <f aca="false">B162/$B$3*100</f>
        <v>168.872305110681</v>
      </c>
      <c r="F162" s="17" t="n">
        <v>43555</v>
      </c>
      <c r="G162" s="4" t="n">
        <v>1039.8879</v>
      </c>
      <c r="H162" s="4" t="n">
        <f aca="false">+G162+$S$144+$S$146+$S$148</f>
        <v>1087.85714524821</v>
      </c>
      <c r="I162" s="24" t="n">
        <f aca="false">+(H162/H161-1)/(F162-F161)*30</f>
        <v>0.0021430318366078</v>
      </c>
      <c r="J162" s="18" t="n">
        <f aca="false">+J161*(1+I162)</f>
        <v>169.208652662618</v>
      </c>
      <c r="K162" s="3" t="n">
        <v>4839.1073</v>
      </c>
      <c r="L162" s="24" t="n">
        <f aca="false">+(K162/K161-1)/(F162-F161)*30</f>
        <v>0.00140221374318611</v>
      </c>
      <c r="M162" s="19" t="n">
        <f aca="false">+M161*(1+L162)</f>
        <v>163.109189179289</v>
      </c>
      <c r="R162" s="17"/>
      <c r="S162" s="45"/>
    </row>
    <row r="163" customFormat="false" ht="14.25" hidden="false" customHeight="false" outlineLevel="0" collapsed="false">
      <c r="A163" s="17" t="n">
        <v>43585</v>
      </c>
      <c r="B163" s="3" t="n">
        <v>18543.07</v>
      </c>
      <c r="C163" s="24" t="n">
        <f aca="false">(B163/B162-1)/(A163-A162)*30</f>
        <v>0.00250042980360954</v>
      </c>
      <c r="D163" s="19" t="n">
        <f aca="false">B163/$B$3*100</f>
        <v>169.294558455384</v>
      </c>
      <c r="F163" s="17" t="n">
        <v>43585</v>
      </c>
      <c r="G163" s="4" t="n">
        <v>1042.5797</v>
      </c>
      <c r="H163" s="4" t="n">
        <f aca="false">+G163+$S$144+$S$146+$S$148</f>
        <v>1090.54894524821</v>
      </c>
      <c r="I163" s="24" t="n">
        <f aca="false">+(H163/H162-1)/(F163-F162)*30</f>
        <v>0.00247440577263092</v>
      </c>
      <c r="J163" s="18" t="n">
        <f aca="false">+J162*(1+I163)</f>
        <v>169.627343529546</v>
      </c>
      <c r="K163" s="3" t="n">
        <v>4845.9628</v>
      </c>
      <c r="L163" s="24" t="n">
        <f aca="false">+(K163/K162-1)/(F163-F162)*30</f>
        <v>0.0014166869166139</v>
      </c>
      <c r="M163" s="19" t="n">
        <f aca="false">+M162*(1+L163)</f>
        <v>163.340263833579</v>
      </c>
      <c r="R163" s="17"/>
      <c r="S163" s="45"/>
    </row>
    <row r="164" customFormat="false" ht="14.25" hidden="false" customHeight="false" outlineLevel="0" collapsed="false">
      <c r="A164" s="17" t="n">
        <v>43616</v>
      </c>
      <c r="B164" s="3" t="n">
        <v>18591.02</v>
      </c>
      <c r="C164" s="24" t="n">
        <f aca="false">(B164/B163-1)/(A164-A163)*30</f>
        <v>0.00250245648678736</v>
      </c>
      <c r="D164" s="19" t="n">
        <f aca="false">B164/$B$3*100</f>
        <v>169.732332463568</v>
      </c>
      <c r="F164" s="17" t="n">
        <v>43616</v>
      </c>
      <c r="G164" s="4" t="n">
        <v>1045.1979</v>
      </c>
      <c r="H164" s="4" t="n">
        <f aca="false">+G164+$S$144+$S$146+$S$148</f>
        <v>1093.16714524821</v>
      </c>
      <c r="I164" s="24" t="n">
        <f aca="false">+(H164/H163-1)/(F164-F163)*30</f>
        <v>0.00232336379446687</v>
      </c>
      <c r="J164" s="18" t="n">
        <f aca="false">+J163*(1+I164)</f>
        <v>170.021449558054</v>
      </c>
      <c r="K164" s="3" t="n">
        <v>4852.5891</v>
      </c>
      <c r="L164" s="24" t="n">
        <f aca="false">+(K164/K163-1)/(F164-F163)*30</f>
        <v>0.001323276436851</v>
      </c>
      <c r="M164" s="19" t="n">
        <f aca="false">+M163*(1+L164)</f>
        <v>163.556408155899</v>
      </c>
      <c r="R164" s="17"/>
      <c r="S164" s="45"/>
      <c r="AR164" s="61"/>
    </row>
    <row r="165" customFormat="false" ht="14.25" hidden="false" customHeight="false" outlineLevel="0" collapsed="false">
      <c r="A165" s="17" t="n">
        <v>43646</v>
      </c>
      <c r="B165" s="3" t="n">
        <v>18632.31</v>
      </c>
      <c r="C165" s="24" t="n">
        <f aca="false">(B165/B164-1)/(A165-A164)*30</f>
        <v>0.00222096474534483</v>
      </c>
      <c r="D165" s="19" t="n">
        <f aca="false">B165/$B$3*100</f>
        <v>170.109301990114</v>
      </c>
      <c r="F165" s="17" t="n">
        <v>43646</v>
      </c>
      <c r="G165" s="4" t="n">
        <v>1047.958</v>
      </c>
      <c r="H165" s="4" t="n">
        <f aca="false">+G165+$S$144+$S$146+$S$148</f>
        <v>1095.92724524821</v>
      </c>
      <c r="I165" s="24" t="n">
        <f aca="false">+(H165/H164-1)/(F165-F164)*30</f>
        <v>0.00252486549014752</v>
      </c>
      <c r="J165" s="18" t="n">
        <f aca="false">+J164*(1+I165)</f>
        <v>170.450730848628</v>
      </c>
      <c r="K165" s="3" t="n">
        <v>4858.4077</v>
      </c>
      <c r="L165" s="24" t="n">
        <f aca="false">+(K165/K164-1)/(F165-F164)*30</f>
        <v>0.00119907123395202</v>
      </c>
      <c r="M165" s="19" t="n">
        <f aca="false">+M164*(1+L165)</f>
        <v>163.752523940047</v>
      </c>
      <c r="R165" s="17"/>
      <c r="S165" s="45"/>
    </row>
    <row r="166" customFormat="false" ht="14.25" hidden="false" customHeight="false" outlineLevel="0" collapsed="false">
      <c r="A166" s="17" t="n">
        <v>43677</v>
      </c>
      <c r="B166" s="3" t="n">
        <v>18672.31</v>
      </c>
      <c r="C166" s="24" t="n">
        <f aca="false">(B166/B165-1)/(A166-A165)*30</f>
        <v>0.00207755653589669</v>
      </c>
      <c r="D166" s="19" t="n">
        <f aca="false">B166/$B$3*100</f>
        <v>170.47449407202</v>
      </c>
      <c r="F166" s="17" t="n">
        <v>43677</v>
      </c>
      <c r="G166" s="4" t="n">
        <v>1050.2841</v>
      </c>
      <c r="H166" s="4" t="n">
        <f aca="false">+G166+$S$144+$S$146+$S$148</f>
        <v>1098.25334524821</v>
      </c>
      <c r="I166" s="24" t="n">
        <f aca="false">+(H166/H165-1)/(F166-F165)*30</f>
        <v>0.00205402733246139</v>
      </c>
      <c r="J166" s="18" t="n">
        <f aca="false">+J165*(1+I166)</f>
        <v>170.800841308629</v>
      </c>
      <c r="K166" s="3" t="n">
        <v>4863.4466</v>
      </c>
      <c r="L166" s="24" t="n">
        <f aca="false">+(K166/K165-1)/(F166-F165)*30</f>
        <v>0.00100369403718635</v>
      </c>
      <c r="M166" s="19" t="n">
        <f aca="false">+M165*(1+L166)</f>
        <v>163.9168813719</v>
      </c>
      <c r="R166" s="17"/>
      <c r="S166" s="45"/>
    </row>
    <row r="167" customFormat="false" ht="14.25" hidden="false" customHeight="false" outlineLevel="0" collapsed="false">
      <c r="A167" s="17" t="n">
        <v>43708</v>
      </c>
      <c r="B167" s="3" t="n">
        <v>18712.55</v>
      </c>
      <c r="C167" s="24" t="n">
        <f aca="false">(B167/B166-1)/(A167-A166)*30</f>
        <v>0.00208554461038137</v>
      </c>
      <c r="D167" s="19" t="n">
        <f aca="false">B167/$B$3*100</f>
        <v>170.841877306416</v>
      </c>
      <c r="F167" s="17" t="n">
        <v>43708</v>
      </c>
      <c r="G167" s="4" t="n">
        <v>1052.4322</v>
      </c>
      <c r="H167" s="4" t="n">
        <f aca="false">+G167+$S$144+$S$146+$S$148</f>
        <v>1100.40144524821</v>
      </c>
      <c r="I167" s="24" t="n">
        <f aca="false">+(H167/H166-1)/(F167-F166)*30</f>
        <v>0.00189282961040565</v>
      </c>
      <c r="J167" s="18" t="n">
        <f aca="false">+J166*(1+I167)</f>
        <v>171.12413819854</v>
      </c>
      <c r="K167" s="3" t="n">
        <v>4868.1253</v>
      </c>
      <c r="L167" s="24" t="n">
        <f aca="false">+(K167/K166-1)/(F167-F166)*30</f>
        <v>0.000930980550613598</v>
      </c>
      <c r="M167" s="19" t="n">
        <f aca="false">+M166*(1+L167)</f>
        <v>164.069484800374</v>
      </c>
      <c r="R167" s="17"/>
      <c r="S167" s="45"/>
    </row>
    <row r="168" customFormat="false" ht="14.25" hidden="false" customHeight="false" outlineLevel="0" collapsed="false">
      <c r="A168" s="17" t="n">
        <v>43738</v>
      </c>
      <c r="B168" s="3" t="n">
        <v>18744.77</v>
      </c>
      <c r="C168" s="24" t="n">
        <f aca="false">(B168/B167-1)/(A168-A167)*30</f>
        <v>0.00172183908660228</v>
      </c>
      <c r="D168" s="19" t="n">
        <f aca="false">B168/$B$3*100</f>
        <v>171.136039528391</v>
      </c>
      <c r="F168" s="17" t="n">
        <v>43738</v>
      </c>
      <c r="G168" s="4" t="n">
        <v>1054.4053</v>
      </c>
      <c r="H168" s="4" t="n">
        <f aca="false">+G168+$S$144+$S$146+$S$148</f>
        <v>1102.37454524821</v>
      </c>
      <c r="I168" s="24" t="n">
        <f aca="false">+(H168/H167-1)/(F168-F167)*30</f>
        <v>0.00179307289037123</v>
      </c>
      <c r="J168" s="18" t="n">
        <f aca="false">+J167*(1+I168)</f>
        <v>171.430976251632</v>
      </c>
      <c r="K168" s="3" t="n">
        <v>4873.3262</v>
      </c>
      <c r="L168" s="24" t="n">
        <f aca="false">+(K168/K167-1)/(F168-F167)*30</f>
        <v>0.00106835787484783</v>
      </c>
      <c r="M168" s="19" t="n">
        <f aca="false">+M167*(1+L168)</f>
        <v>164.244769726483</v>
      </c>
      <c r="R168" s="17"/>
      <c r="S168" s="45"/>
    </row>
    <row r="169" customFormat="false" ht="14.25" hidden="false" customHeight="false" outlineLevel="0" collapsed="false">
      <c r="A169" s="17" t="n">
        <v>43769</v>
      </c>
      <c r="B169" s="3" t="n">
        <v>18776.102</v>
      </c>
      <c r="C169" s="24" t="n">
        <f aca="false">(B169/B168-1)/(A169-A168)*30</f>
        <v>0.00161758668271631</v>
      </c>
      <c r="D169" s="19" t="n">
        <f aca="false">B169/$B$3*100</f>
        <v>171.422094486147</v>
      </c>
      <c r="F169" s="17" t="n">
        <v>43769</v>
      </c>
      <c r="G169" s="4" t="n">
        <v>1057.28</v>
      </c>
      <c r="H169" s="4" t="n">
        <f aca="false">+G169+$S$144+$S$146+$S$148</f>
        <v>1105.24924524821</v>
      </c>
      <c r="I169" s="24" t="n">
        <f aca="false">+(H169/H168-1)/(F169-F168)*30</f>
        <v>0.00252361391500494</v>
      </c>
      <c r="J169" s="18" t="n">
        <f aca="false">+J168*(1+I169)</f>
        <v>171.863601848764</v>
      </c>
      <c r="K169" s="3" t="n">
        <v>4876.4951</v>
      </c>
      <c r="L169" s="24" t="n">
        <f aca="false">+(K169/K168-1)/(F169-F168)*30</f>
        <v>0.000629278093338842</v>
      </c>
      <c r="M169" s="19" t="n">
        <f aca="false">+M168*(1+L169)</f>
        <v>164.348125362017</v>
      </c>
      <c r="R169" s="17"/>
      <c r="S169" s="45"/>
    </row>
    <row r="170" customFormat="false" ht="14.25" hidden="false" customHeight="false" outlineLevel="0" collapsed="false">
      <c r="A170" s="17" t="n">
        <v>43799</v>
      </c>
      <c r="B170" s="3" t="n">
        <v>18802.79</v>
      </c>
      <c r="C170" s="24" t="n">
        <f aca="false">(B170/B169-1)/(A170-A169)*30</f>
        <v>0.00142138128563651</v>
      </c>
      <c r="D170" s="19" t="n">
        <f aca="false">B170/$B$3*100</f>
        <v>171.665750643195</v>
      </c>
      <c r="F170" s="17" t="n">
        <v>43799</v>
      </c>
      <c r="G170" s="4" t="n">
        <v>1059.9565</v>
      </c>
      <c r="H170" s="4" t="n">
        <f aca="false">+G170+$S$144+$S$146+$S$148</f>
        <v>1107.92574524821</v>
      </c>
      <c r="I170" s="24" t="n">
        <f aca="false">+(H170/H169-1)/(F170-F169)*30</f>
        <v>0.00242162572062998</v>
      </c>
      <c r="J170" s="18" t="n">
        <f aca="false">+J169*(1+I170)</f>
        <v>172.279791167441</v>
      </c>
      <c r="K170" s="3" t="n">
        <v>4879.8683</v>
      </c>
      <c r="L170" s="24" t="n">
        <f aca="false">+(K170/K169-1)/(F170-F169)*30</f>
        <v>0.000691726317945118</v>
      </c>
      <c r="M170" s="19" t="n">
        <f aca="false">+M169*(1+L170)</f>
        <v>164.461809285635</v>
      </c>
      <c r="R170" s="17"/>
      <c r="S170" s="45"/>
    </row>
    <row r="171" customFormat="false" ht="14.25" hidden="false" customHeight="false" outlineLevel="0" collapsed="false">
      <c r="A171" s="17" t="n">
        <v>43830</v>
      </c>
      <c r="B171" s="3" t="n">
        <v>18830.68</v>
      </c>
      <c r="C171" s="24" t="n">
        <f aca="false">(B171/B170-1)/(A171-A170)*30</f>
        <v>0.00143544243065221</v>
      </c>
      <c r="D171" s="19" t="n">
        <f aca="false">B171/$B$3*100</f>
        <v>171.920380822303</v>
      </c>
      <c r="F171" s="17" t="n">
        <v>43830</v>
      </c>
      <c r="G171" s="4" t="n">
        <v>1062.6822</v>
      </c>
      <c r="H171" s="4" t="n">
        <f aca="false">+G171+$S$144+$S$146+$S$148</f>
        <v>1110.65144524821</v>
      </c>
      <c r="I171" s="24" t="n">
        <f aca="false">+(H171/H170-1)/(F171-F170)*30</f>
        <v>0.00238082218493565</v>
      </c>
      <c r="J171" s="18" t="n">
        <f aca="false">+J170*(1+I171)</f>
        <v>172.689958716268</v>
      </c>
      <c r="K171" s="3" t="n">
        <v>4882.8959</v>
      </c>
      <c r="L171" s="24" t="n">
        <f aca="false">+(K171/K170-1)/(F171-F170)*30</f>
        <v>0.000600412819311486</v>
      </c>
      <c r="M171" s="19" t="n">
        <f aca="false">+M170*(1+L171)</f>
        <v>164.560554264218</v>
      </c>
      <c r="R171" s="17"/>
      <c r="S171" s="45"/>
    </row>
    <row r="172" customFormat="false" ht="14.25" hidden="false" customHeight="false" outlineLevel="0" collapsed="false">
      <c r="A172" s="17" t="n">
        <v>43861</v>
      </c>
      <c r="B172" s="3" t="n">
        <v>18861.86</v>
      </c>
      <c r="C172" s="24" t="n">
        <f aca="false">(B172/B171-1)/(A172-A171)*30</f>
        <v>0.00160239532233506</v>
      </c>
      <c r="D172" s="19" t="n">
        <f aca="false">B172/$B$3*100</f>
        <v>172.205048050148</v>
      </c>
      <c r="F172" s="17" t="n">
        <v>43861</v>
      </c>
      <c r="G172" s="4" t="n">
        <v>1058.3141</v>
      </c>
      <c r="H172" s="4" t="n">
        <f aca="false">+G172+$S$144+$S$146+$S$148+$S$150</f>
        <v>1111.92766514821</v>
      </c>
      <c r="I172" s="24" t="n">
        <f aca="false">+(H172/H171-1)/(F172-F171)*30</f>
        <v>0.00111200640075974</v>
      </c>
      <c r="J172" s="18" t="n">
        <f aca="false">+J171*(1+I172)</f>
        <v>172.881991055708</v>
      </c>
      <c r="K172" s="3" t="n">
        <v>4885.3887</v>
      </c>
      <c r="L172" s="24" t="n">
        <f aca="false">+(K172/K171-1)/(F172-F171)*30</f>
        <v>0.000494048438913942</v>
      </c>
      <c r="M172" s="19" t="n">
        <f aca="false">+M171*(1+L172)</f>
        <v>164.641855149159</v>
      </c>
      <c r="R172" s="17"/>
      <c r="S172" s="45"/>
    </row>
    <row r="173" customFormat="false" ht="14.25" hidden="false" customHeight="false" outlineLevel="0" collapsed="false">
      <c r="A173" s="17" t="n">
        <v>43890</v>
      </c>
      <c r="B173" s="3" t="n">
        <v>18887.8867</v>
      </c>
      <c r="C173" s="24" t="n">
        <f aca="false">(B173/B172-1)/(A173-A172)*30</f>
        <v>0.00142743994567841</v>
      </c>
      <c r="D173" s="19" t="n">
        <f aca="false">B173/$B$3*100</f>
        <v>172.442666669101</v>
      </c>
      <c r="F173" s="17" t="n">
        <v>43890</v>
      </c>
      <c r="G173" s="4" t="n">
        <v>1059.833</v>
      </c>
      <c r="H173" s="4" t="n">
        <f aca="false">+G173+$S$144+$S$146+$S$148+$S$150</f>
        <v>1113.44656514821</v>
      </c>
      <c r="I173" s="24" t="n">
        <f aca="false">+(H173/H172-1)/(F173-F172)*30</f>
        <v>0.00141310978341354</v>
      </c>
      <c r="J173" s="18" t="n">
        <f aca="false">+J172*(1+I173)</f>
        <v>173.126292288645</v>
      </c>
      <c r="K173" s="3" t="n">
        <v>4887.7164</v>
      </c>
      <c r="L173" s="24" t="n">
        <f aca="false">+(K173/K172-1)/(F173-F172)*30</f>
        <v>0.000492891285649559</v>
      </c>
      <c r="M173" s="19" t="n">
        <f aca="false">+M172*(1+L173)</f>
        <v>164.723005684815</v>
      </c>
      <c r="R173" s="17"/>
      <c r="S173" s="45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</row>
    <row r="174" customFormat="false" ht="14.25" hidden="false" customHeight="false" outlineLevel="0" collapsed="false">
      <c r="A174" s="17" t="n">
        <v>43921</v>
      </c>
      <c r="B174" s="3" t="n">
        <v>18908.77</v>
      </c>
      <c r="C174" s="24" t="n">
        <f aca="false">(B174/B173-1)/(A174-A173)*30</f>
        <v>0.00106997916083929</v>
      </c>
      <c r="D174" s="19" t="n">
        <f aca="false">B174/$B$3*100</f>
        <v>172.633327064203</v>
      </c>
      <c r="F174" s="17" t="n">
        <v>43921</v>
      </c>
      <c r="G174" s="4" t="n">
        <v>1061.4887</v>
      </c>
      <c r="H174" s="4" t="n">
        <f aca="false">+G174+$S$144+$S$146+$S$148+$S$150</f>
        <v>1115.10226514821</v>
      </c>
      <c r="I174" s="24" t="n">
        <f aca="false">+(H174/H173-1)/(F174-F173)*30</f>
        <v>0.00143903656693886</v>
      </c>
      <c r="J174" s="18" t="n">
        <f aca="false">+J173*(1+I174)</f>
        <v>173.375427353947</v>
      </c>
      <c r="K174" s="3" t="n">
        <v>4892.3528</v>
      </c>
      <c r="L174" s="24" t="n">
        <f aca="false">+(K174/K173-1)/(F174-F173)*30</f>
        <v>0.000917982620611394</v>
      </c>
      <c r="M174" s="19" t="n">
        <f aca="false">+M173*(1+L174)</f>
        <v>164.874218541248</v>
      </c>
      <c r="R174" s="17"/>
      <c r="S174" s="45"/>
    </row>
    <row r="175" customFormat="false" ht="14.25" hidden="false" customHeight="false" outlineLevel="0" collapsed="false">
      <c r="A175" s="17" t="n">
        <v>43951</v>
      </c>
      <c r="B175" s="3" t="n">
        <v>18917.93</v>
      </c>
      <c r="C175" s="24" t="n">
        <f aca="false">(B175/B174-1)/(A175-A174)*30</f>
        <v>0.00048443129828124</v>
      </c>
      <c r="D175" s="19" t="n">
        <f aca="false">B175/$B$3*100</f>
        <v>172.716956050959</v>
      </c>
      <c r="F175" s="17" t="n">
        <v>43951</v>
      </c>
      <c r="G175" s="4" t="n">
        <v>1062.9672</v>
      </c>
      <c r="H175" s="4" t="n">
        <f aca="false">+G175+$S$144+$S$146+$S$148+$S$150</f>
        <v>1116.58076514821</v>
      </c>
      <c r="I175" s="24" t="n">
        <f aca="false">+(H175/H174-1)/(F175-F174)*30</f>
        <v>0.0013258873613744</v>
      </c>
      <c r="J175" s="18" t="n">
        <f aca="false">+J174*(1+I175)</f>
        <v>173.605303641848</v>
      </c>
      <c r="K175" s="3" t="n">
        <v>4903.1164</v>
      </c>
      <c r="L175" s="24" t="n">
        <f aca="false">+(K175/K174-1)/(F175-F174)*30</f>
        <v>0.00220008663316351</v>
      </c>
      <c r="M175" s="19" t="n">
        <f aca="false">+M174*(1+L175)</f>
        <v>165.236956105614</v>
      </c>
      <c r="R175" s="17"/>
      <c r="S175" s="45"/>
    </row>
    <row r="176" customFormat="false" ht="14.25" hidden="false" customHeight="false" outlineLevel="0" collapsed="false">
      <c r="A176" s="17" t="n">
        <v>43982</v>
      </c>
      <c r="B176" s="3" t="n">
        <v>18925.24</v>
      </c>
      <c r="C176" s="24" t="n">
        <f aca="false">(B176/B175-1)/(A176-A175)*30</f>
        <v>0.000373941205427323</v>
      </c>
      <c r="D176" s="19" t="n">
        <f aca="false">B176/$B$3*100</f>
        <v>172.783694903927</v>
      </c>
      <c r="F176" s="17" t="n">
        <v>43982</v>
      </c>
      <c r="G176" s="4" t="n">
        <v>1064.2393</v>
      </c>
      <c r="H176" s="4" t="n">
        <f aca="false">+G176+$S$144+$S$146+$S$148+$S$150</f>
        <v>1117.85286514821</v>
      </c>
      <c r="I176" s="24" t="n">
        <f aca="false">+(H176/H175-1)/(F176-F175)*30</f>
        <v>0.00110253064942024</v>
      </c>
      <c r="J176" s="18" t="n">
        <f aca="false">+J175*(1+I176)</f>
        <v>173.796708810015</v>
      </c>
      <c r="K176" s="3" t="n">
        <v>4904.6881</v>
      </c>
      <c r="L176" s="24" t="n">
        <f aca="false">+(K176/K175-1)/(F176-F175)*30</f>
        <v>0.000310210869152602</v>
      </c>
      <c r="M176" s="19" t="n">
        <f aca="false">+M175*(1+L176)</f>
        <v>165.288214405384</v>
      </c>
      <c r="R176" s="17"/>
      <c r="S176" s="45"/>
    </row>
    <row r="177" customFormat="false" ht="14.25" hidden="false" customHeight="false" outlineLevel="0" collapsed="false">
      <c r="A177" s="17" t="n">
        <v>44012</v>
      </c>
      <c r="B177" s="3" t="n">
        <v>18932.63</v>
      </c>
      <c r="C177" s="24" t="n">
        <f aca="false">(B177/B176-1)/(A177-A176)*30</f>
        <v>0.000390483819491916</v>
      </c>
      <c r="D177" s="19" t="n">
        <f aca="false">B177/$B$3*100</f>
        <v>172.851164141059</v>
      </c>
      <c r="F177" s="17" t="n">
        <v>44012</v>
      </c>
      <c r="G177" s="4" t="n">
        <v>1065.5036</v>
      </c>
      <c r="H177" s="4" t="n">
        <f aca="false">+G177+$S$144+$S$146+$S$148+$S$150</f>
        <v>1119.11716514821</v>
      </c>
      <c r="I177" s="24" t="n">
        <f aca="false">+(H177/H176-1)/(F177-F176)*30</f>
        <v>0.00113100752291984</v>
      </c>
      <c r="J177" s="18" t="n">
        <f aca="false">+J176*(1+I177)</f>
        <v>173.993274195138</v>
      </c>
      <c r="K177" s="3" t="n">
        <v>4905.1791</v>
      </c>
      <c r="L177" s="24" t="n">
        <f aca="false">+(K177/K176-1)/(F177-F176)*30</f>
        <v>0.000100108302503399</v>
      </c>
      <c r="M177" s="19" t="n">
        <f aca="false">+M176*(1+L177)</f>
        <v>165.304761127952</v>
      </c>
      <c r="R177" s="17"/>
      <c r="S177" s="45"/>
    </row>
    <row r="178" customFormat="false" ht="14.25" hidden="false" customHeight="false" outlineLevel="0" collapsed="false">
      <c r="A178" s="17" t="n">
        <v>44043</v>
      </c>
      <c r="B178" s="3" t="n">
        <v>18940.74</v>
      </c>
      <c r="C178" s="24" t="n">
        <f aca="false">(B178/B177-1)/(A178-A177)*30</f>
        <v>0.000414542886898211</v>
      </c>
      <c r="D178" s="19" t="n">
        <f aca="false">B178/$B$3*100</f>
        <v>172.925206835665</v>
      </c>
      <c r="F178" s="17" t="n">
        <v>44043</v>
      </c>
      <c r="G178" s="4" t="n">
        <v>1066.2227</v>
      </c>
      <c r="H178" s="4" t="n">
        <f aca="false">+G178+$S$144+$S$146+$S$148+$S$150</f>
        <v>1119.83626514821</v>
      </c>
      <c r="I178" s="24" t="n">
        <f aca="false">+(H178/H177-1)/(F178-F177)*30</f>
        <v>0.000621832322368522</v>
      </c>
      <c r="J178" s="18" t="n">
        <f aca="false">+J177*(1+I178)</f>
        <v>174.101468836907</v>
      </c>
      <c r="K178" s="3" t="n">
        <v>4905.6222</v>
      </c>
      <c r="L178" s="24" t="n">
        <f aca="false">+(K178/K177-1)/(F178-F177)*30</f>
        <v>8.7419122293085E-005</v>
      </c>
      <c r="M178" s="19" t="n">
        <f aca="false">+M177*(1+L178)</f>
        <v>165.31921192508</v>
      </c>
      <c r="R178" s="17"/>
      <c r="S178" s="45"/>
    </row>
    <row r="179" customFormat="false" ht="14.25" hidden="false" customHeight="false" outlineLevel="0" collapsed="false">
      <c r="A179" s="17" t="n">
        <v>44074</v>
      </c>
      <c r="B179" s="3" t="n">
        <v>18948.69</v>
      </c>
      <c r="C179" s="24" t="n">
        <f aca="false">(B179/B178-1)/(A179-A178)*30</f>
        <v>0.000406190486068316</v>
      </c>
      <c r="D179" s="19" t="n">
        <f aca="false">B179/$B$3*100</f>
        <v>172.997788761944</v>
      </c>
      <c r="F179" s="17" t="n">
        <v>44074</v>
      </c>
      <c r="G179" s="4" t="n">
        <v>1066.8624</v>
      </c>
      <c r="H179" s="4" t="n">
        <f aca="false">+G179+$S$144+$S$146+$S$148+$S$150</f>
        <v>1120.47596514821</v>
      </c>
      <c r="I179" s="24" t="n">
        <f aca="false">+(H179/H178-1)/(F179-F178)*30</f>
        <v>0.000552816992443992</v>
      </c>
      <c r="J179" s="18" t="n">
        <f aca="false">+J178*(1+I179)</f>
        <v>174.19771508729</v>
      </c>
      <c r="K179" s="3" t="n">
        <v>4906.1183</v>
      </c>
      <c r="L179" s="24" t="n">
        <f aca="false">+(K179/K178-1)/(F179-F178)*30</f>
        <v>9.78666425215953E-005</v>
      </c>
      <c r="M179" s="19" t="n">
        <f aca="false">+M178*(1+L179)</f>
        <v>165.335391161296</v>
      </c>
      <c r="R179" s="17"/>
      <c r="S179" s="45"/>
    </row>
    <row r="180" customFormat="false" ht="14.25" hidden="false" customHeight="false" outlineLevel="0" collapsed="false">
      <c r="A180" s="17" t="n">
        <v>44104</v>
      </c>
      <c r="B180" s="3" t="n">
        <v>18956.17</v>
      </c>
      <c r="C180" s="24" t="n">
        <f aca="false">(B180/B179-1)/(A180-A179)*30</f>
        <v>0.000394750243948305</v>
      </c>
      <c r="D180" s="19" t="n">
        <f aca="false">B180/$B$3*100</f>
        <v>173.06607968126</v>
      </c>
      <c r="F180" s="17" t="n">
        <v>44104</v>
      </c>
      <c r="G180" s="4" t="n">
        <v>1067.9123</v>
      </c>
      <c r="H180" s="4" t="n">
        <f aca="false">+G180+$S$144+$S$146+$S$148+$S$150</f>
        <v>1121.52586514821</v>
      </c>
      <c r="I180" s="24" t="n">
        <f aca="false">+(H180/H179-1)/(F180-F179)*30</f>
        <v>0.000937012513125168</v>
      </c>
      <c r="J180" s="18" t="n">
        <f aca="false">+J179*(1+I180)</f>
        <v>174.360940526084</v>
      </c>
      <c r="K180" s="3" t="n">
        <v>4906.466</v>
      </c>
      <c r="L180" s="24" t="n">
        <f aca="false">+(K180/K179-1)/(F180-F179)*30</f>
        <v>7.08706922130098E-005</v>
      </c>
      <c r="M180" s="19" t="n">
        <f aca="false">+M179*(1+L180)</f>
        <v>165.347108594915</v>
      </c>
      <c r="R180" s="17"/>
      <c r="S180" s="45"/>
    </row>
    <row r="181" customFormat="false" ht="14.25" hidden="false" customHeight="false" outlineLevel="0" collapsed="false">
      <c r="A181" s="17" t="n">
        <v>44135</v>
      </c>
      <c r="B181" s="3" t="n">
        <v>18963.23</v>
      </c>
      <c r="C181" s="24" t="n">
        <f aca="false">(B181/B180-1)/(A181-A180)*30</f>
        <v>0.000360423970903369</v>
      </c>
      <c r="D181" s="19" t="n">
        <f aca="false">B181/$B$3*100</f>
        <v>173.130536083717</v>
      </c>
      <c r="F181" s="17" t="n">
        <v>44135</v>
      </c>
      <c r="G181" s="4" t="n">
        <v>1069.3449</v>
      </c>
      <c r="H181" s="4" t="n">
        <f aca="false">+G181+$S$144+$S$146+$S$148+$S$150</f>
        <v>1122.95846514821</v>
      </c>
      <c r="I181" s="24" t="n">
        <f aca="false">+(H181/H180-1)/(F181-F180)*30</f>
        <v>0.00123616150091294</v>
      </c>
      <c r="J181" s="18" t="n">
        <f aca="false">+J180*(1+I181)</f>
        <v>174.576478808026</v>
      </c>
      <c r="K181" s="3" t="n">
        <v>4906.7963</v>
      </c>
      <c r="L181" s="24" t="n">
        <f aca="false">+(K181/K180-1)/(F181-F180)*30</f>
        <v>6.51477379625694E-005</v>
      </c>
      <c r="M181" s="19" t="n">
        <f aca="false">+M180*(1+L181)</f>
        <v>165.357880585018</v>
      </c>
      <c r="R181" s="17"/>
      <c r="S181" s="45"/>
    </row>
    <row r="182" customFormat="false" ht="14.25" hidden="false" customHeight="false" outlineLevel="0" collapsed="false">
      <c r="A182" s="17" t="n">
        <v>44165</v>
      </c>
      <c r="B182" s="19" t="n">
        <v>18969.48</v>
      </c>
      <c r="C182" s="24" t="n">
        <f aca="false">(B182/B181-1)/(A182-A181)*30</f>
        <v>0.00032958520252091</v>
      </c>
      <c r="D182" s="19" t="n">
        <f aca="false">B182/$B$3*100</f>
        <v>173.187597346514</v>
      </c>
      <c r="F182" s="17" t="n">
        <v>44165</v>
      </c>
      <c r="G182" s="4" t="n">
        <v>1070.5336</v>
      </c>
      <c r="H182" s="4" t="n">
        <f aca="false">+G182+$S$144+$S$146+$S$148+$S$150</f>
        <v>1124.14716514821</v>
      </c>
      <c r="I182" s="24" t="n">
        <f aca="false">+(H182/H181-1)/(F182-F181)*30</f>
        <v>0.00105854315799925</v>
      </c>
      <c r="J182" s="18" t="n">
        <f aca="false">+J181*(1+I182)</f>
        <v>174.761275545215</v>
      </c>
      <c r="K182" s="3" t="n">
        <v>4907.0953</v>
      </c>
      <c r="L182" s="24" t="n">
        <f aca="false">+(K182/K181-1)/(F182-F181)*30</f>
        <v>6.09358900838242E-005</v>
      </c>
      <c r="M182" s="19" t="n">
        <f aca="false">+M181*(1+L182)</f>
        <v>165.367956814654</v>
      </c>
      <c r="R182" s="17"/>
      <c r="S182" s="45"/>
    </row>
    <row r="183" customFormat="false" ht="14.25" hidden="false" customHeight="false" outlineLevel="0" collapsed="false">
      <c r="A183" s="17" t="n">
        <v>44196</v>
      </c>
      <c r="B183" s="3" t="n">
        <v>18976.88</v>
      </c>
      <c r="C183" s="24" t="n">
        <f aca="false">(B183/B182-1)/(A183-A182)*30</f>
        <v>0.000377516427576409</v>
      </c>
      <c r="D183" s="19" t="n">
        <f aca="false">B183/$B$3*100</f>
        <v>173.255157881667</v>
      </c>
      <c r="F183" s="17" t="n">
        <v>44196</v>
      </c>
      <c r="G183" s="4" t="n">
        <v>1069.5866</v>
      </c>
      <c r="H183" s="4" t="n">
        <f aca="false">+G183+$S$144+$S$146+$S$148+$S$150+$S$152</f>
        <v>1130.13377498003</v>
      </c>
      <c r="I183" s="24" t="n">
        <f aca="false">+(H183/H182-1)/(F183-F182)*30</f>
        <v>0.00515367877555816</v>
      </c>
      <c r="J183" s="18" t="n">
        <f aca="false">+J182*(1+I183)</f>
        <v>175.661939021782</v>
      </c>
      <c r="K183" s="3" t="n">
        <v>4907.3928</v>
      </c>
      <c r="L183" s="24" t="n">
        <f aca="false">+(K183/K182-1)/(F183-F182)*30</f>
        <v>5.86708038472924E-005</v>
      </c>
      <c r="M183" s="19" t="n">
        <f aca="false">+M182*(1+L183)</f>
        <v>165.377659085611</v>
      </c>
      <c r="R183" s="17"/>
      <c r="S183" s="45"/>
    </row>
    <row r="184" customFormat="false" ht="14.25" hidden="false" customHeight="false" outlineLevel="0" collapsed="false">
      <c r="A184" s="17" t="n">
        <v>44227</v>
      </c>
      <c r="B184" s="3" t="n">
        <v>18982.04</v>
      </c>
      <c r="C184" s="24" t="n">
        <f aca="false">(B184/B183-1)/(A184-A183)*30</f>
        <v>0.000263138534210829</v>
      </c>
      <c r="D184" s="19" t="n">
        <f aca="false">B184/$B$3*100</f>
        <v>173.302267660233</v>
      </c>
      <c r="F184" s="17" t="n">
        <v>44227</v>
      </c>
      <c r="G184" s="4" t="n">
        <v>1070.7028</v>
      </c>
      <c r="H184" s="4" t="n">
        <f aca="false">+G184+$S$144+$S$146+$S$148+$S$150+$S$152</f>
        <v>1131.24997498003</v>
      </c>
      <c r="I184" s="24" t="n">
        <f aca="false">+(H184/H183-1)/(F184-F183)*30</f>
        <v>0.000955810340599829</v>
      </c>
      <c r="J184" s="18" t="n">
        <f aca="false">+J183*(1+I184)</f>
        <v>175.829838519549</v>
      </c>
      <c r="K184" s="3" t="n">
        <v>4907.6472</v>
      </c>
      <c r="L184" s="24" t="n">
        <f aca="false">+(K184/K183-1)/(F184-F183)*30</f>
        <v>5.0167891265519E-005</v>
      </c>
      <c r="M184" s="19" t="n">
        <f aca="false">+M183*(1+L184)</f>
        <v>165.38595573403</v>
      </c>
      <c r="R184" s="17"/>
      <c r="S184" s="45"/>
    </row>
    <row r="185" customFormat="false" ht="14.25" hidden="false" customHeight="false" outlineLevel="0" collapsed="false">
      <c r="A185" s="17" t="n">
        <v>44255</v>
      </c>
      <c r="B185" s="3" t="n">
        <v>18986.58</v>
      </c>
      <c r="C185" s="24" t="n">
        <f aca="false">(B185/B184-1)/(A185-A184)*30</f>
        <v>0.000256257268148596</v>
      </c>
      <c r="D185" s="19" t="n">
        <f aca="false">B185/$B$3*100</f>
        <v>173.343716961529</v>
      </c>
      <c r="F185" s="17" t="n">
        <v>44255</v>
      </c>
      <c r="G185" s="4" t="n">
        <v>1071.9012</v>
      </c>
      <c r="H185" s="4" t="n">
        <f aca="false">+G185+$S$144+$S$146+$S$148+$S$150+$S$152</f>
        <v>1132.44837498003</v>
      </c>
      <c r="I185" s="24" t="n">
        <f aca="false">+(H185/H184-1)/(F185-F184)*30</f>
        <v>0.00113502764941296</v>
      </c>
      <c r="J185" s="18" t="n">
        <f aca="false">+J184*(1+I185)</f>
        <v>176.029410247861</v>
      </c>
      <c r="K185" s="3" t="n">
        <v>4907.9052</v>
      </c>
      <c r="L185" s="24" t="n">
        <f aca="false">+(K185/K184-1)/(F185-F184)*30</f>
        <v>5.63260886863156E-005</v>
      </c>
      <c r="M185" s="19" t="n">
        <f aca="false">+M184*(1+L185)</f>
        <v>165.39527127804</v>
      </c>
      <c r="R185" s="17"/>
      <c r="S185" s="45"/>
    </row>
    <row r="186" customFormat="false" ht="14.25" hidden="false" customHeight="false" outlineLevel="0" collapsed="false">
      <c r="A186" s="17" t="n">
        <v>44286</v>
      </c>
      <c r="B186" s="19" t="n">
        <v>18991.5</v>
      </c>
      <c r="C186" s="24" t="n">
        <f aca="false">(B186/B185-1)/(A186-A185)*30</f>
        <v>0.000250771351269013</v>
      </c>
      <c r="D186" s="19" t="n">
        <f aca="false">B186/$B$3*100</f>
        <v>173.388635587603</v>
      </c>
      <c r="F186" s="17" t="n">
        <v>44286</v>
      </c>
      <c r="G186" s="4" t="n">
        <v>1072.4609</v>
      </c>
      <c r="H186" s="4" t="n">
        <f aca="false">+G186+$S$144+$S$146+$S$148+$S$150+$S$152</f>
        <v>1133.00807498003</v>
      </c>
      <c r="I186" s="24" t="n">
        <f aca="false">+(H186/H185-1)/(F186-F185)*30</f>
        <v>0.000478295676215583</v>
      </c>
      <c r="J186" s="18" t="n">
        <f aca="false">+J185*(1+I186)</f>
        <v>176.113604353669</v>
      </c>
      <c r="K186" s="5" t="n">
        <v>4908.1704</v>
      </c>
      <c r="L186" s="24" t="n">
        <f aca="false">+(K186/K185-1)/(F186-F185)*30</f>
        <v>5.22922002018035E-005</v>
      </c>
      <c r="M186" s="19" t="n">
        <f aca="false">+M185*(1+L186)</f>
        <v>165.403920160678</v>
      </c>
      <c r="R186" s="17"/>
      <c r="S186" s="45"/>
    </row>
    <row r="187" customFormat="false" ht="14.25" hidden="false" customHeight="false" outlineLevel="0" collapsed="false">
      <c r="A187" s="17" t="n">
        <v>44316</v>
      </c>
      <c r="B187" s="3" t="n">
        <v>18997.09</v>
      </c>
      <c r="C187" s="24" t="n">
        <f aca="false">(B187/B186-1)/(A187-A186)*30</f>
        <v>0.000294342205723552</v>
      </c>
      <c r="D187" s="19" t="n">
        <f aca="false">B187/$B$3*100</f>
        <v>173.439671181049</v>
      </c>
      <c r="F187" s="17" t="n">
        <v>44316</v>
      </c>
      <c r="G187" s="4" t="n">
        <v>1072.7156</v>
      </c>
      <c r="H187" s="4" t="n">
        <f aca="false">+G187+$S$144+$S$146+$S$148+$S$150+$S$152</f>
        <v>1133.26277498003</v>
      </c>
      <c r="I187" s="24" t="n">
        <f aca="false">+(H187/H186-1)/(F187-F186)*30</f>
        <v>0.000224799810013998</v>
      </c>
      <c r="J187" s="18" t="n">
        <f aca="false">+J186*(1+I187)</f>
        <v>176.153194658468</v>
      </c>
      <c r="K187" s="3" t="n">
        <v>4908.4956</v>
      </c>
      <c r="L187" s="24" t="n">
        <f aca="false">+(K187/K186-1)/(F187-F186)*30</f>
        <v>6.6256868343384E-005</v>
      </c>
      <c r="M187" s="19" t="n">
        <f aca="false">+M186*(1+L187)</f>
        <v>165.41487930644</v>
      </c>
      <c r="R187" s="17"/>
      <c r="S187" s="45"/>
    </row>
    <row r="188" customFormat="false" ht="14.25" hidden="false" customHeight="false" outlineLevel="0" collapsed="false">
      <c r="A188" s="17" t="n">
        <v>44347</v>
      </c>
      <c r="B188" s="3" t="n">
        <v>19001.7</v>
      </c>
      <c r="C188" s="24" t="n">
        <f aca="false">(B188/B187-1)/(A188-A187)*30</f>
        <v>0.000234840721530632</v>
      </c>
      <c r="D188" s="19" t="n">
        <f aca="false">B188/$B$3*100</f>
        <v>173.481759568489</v>
      </c>
      <c r="F188" s="17" t="n">
        <v>44347</v>
      </c>
      <c r="G188" s="4" t="n">
        <v>1073.959</v>
      </c>
      <c r="H188" s="4" t="n">
        <f aca="false">+G188+$S$144+$S$146+$S$148+$S$150+$S$152</f>
        <v>1134.50617498003</v>
      </c>
      <c r="I188" s="24" t="n">
        <f aca="false">+(H188/H187-1)/(F188-F187)*30</f>
        <v>0.00106179285964988</v>
      </c>
      <c r="J188" s="18" t="n">
        <f aca="false">+J187*(1+I188)</f>
        <v>176.340232862761</v>
      </c>
      <c r="K188" s="18" t="n">
        <v>4908.7905</v>
      </c>
      <c r="L188" s="24" t="n">
        <f aca="false">+(K188/K187-1)/(F188-F187)*30</f>
        <v>5.81414592230296E-005</v>
      </c>
      <c r="M188" s="19" t="n">
        <f aca="false">+M187*(1+L188)</f>
        <v>165.4244967689</v>
      </c>
      <c r="R188" s="17"/>
      <c r="S188" s="45"/>
    </row>
    <row r="189" customFormat="false" ht="14.25" hidden="false" customHeight="false" outlineLevel="0" collapsed="false">
      <c r="A189" s="17" t="n">
        <v>44377</v>
      </c>
      <c r="B189" s="3" t="n">
        <v>19006.88</v>
      </c>
      <c r="C189" s="24" t="n">
        <f aca="false">(B189/B188-1)/(A189-A188)*30</f>
        <v>0.000272607187777885</v>
      </c>
      <c r="D189" s="19" t="n">
        <f aca="false">B189/$B$3*100</f>
        <v>173.529051943096</v>
      </c>
      <c r="F189" s="17" t="n">
        <v>44377</v>
      </c>
      <c r="G189" s="4" t="n">
        <v>1075.3974</v>
      </c>
      <c r="H189" s="4" t="n">
        <f aca="false">+G189+$S$144+$S$146+$S$148+$S$150+$S$152</f>
        <v>1135.94457498003</v>
      </c>
      <c r="I189" s="24" t="n">
        <f aca="false">+(H189/H188-1)/(F189-F188)*30</f>
        <v>0.00126786440807636</v>
      </c>
      <c r="J189" s="18" t="n">
        <f aca="false">+J188*(1+I189)</f>
        <v>176.56380836772</v>
      </c>
      <c r="K189" s="3" t="n">
        <v>4909.0847</v>
      </c>
      <c r="L189" s="24" t="n">
        <f aca="false">+(K189/K188-1)/(F189-F188)*30</f>
        <v>5.99332972144318E-005</v>
      </c>
      <c r="M189" s="19" t="n">
        <f aca="false">+M188*(1+L189)</f>
        <v>165.434411204431</v>
      </c>
      <c r="R189" s="17"/>
      <c r="S189" s="45"/>
    </row>
    <row r="190" customFormat="false" ht="14.25" hidden="false" customHeight="false" outlineLevel="0" collapsed="false">
      <c r="A190" s="17" t="n">
        <v>44408</v>
      </c>
      <c r="B190" s="3" t="n">
        <v>19016.42</v>
      </c>
      <c r="C190" s="24" t="n">
        <f aca="false">(B190/B189-1)/(A190-A189)*30</f>
        <v>0.000485732432914423</v>
      </c>
      <c r="D190" s="19" t="n">
        <f aca="false">B190/$B$3*100</f>
        <v>173.61615025463</v>
      </c>
      <c r="F190" s="17" t="n">
        <v>44408</v>
      </c>
      <c r="G190" s="4" t="n">
        <v>1076.8919</v>
      </c>
      <c r="H190" s="4" t="n">
        <f aca="false">+G190+$S$144+$S$146+$S$148+$S$150+$S$152</f>
        <v>1137.43907498003</v>
      </c>
      <c r="I190" s="24" t="n">
        <f aca="false">+(H190/H189-1)/(F190-F189)*30</f>
        <v>0.00127320500879731</v>
      </c>
      <c r="J190" s="18" t="n">
        <f aca="false">+J189*(1+I190)</f>
        <v>176.788610292906</v>
      </c>
      <c r="K190" s="18" t="n">
        <v>4909.3885</v>
      </c>
      <c r="L190" s="24" t="n">
        <f aca="false">+(K190/K189-1)/(F190-F189)*30</f>
        <v>5.98889646373815E-005</v>
      </c>
      <c r="M190" s="19" t="n">
        <f aca="false">+M189*(1+L190)</f>
        <v>165.444318900034</v>
      </c>
      <c r="R190" s="17"/>
      <c r="S190" s="45"/>
    </row>
    <row r="191" customFormat="false" ht="14.25" hidden="false" customHeight="false" outlineLevel="0" collapsed="false">
      <c r="A191" s="17" t="n">
        <v>44439</v>
      </c>
      <c r="B191" s="3" t="n">
        <v>19028.38</v>
      </c>
      <c r="C191" s="24" t="n">
        <f aca="false">(B191/B190-1)/(A191-A190)*30</f>
        <v>0.0006086420865963</v>
      </c>
      <c r="D191" s="19" t="n">
        <f aca="false">B191/$B$3*100</f>
        <v>173.72534268712</v>
      </c>
      <c r="F191" s="17" t="n">
        <v>44439</v>
      </c>
      <c r="G191" s="4" t="n">
        <v>1078.1745</v>
      </c>
      <c r="H191" s="4" t="n">
        <f aca="false">+G191+$S$144+$S$146+$S$148+$S$150+$S$152</f>
        <v>1138.72167498003</v>
      </c>
      <c r="I191" s="24" t="n">
        <f aca="false">+(H191/H190-1)/(F191-F190)*30</f>
        <v>0.00109124596978821</v>
      </c>
      <c r="J191" s="18" t="n">
        <f aca="false">+J190*(1+I191)</f>
        <v>176.981530151393</v>
      </c>
      <c r="K191" s="18" t="n">
        <v>4909.6931</v>
      </c>
      <c r="L191" s="24" t="n">
        <f aca="false">+(K191/K190-1)/(F191-F190)*30</f>
        <v>6.00429551559976E-005</v>
      </c>
      <c r="M191" s="19" t="n">
        <f aca="false">+M190*(1+L191)</f>
        <v>165.454252665854</v>
      </c>
      <c r="R191" s="17"/>
      <c r="S191" s="45"/>
    </row>
    <row r="192" customFormat="false" ht="14.25" hidden="false" customHeight="false" outlineLevel="0" collapsed="false">
      <c r="A192" s="17" t="n">
        <v>44469</v>
      </c>
      <c r="B192" s="3" t="n">
        <v>19052.12</v>
      </c>
      <c r="C192" s="24" t="n">
        <f aca="false">(B192/B191-1)/(A192-A191)*30</f>
        <v>0.00124761014863051</v>
      </c>
      <c r="D192" s="19" t="n">
        <f aca="false">B192/$B$3*100</f>
        <v>173.942084187731</v>
      </c>
      <c r="F192" s="17" t="n">
        <v>44469</v>
      </c>
      <c r="G192" s="4" t="n">
        <v>1079.2102</v>
      </c>
      <c r="H192" s="4" t="n">
        <f aca="false">+G192+$S$144+$S$146+$S$148+$S$150+$S$152</f>
        <v>1139.75737498003</v>
      </c>
      <c r="I192" s="24" t="n">
        <f aca="false">+(H192/H191-1)/(F192-F191)*30</f>
        <v>0.000909528660739678</v>
      </c>
      <c r="J192" s="18" t="n">
        <f aca="false">+J191*(1+I192)</f>
        <v>177.142499925487</v>
      </c>
      <c r="K192" s="18" t="n">
        <v>4909.1149</v>
      </c>
      <c r="L192" s="24" t="n">
        <f aca="false">+(K192/K191-1)/(F192-F191)*30</f>
        <v>-0.000117767035173966</v>
      </c>
      <c r="M192" s="19" t="n">
        <f aca="false">+M191*(1+L192)</f>
        <v>165.434767609061</v>
      </c>
      <c r="R192" s="17"/>
      <c r="S192" s="45"/>
    </row>
    <row r="193" customFormat="false" ht="14.25" hidden="false" customHeight="false" outlineLevel="0" collapsed="false">
      <c r="A193" s="17" t="n">
        <v>44500</v>
      </c>
      <c r="B193" s="3" t="n">
        <v>19091.59</v>
      </c>
      <c r="C193" s="24" t="n">
        <f aca="false">(B193/B192-1)/(A193-A192)*30</f>
        <v>0.00200485689747645</v>
      </c>
      <c r="D193" s="19" t="n">
        <f aca="false">B193/$B$3*100</f>
        <v>174.302437474551</v>
      </c>
      <c r="F193" s="17" t="n">
        <v>44500</v>
      </c>
      <c r="G193" s="4" t="n">
        <v>1080.1402</v>
      </c>
      <c r="H193" s="4" t="n">
        <f aca="false">+G193+$S$144+$S$146+$S$148+$S$150+$S$152</f>
        <v>1140.68737498003</v>
      </c>
      <c r="I193" s="24" t="n">
        <f aca="false">+(H193/H192-1)/(F193-F192)*30</f>
        <v>0.00078964174284528</v>
      </c>
      <c r="J193" s="18" t="n">
        <f aca="false">+J192*(1+I193)</f>
        <v>177.28237903786</v>
      </c>
      <c r="K193" s="18" t="n">
        <v>4914.1336</v>
      </c>
      <c r="L193" s="24" t="n">
        <f aca="false">+(K193/K192-1)/(F193-F192)*30</f>
        <v>0.00098934462740187</v>
      </c>
      <c r="M193" s="19" t="n">
        <f aca="false">+M192*(1+L193)</f>
        <v>165.59843960758</v>
      </c>
      <c r="R193" s="17"/>
      <c r="S193" s="45"/>
    </row>
    <row r="194" customFormat="false" ht="14.25" hidden="false" customHeight="false" outlineLevel="0" collapsed="false">
      <c r="A194" s="17" t="n">
        <v>44530</v>
      </c>
      <c r="B194" s="3" t="n">
        <v>19132.47</v>
      </c>
      <c r="C194" s="24" t="n">
        <f aca="false">(B194/B193-1)/(A194-A193)*30</f>
        <v>0.00214125696183509</v>
      </c>
      <c r="D194" s="3" t="n">
        <f aca="false">B194/$B$3*100</f>
        <v>174.675663782258</v>
      </c>
      <c r="F194" s="17" t="n">
        <v>44530</v>
      </c>
      <c r="G194" s="4" t="n">
        <v>1080.6449</v>
      </c>
      <c r="H194" s="4" t="n">
        <f aca="false">+G194+$S$144+$S$146+$S$148+$S$150+$S$152</f>
        <v>1141.19207498003</v>
      </c>
      <c r="I194" s="24" t="n">
        <f aca="false">+(H194/H193-1)/(F194-F193)*30</f>
        <v>0.000442452516850933</v>
      </c>
      <c r="J194" s="18" t="n">
        <f aca="false">+J193*(1+I194)</f>
        <v>177.360818072659</v>
      </c>
      <c r="K194" s="18" t="n">
        <v>4920.3216</v>
      </c>
      <c r="L194" s="24" t="n">
        <f aca="false">+(K194/K193-1)/(F194-F193)*30</f>
        <v>0.00125922502391873</v>
      </c>
      <c r="M194" s="19" t="n">
        <f aca="false">+M193*(1+L194)</f>
        <v>165.806965306656</v>
      </c>
      <c r="R194" s="17"/>
      <c r="S194" s="45"/>
    </row>
    <row r="195" customFormat="false" ht="14.25" hidden="false" customHeight="false" outlineLevel="0" collapsed="false">
      <c r="A195" s="17" t="n">
        <v>44561</v>
      </c>
      <c r="B195" s="3" t="n">
        <v>19193.41</v>
      </c>
      <c r="C195" s="24" t="n">
        <f aca="false">(B195/B194-1)/(A195-A194)*30</f>
        <v>0.00308241400866619</v>
      </c>
      <c r="D195" s="3" t="n">
        <f aca="false">B195/$B$3*100</f>
        <v>175.232033919041</v>
      </c>
      <c r="F195" s="17" t="n">
        <v>44561</v>
      </c>
      <c r="G195" s="4" t="n">
        <f aca="false">1072.9635</f>
        <v>1072.9635</v>
      </c>
      <c r="H195" s="4" t="n">
        <f aca="false">+G195+$S$144+$S$146+$S$148+$S$150+$S$152+$S$154</f>
        <v>1143.08869129383</v>
      </c>
      <c r="I195" s="24" t="n">
        <f aca="false">+(H195/H194-1)/(F195-F194)*30</f>
        <v>0.00160834900857842</v>
      </c>
      <c r="J195" s="18" t="n">
        <f aca="false">+J194*(1+I195)</f>
        <v>177.646076168567</v>
      </c>
      <c r="K195" s="3" t="n">
        <v>4929.2918</v>
      </c>
      <c r="L195" s="24" t="n">
        <f aca="false">+(K195/K194-1)/(F195-F194)*30</f>
        <v>0.00176428278787249</v>
      </c>
      <c r="M195" s="19" t="n">
        <f aca="false">+M194*(1+L195)</f>
        <v>166.099495681656</v>
      </c>
      <c r="R195" s="17"/>
      <c r="S195" s="45"/>
    </row>
    <row r="196" customFormat="false" ht="14.25" hidden="false" customHeight="false" outlineLevel="0" collapsed="false">
      <c r="A196" s="17" t="n">
        <v>44592</v>
      </c>
      <c r="B196" s="3" t="n">
        <v>19259.35</v>
      </c>
      <c r="C196" s="24" t="n">
        <f aca="false">(B196/B195-1)/(A196-A195)*30</f>
        <v>0.00332472985393446</v>
      </c>
      <c r="D196" s="3" t="n">
        <f aca="false">B196/$B$3*100</f>
        <v>175.834053066061</v>
      </c>
      <c r="F196" s="17" t="n">
        <v>44592</v>
      </c>
      <c r="G196" s="4" t="n">
        <v>1075.6985</v>
      </c>
      <c r="H196" s="4" t="n">
        <f aca="false">+G196+$S$144+$S$146+$S$148+$S$150+$S$152+$S$154</f>
        <v>1145.82369129383</v>
      </c>
      <c r="I196" s="24" t="n">
        <f aca="false">+(H196/H195-1)/(F196-F195)*30</f>
        <v>0.00231545829619967</v>
      </c>
      <c r="J196" s="18" t="n">
        <f aca="false">+J195*(1+I196)</f>
        <v>178.057408249418</v>
      </c>
      <c r="K196" s="3" t="n">
        <v>4941.9683</v>
      </c>
      <c r="L196" s="24" t="n">
        <f aca="false">+(K196/K195-1)/(F196-F195)*30</f>
        <v>0.00248871057809198</v>
      </c>
      <c r="M196" s="19" t="n">
        <f aca="false">+M195*(1+L196)</f>
        <v>166.512869253575</v>
      </c>
      <c r="R196" s="17"/>
      <c r="S196" s="45"/>
    </row>
    <row r="197" customFormat="false" ht="14.25" hidden="false" customHeight="false" outlineLevel="0" collapsed="false">
      <c r="A197" s="17" t="n">
        <v>44620</v>
      </c>
      <c r="B197" s="19" t="n">
        <v>19341.9</v>
      </c>
      <c r="C197" s="24" t="n">
        <f aca="false">(B197/B196-1)/(A197-A196)*30</f>
        <v>0.00459238907706803</v>
      </c>
      <c r="D197" s="3" t="n">
        <f aca="false">B197/$B$3*100</f>
        <v>176.587718225093</v>
      </c>
      <c r="F197" s="17" t="n">
        <v>44620</v>
      </c>
      <c r="G197" s="4" t="n">
        <v>1079.5694</v>
      </c>
      <c r="H197" s="4" t="n">
        <f aca="false">+G197+$S$144+$S$146+$S$148+$S$150+$S$152+$S$154</f>
        <v>1149.69459129383</v>
      </c>
      <c r="I197" s="24" t="n">
        <f aca="false">+(H197/H196-1)/(F197-F196)*30</f>
        <v>0.00361957331538495</v>
      </c>
      <c r="J197" s="18" t="n">
        <f aca="false">+J196*(1+I197)</f>
        <v>178.701900092925</v>
      </c>
      <c r="K197" s="3" t="n">
        <v>4958.2785</v>
      </c>
      <c r="L197" s="24" t="n">
        <f aca="false">+(K197/K196-1)/(F197-F196)*30</f>
        <v>0.00353608384855779</v>
      </c>
      <c r="M197" s="19" t="n">
        <f aca="false">+M196*(1+L197)</f>
        <v>167.101672721119</v>
      </c>
      <c r="R197" s="17"/>
      <c r="S197" s="45"/>
    </row>
    <row r="198" customFormat="false" ht="14.25" hidden="false" customHeight="false" outlineLevel="0" collapsed="false">
      <c r="A198" s="17" t="n">
        <v>44651</v>
      </c>
      <c r="B198" s="3" t="n">
        <v>19435.35</v>
      </c>
      <c r="C198" s="24" t="n">
        <f aca="false">(B198/B197-1)/(A198-A197)*30</f>
        <v>0.00467562565575065</v>
      </c>
      <c r="D198" s="3" t="n">
        <f aca="false">B198/$B$3*100</f>
        <v>177.440898226445</v>
      </c>
      <c r="F198" s="17" t="n">
        <v>44651</v>
      </c>
      <c r="G198" s="4" t="n">
        <v>1083.851</v>
      </c>
      <c r="H198" s="4" t="n">
        <f aca="false">+G198+$S$144+$S$146+$S$148+$S$150+$S$152+$S$154</f>
        <v>1153.97619129383</v>
      </c>
      <c r="I198" s="24" t="n">
        <f aca="false">+(H198/H197-1)/(F198-F197)*30</f>
        <v>0.00360398657377771</v>
      </c>
      <c r="J198" s="18" t="n">
        <f aca="false">+J197*(1+I198)</f>
        <v>179.345939341568</v>
      </c>
      <c r="K198" s="18" t="n">
        <v>4977.0833</v>
      </c>
      <c r="L198" s="24" t="n">
        <f aca="false">+(K198/K197-1)/(F198-F197)*30</f>
        <v>0.00367026449772572</v>
      </c>
      <c r="M198" s="19" t="n">
        <f aca="false">+M197*(1+L198)</f>
        <v>167.714980058018</v>
      </c>
      <c r="R198" s="17"/>
      <c r="S198" s="45"/>
    </row>
    <row r="199" customFormat="false" ht="14.25" hidden="false" customHeight="false" outlineLevel="0" collapsed="false">
      <c r="A199" s="17" t="n">
        <v>44681</v>
      </c>
      <c r="B199" s="3" t="n">
        <v>19541.32</v>
      </c>
      <c r="C199" s="24" t="n">
        <f aca="false">(B199/B198-1)/(A199-A198)*30</f>
        <v>0.00545243589644651</v>
      </c>
      <c r="D199" s="3" t="n">
        <f aca="false">B199/$B$3*100</f>
        <v>178.408383349432</v>
      </c>
      <c r="F199" s="17" t="n">
        <v>44681</v>
      </c>
      <c r="G199" s="4" t="n">
        <v>1090.1394</v>
      </c>
      <c r="H199" s="4" t="n">
        <f aca="false">+G199+$S$144+$S$146+$S$148+$S$150+$S$152+$S$154</f>
        <v>1160.26459129383</v>
      </c>
      <c r="I199" s="24" t="n">
        <f aca="false">+(H199/H198-1)/(F199-F198)*30</f>
        <v>0.00544933253167845</v>
      </c>
      <c r="J199" s="18" t="n">
        <f aca="false">+J198*(1+I199)</f>
        <v>180.323255003247</v>
      </c>
      <c r="K199" s="3" t="n">
        <v>4999.8366</v>
      </c>
      <c r="L199" s="24" t="n">
        <f aca="false">+(K199/K198-1)/(F199-F198)*30</f>
        <v>0.00457161325790945</v>
      </c>
      <c r="M199" s="19" t="n">
        <f aca="false">+M198*(1+L199)</f>
        <v>168.481708084401</v>
      </c>
      <c r="R199" s="17"/>
      <c r="S199" s="45"/>
    </row>
    <row r="200" customFormat="false" ht="14.25" hidden="false" customHeight="false" outlineLevel="0" collapsed="false">
      <c r="A200" s="17" t="n">
        <v>44712</v>
      </c>
      <c r="B200" s="3" t="n">
        <v>19680.32</v>
      </c>
      <c r="C200" s="24" t="n">
        <f aca="false">(B200/B199-1)/(A200-A199)*30</f>
        <v>0.00688367669288764</v>
      </c>
      <c r="D200" s="3" t="n">
        <f aca="false">B200/$B$3*100</f>
        <v>179.677425834053</v>
      </c>
      <c r="F200" s="17" t="n">
        <v>44712</v>
      </c>
      <c r="G200" s="4" t="n">
        <v>1098.6365</v>
      </c>
      <c r="H200" s="4" t="n">
        <f aca="false">+G200+$S$144+$S$146+$S$148+$S$150+$S$152+$S$154</f>
        <v>1168.76169129383</v>
      </c>
      <c r="I200" s="24" t="n">
        <f aca="false">+(H200/H199-1)/(F200-F199)*30</f>
        <v>0.00708717654723077</v>
      </c>
      <c r="J200" s="18" t="n">
        <f aca="false">+J199*(1+I200)</f>
        <v>181.601237747026</v>
      </c>
      <c r="K200" s="3" t="n">
        <v>5027.3885</v>
      </c>
      <c r="L200" s="24" t="n">
        <f aca="false">+(K200/K199-1)/(F200-F199)*30</f>
        <v>0.00533280008235847</v>
      </c>
      <c r="M200" s="19" t="n">
        <f aca="false">+M199*(1+L200)</f>
        <v>169.38018735115</v>
      </c>
      <c r="R200" s="17"/>
      <c r="S200" s="45"/>
    </row>
    <row r="201" customFormat="false" ht="14.25" hidden="false" customHeight="false" outlineLevel="0" collapsed="false">
      <c r="A201" s="17" t="n">
        <v>44742</v>
      </c>
      <c r="B201" s="3" t="n">
        <v>19825.16</v>
      </c>
      <c r="C201" s="24" t="n">
        <f aca="false">(B201/B200-1)/(A201-A200)*30</f>
        <v>0.00735963642867587</v>
      </c>
      <c r="D201" s="3" t="n">
        <f aca="false">B201/$B$3*100</f>
        <v>180.999786362632</v>
      </c>
      <c r="F201" s="17" t="n">
        <v>44742</v>
      </c>
      <c r="G201" s="4" t="n">
        <v>1106.6501</v>
      </c>
      <c r="H201" s="4" t="n">
        <f aca="false">+G201+$S$144+$S$146+$S$148+$S$150+$S$152+$S$154</f>
        <v>1176.77529129383</v>
      </c>
      <c r="I201" s="24" t="n">
        <f aca="false">+(H201/H200-1)/(F201-F200)*30</f>
        <v>0.00685648756260049</v>
      </c>
      <c r="J201" s="18" t="n">
        <f aca="false">+J200*(1+I201)</f>
        <v>182.846384374991</v>
      </c>
      <c r="K201" s="18" t="n">
        <v>5056.9676</v>
      </c>
      <c r="L201" s="24" t="n">
        <f aca="false">+(K201/K200-1)/(F201-F200)*30</f>
        <v>0.00588359145110817</v>
      </c>
      <c r="M201" s="19" t="n">
        <f aca="false">+M200*(1+L201)</f>
        <v>170.376751173436</v>
      </c>
      <c r="R201" s="17"/>
      <c r="S201" s="45"/>
    </row>
    <row r="202" customFormat="false" ht="14.25" hidden="false" customHeight="false" outlineLevel="0" collapsed="false">
      <c r="A202" s="17" t="n">
        <v>44773</v>
      </c>
      <c r="B202" s="3" t="n">
        <v>19975.62</v>
      </c>
      <c r="C202" s="24" t="n">
        <f aca="false">(B202/B201-1)/(A202-A201)*30</f>
        <v>0.00734452844834052</v>
      </c>
      <c r="D202" s="3" t="n">
        <f aca="false">B202/$B$3*100</f>
        <v>182.373456378719</v>
      </c>
      <c r="F202" s="17" t="n">
        <v>44773</v>
      </c>
      <c r="G202" s="4" t="n">
        <v>1114.7497</v>
      </c>
      <c r="H202" s="4" t="n">
        <f aca="false">+G202+$S$144+$S$146+$S$148+$S$150+$S$152+$S$154</f>
        <v>1184.87489129383</v>
      </c>
      <c r="I202" s="24" t="n">
        <f aca="false">+(H202/H201-1)/(F202-F201)*30</f>
        <v>0.00666084904963216</v>
      </c>
      <c r="J202" s="18" t="n">
        <f aca="false">+J201*(1+I202)</f>
        <v>184.064296540584</v>
      </c>
      <c r="K202" s="18" t="n">
        <v>5089.8979</v>
      </c>
      <c r="L202" s="24" t="n">
        <f aca="false">+(K202/K201-1)/(F202-F201)*30</f>
        <v>0.00630180669104238</v>
      </c>
      <c r="M202" s="19" t="n">
        <f aca="false">+M201*(1+L202)</f>
        <v>171.450432523979</v>
      </c>
      <c r="R202" s="17"/>
      <c r="S202" s="45"/>
    </row>
    <row r="203" customFormat="false" ht="14.25" hidden="false" customHeight="false" outlineLevel="0" collapsed="false">
      <c r="A203" s="17" t="n">
        <v>44804</v>
      </c>
      <c r="B203" s="3" t="n">
        <v>20154.92</v>
      </c>
      <c r="C203" s="24" t="n">
        <f aca="false">(B203/B202-1)/(A203-A202)*30</f>
        <v>0.00868639516732178</v>
      </c>
      <c r="D203" s="3" t="n">
        <f aca="false">B203/$B$3*100</f>
        <v>184.010429885859</v>
      </c>
      <c r="F203" s="17" t="n">
        <v>44804</v>
      </c>
      <c r="G203" s="4" t="n">
        <v>1123.8427</v>
      </c>
      <c r="H203" s="4" t="n">
        <f aca="false">+G203+$S$144+$S$146+$S$148+$S$150+$S$152+$S$154</f>
        <v>1193.96789129383</v>
      </c>
      <c r="I203" s="24" t="n">
        <f aca="false">+(H203/H202-1)/(F203-F202)*30</f>
        <v>0.00742667220312669</v>
      </c>
      <c r="J203" s="18" t="n">
        <f aca="false">+J202*(1+I203)</f>
        <v>185.43128173529</v>
      </c>
      <c r="K203" s="18" t="n">
        <v>5125.6822</v>
      </c>
      <c r="L203" s="24" t="n">
        <f aca="false">+(K203/K202-1)/(F203-F202)*30</f>
        <v>0.00680366648257052</v>
      </c>
      <c r="M203" s="19" t="n">
        <f aca="false">+M202*(1+L203)</f>
        <v>172.616924085164</v>
      </c>
      <c r="R203" s="17"/>
      <c r="S203" s="45"/>
    </row>
    <row r="204" customFormat="false" ht="14.25" hidden="false" customHeight="false" outlineLevel="0" collapsed="false">
      <c r="A204" s="17" t="n">
        <v>44834</v>
      </c>
      <c r="B204" s="3" t="n">
        <v>20332.28</v>
      </c>
      <c r="C204" s="24" t="n">
        <f aca="false">(B204/B203-1)/(A204-A203)*30</f>
        <v>0.00879983646672877</v>
      </c>
      <c r="D204" s="3" t="n">
        <f aca="false">B204/$B$3*100</f>
        <v>185.629691577027</v>
      </c>
      <c r="F204" s="17" t="n">
        <v>44834</v>
      </c>
      <c r="G204" s="4" t="n">
        <v>1133.4185</v>
      </c>
      <c r="H204" s="4" t="n">
        <f aca="false">+G204+$S$144+$S$146+$S$148+$S$150+$S$152+$S$154</f>
        <v>1203.54369129383</v>
      </c>
      <c r="I204" s="24" t="n">
        <f aca="false">+(H204/H203-1)/(F204-F203)*30</f>
        <v>0.00802014867386713</v>
      </c>
      <c r="J204" s="18" t="n">
        <f aca="false">+J203*(1+I204)</f>
        <v>186.918468183593</v>
      </c>
      <c r="K204" s="18" t="n">
        <v>5163.2829</v>
      </c>
      <c r="L204" s="24" t="n">
        <f aca="false">+(K204/K203-1)/(F204-F203)*30</f>
        <v>0.00733574547403659</v>
      </c>
      <c r="M204" s="19" t="n">
        <f aca="false">+M203*(1+L204)</f>
        <v>173.883197904764</v>
      </c>
      <c r="R204" s="17"/>
      <c r="S204" s="45"/>
    </row>
    <row r="205" customFormat="false" ht="14.25" hidden="false" customHeight="false" outlineLevel="0" collapsed="false">
      <c r="A205" s="17" t="n">
        <v>44862</v>
      </c>
      <c r="B205" s="3" t="n">
        <v>20507.2</v>
      </c>
      <c r="C205" s="24" t="n">
        <f aca="false">(B205/B204-1)/(A205-A204)*30</f>
        <v>0.00921757351926535</v>
      </c>
      <c r="D205" s="3" t="n">
        <f aca="false">B205/$B$3*100</f>
        <v>187.226676551199</v>
      </c>
      <c r="F205" s="17" t="n">
        <v>44862</v>
      </c>
      <c r="G205" s="4" t="n">
        <v>1143.0035</v>
      </c>
      <c r="H205" s="4" t="n">
        <f aca="false">+G205+$S$144+$S$146+$S$148+$S$150+$S$152+$S$154</f>
        <v>1213.12869129383</v>
      </c>
      <c r="I205" s="24" t="n">
        <f aca="false">+(H205/H204-1)/(F205-F204)*30</f>
        <v>0.00853283759570286</v>
      </c>
      <c r="J205" s="18" t="n">
        <f aca="false">+J204*(1+I205)</f>
        <v>188.513413116241</v>
      </c>
      <c r="K205" s="18" t="n">
        <v>5200.6767</v>
      </c>
      <c r="L205" s="24" t="n">
        <f aca="false">+(K205/K204-1)/(F205-F204)*30</f>
        <v>0.00775955656318685</v>
      </c>
      <c r="M205" s="19" t="n">
        <f aca="false">+M204*(1+L205)</f>
        <v>175.232454414294</v>
      </c>
    </row>
    <row r="206" customFormat="false" ht="14.25" hidden="false" customHeight="false" outlineLevel="0" collapsed="false">
      <c r="A206" s="17" t="n">
        <v>44895</v>
      </c>
      <c r="B206" s="3" t="n">
        <v>20719.68</v>
      </c>
      <c r="C206" s="24" t="n">
        <f aca="false">(B206/B205-1)/(A206-A205)*30</f>
        <v>0.00941930816316388</v>
      </c>
      <c r="D206" s="3" t="n">
        <f aca="false">B206/$B$3*100</f>
        <v>189.16657689028</v>
      </c>
      <c r="F206" s="17" t="n">
        <v>44895</v>
      </c>
      <c r="G206" s="4" t="n">
        <v>1155.0345</v>
      </c>
      <c r="H206" s="4" t="n">
        <f aca="false">+G206+$S$144+$S$146+$S$148+$S$150+$S$152+$S$154</f>
        <v>1225.15969129383</v>
      </c>
      <c r="I206" s="24" t="n">
        <f aca="false">+(H206/H205-1)/(F206-F205)*30</f>
        <v>0.00901575637091549</v>
      </c>
      <c r="J206" s="18" t="n">
        <f aca="false">+J205*(1+I206)</f>
        <v>190.213004121547</v>
      </c>
      <c r="K206" s="18" t="n">
        <v>5246.14</v>
      </c>
      <c r="L206" s="24" t="n">
        <f aca="false">+(K206/K205-1)/(F206-F205)*30</f>
        <v>0.00794709517845488</v>
      </c>
      <c r="M206" s="19" t="n">
        <f aca="false">+M205*(1+L206)</f>
        <v>176.625043407879</v>
      </c>
    </row>
    <row r="207" customFormat="false" ht="14.25" hidden="false" customHeight="false" outlineLevel="0" collapsed="false">
      <c r="A207" s="17" t="n">
        <v>44925</v>
      </c>
      <c r="B207" s="3" t="n">
        <v>20914.79</v>
      </c>
      <c r="C207" s="24" t="n">
        <f aca="false">(B207/B206-1)/(A207-A206)*30</f>
        <v>0.00941665122241275</v>
      </c>
      <c r="D207" s="3" t="n">
        <f aca="false">B207/$B$3*100</f>
        <v>190.947892567793</v>
      </c>
      <c r="F207" s="17" t="n">
        <v>44925</v>
      </c>
      <c r="G207" s="4" t="n">
        <v>1166.7901</v>
      </c>
      <c r="H207" s="4" t="n">
        <f aca="false">+G207+$S$144+$S$146+$S$148+$S$150+$S$152+$S$154</f>
        <v>1236.91529129383</v>
      </c>
      <c r="I207" s="24" t="n">
        <f aca="false">+(H207/H206-1)/(F207-F206)*30</f>
        <v>0.00959515733625338</v>
      </c>
      <c r="J207" s="18" t="n">
        <f aca="false">+J206*(1+I207)</f>
        <v>192.038127823494</v>
      </c>
      <c r="K207" s="18" t="n">
        <v>5287.7323</v>
      </c>
      <c r="L207" s="24" t="n">
        <f aca="false">+(K207/K206-1)/(F207-F206)*30</f>
        <v>0.00792817195118678</v>
      </c>
      <c r="M207" s="19" t="n">
        <f aca="false">+M206*(1+L207)</f>
        <v>178.025357122902</v>
      </c>
    </row>
    <row r="208" customFormat="false" ht="14.25" hidden="false" customHeight="false" outlineLevel="0" collapsed="false">
      <c r="A208" s="17" t="n">
        <v>44957</v>
      </c>
      <c r="B208" s="3" t="n">
        <v>21124.92</v>
      </c>
      <c r="C208" s="24" t="n">
        <f aca="false">(B208/B207-1)/(A208-A207)*30</f>
        <v>0.0094190223760314</v>
      </c>
      <c r="D208" s="3" t="n">
        <f aca="false">B208/$B$3*100</f>
        <v>192.866337872062</v>
      </c>
      <c r="F208" s="17" t="n">
        <v>44957</v>
      </c>
      <c r="G208" s="4" t="n">
        <v>1152.6942</v>
      </c>
      <c r="H208" s="4" t="n">
        <f aca="false">+G208+$S$144+$S$146+$S$148+$S$150+$S$152+$S$154+$S$156</f>
        <v>1251.0561664673</v>
      </c>
      <c r="I208" s="24" t="n">
        <f aca="false">+(H208/H207-1)/(F208-F207)*30</f>
        <v>0.0107178483186667</v>
      </c>
      <c r="J208" s="18" t="n">
        <f aca="false">+J207*(1+I208)</f>
        <v>194.096363348907</v>
      </c>
      <c r="K208" s="18" t="n">
        <v>5332.3677</v>
      </c>
      <c r="L208" s="24" t="n">
        <f aca="false">+(K208/K207-1)/(F208-F207)*30</f>
        <v>0.00791373033388998</v>
      </c>
      <c r="M208" s="19" t="n">
        <f aca="false">+M207*(1+L208)</f>
        <v>179.434201791767</v>
      </c>
    </row>
    <row r="209" customFormat="false" ht="14.25" hidden="false" customHeight="false" outlineLevel="0" collapsed="false">
      <c r="A209" s="17" t="n">
        <v>44985</v>
      </c>
      <c r="B209" s="3" t="n">
        <v>21310.51</v>
      </c>
      <c r="C209" s="24" t="n">
        <f aca="false">(B209/B208-1)/(A209-A208)*30</f>
        <v>0.00941288433619768</v>
      </c>
      <c r="D209" s="3" t="n">
        <f aca="false">B209/$B$3*100</f>
        <v>194.560737834082</v>
      </c>
      <c r="F209" s="17" t="n">
        <v>44985</v>
      </c>
      <c r="G209" s="4" t="n">
        <v>1163.5821</v>
      </c>
      <c r="H209" s="4" t="n">
        <f aca="false">+G209+$S$144+$S$146+$S$148+$S$150+$S$152+$S$154+$S$156</f>
        <v>1261.9440664673</v>
      </c>
      <c r="I209" s="24" t="n">
        <f aca="false">+(H209/H208-1)/(F209-F208)*30</f>
        <v>0.00932460704446089</v>
      </c>
      <c r="J209" s="18" t="n">
        <f aca="false">+J208*(1+I209)</f>
        <v>195.906235665895</v>
      </c>
      <c r="K209" s="18" t="n">
        <v>5371.762</v>
      </c>
      <c r="L209" s="24" t="n">
        <f aca="false">+(K209/K208-1)/(F209-F208)*30</f>
        <v>0.00791546662684725</v>
      </c>
      <c r="M209" s="19" t="n">
        <f aca="false">+M208*(1+L209)</f>
        <v>180.854507227765</v>
      </c>
    </row>
    <row r="210" customFormat="false" ht="14.25" hidden="false" customHeight="false" outlineLevel="0" collapsed="false">
      <c r="A210" s="17" t="n">
        <v>45016</v>
      </c>
      <c r="B210" s="3" t="n">
        <v>21517.9</v>
      </c>
      <c r="C210" s="24" t="n">
        <f aca="false">(B210/B209-1)/(A210-A209)*30</f>
        <v>0.00941788816879581</v>
      </c>
      <c r="D210" s="3" t="n">
        <f aca="false">B210/$B$3*100</f>
        <v>196.454167480741</v>
      </c>
      <c r="F210" s="17" t="n">
        <v>45016</v>
      </c>
      <c r="G210" s="4" t="n">
        <v>1175.8273</v>
      </c>
      <c r="H210" s="4" t="n">
        <f aca="false">+G210+$S$144+$S$146+$S$148+$S$150+$S$152+$S$154+$S$156</f>
        <v>1274.1892664673</v>
      </c>
      <c r="I210" s="24" t="n">
        <f aca="false">+(H210/H209-1)/(F210-F209)*30</f>
        <v>0.00939042693196421</v>
      </c>
      <c r="J210" s="18" t="n">
        <f aca="false">+J209*(1+I210)</f>
        <v>197.745878857431</v>
      </c>
      <c r="K210" s="3" t="n">
        <v>5415.8662</v>
      </c>
      <c r="L210" s="24" t="n">
        <f aca="false">+(K210/K209-1)/(F210-F209)*30</f>
        <v>0.00794552771901819</v>
      </c>
      <c r="M210" s="19" t="n">
        <f aca="false">+M209*(1+L210)</f>
        <v>182.291491728053</v>
      </c>
    </row>
    <row r="211" customFormat="false" ht="14.25" hidden="false" customHeight="false" outlineLevel="0" collapsed="false">
      <c r="A211" s="17" t="n">
        <v>45044</v>
      </c>
      <c r="B211" s="3" t="n">
        <v>21706.94</v>
      </c>
      <c r="C211" s="24" t="n">
        <f aca="false">(B211/B210-1)/(A211-A210)*30</f>
        <v>0.00941276133557894</v>
      </c>
      <c r="D211" s="3" t="n">
        <f aca="false">B211/$B$3*100</f>
        <v>198.180065259825</v>
      </c>
      <c r="F211" s="17" t="n">
        <v>45044</v>
      </c>
      <c r="G211" s="4" t="n">
        <v>1187.0746</v>
      </c>
      <c r="H211" s="4" t="n">
        <f aca="false">+G211+$S$144+$S$146+$S$148+$S$150+$S$152+$S$154+$S$156</f>
        <v>1285.4365664673</v>
      </c>
      <c r="I211" s="24" t="n">
        <f aca="false">+(H211/H210-1)/(F211-F210)*30</f>
        <v>0.00945752635700601</v>
      </c>
      <c r="J211" s="18" t="n">
        <f aca="false">+J210*(1+I211)</f>
        <v>199.616065718715</v>
      </c>
      <c r="K211" s="3" t="n">
        <v>5456.2587</v>
      </c>
      <c r="L211" s="24" t="n">
        <f aca="false">+(K211/K210-1)/(F211-F210)*30</f>
        <v>0.00799090615854378</v>
      </c>
      <c r="M211" s="19" t="n">
        <f aca="false">+M210*(1+L211)</f>
        <v>183.748165931953</v>
      </c>
    </row>
    <row r="212" customFormat="false" ht="14.25" hidden="false" customHeight="false" outlineLevel="0" collapsed="false">
      <c r="A212" s="17" t="n">
        <v>45077</v>
      </c>
      <c r="B212" s="3" t="n">
        <v>21931.86</v>
      </c>
      <c r="C212" s="24" t="n">
        <f aca="false">(B212/B211-1)/(A212-A211)*30</f>
        <v>0.00941969376027792</v>
      </c>
      <c r="D212" s="3" t="n">
        <f aca="false">B212/$B$3*100</f>
        <v>200.233540336378</v>
      </c>
      <c r="F212" s="17" t="n">
        <v>45077</v>
      </c>
      <c r="G212" s="4" t="n">
        <v>1200.3657</v>
      </c>
      <c r="H212" s="4" t="n">
        <f aca="false">+G212+$S$144+$S$146+$S$148+$S$150+$S$152+$S$154+$S$156</f>
        <v>1298.7276664673</v>
      </c>
      <c r="I212" s="24" t="n">
        <f aca="false">+(H212/H211-1)/(F212-F211)*30</f>
        <v>0.00939977786303745</v>
      </c>
      <c r="J212" s="18" t="n">
        <f aca="false">+J211*(1+I212)</f>
        <v>201.492412394364</v>
      </c>
      <c r="K212" s="18" t="n">
        <v>5504.4106</v>
      </c>
      <c r="L212" s="24" t="n">
        <f aca="false">+(K212/K211-1)/(F212-F211)*30</f>
        <v>0.00802279674632251</v>
      </c>
      <c r="M212" s="19" t="n">
        <f aca="false">+M211*(1+L212)</f>
        <v>185.222340119734</v>
      </c>
    </row>
    <row r="213" customFormat="false" ht="14.25" hidden="false" customHeight="false" outlineLevel="0" collapsed="false">
      <c r="A213" s="17" t="n">
        <v>45107</v>
      </c>
      <c r="B213" s="3" t="n">
        <v>22138.35</v>
      </c>
      <c r="C213" s="24" t="n">
        <f aca="false">(B213/B212-1)/(A213-A212)*30</f>
        <v>0.00941507013085063</v>
      </c>
      <c r="D213" s="3" t="n">
        <f aca="false">B213/$B$3*100</f>
        <v>202.118753161194</v>
      </c>
      <c r="F213" s="17" t="n">
        <v>45107</v>
      </c>
      <c r="G213" s="4" t="n">
        <v>1212.6897</v>
      </c>
      <c r="H213" s="4" t="n">
        <f aca="false">+G213+$S$144+$S$146+$S$148+$S$150+$S$152+$S$154+$S$156</f>
        <v>1311.0516664673</v>
      </c>
      <c r="I213" s="24" t="n">
        <f aca="false">+(H213/H212-1)/(F213-F212)*30</f>
        <v>0.00948928733729271</v>
      </c>
      <c r="J213" s="18" t="n">
        <f aca="false">+J212*(1+I213)</f>
        <v>203.404431791859</v>
      </c>
      <c r="K213" s="3" t="n">
        <v>5548.4618</v>
      </c>
      <c r="L213" s="24" t="n">
        <f aca="false">+(K213/K212-1)/(F213-F212)*30</f>
        <v>0.00800289135407151</v>
      </c>
      <c r="M213" s="19" t="n">
        <f aca="false">+M212*(1+L213)</f>
        <v>186.704654384059</v>
      </c>
    </row>
    <row r="214" customFormat="false" ht="14.25" hidden="false" customHeight="false" outlineLevel="0" collapsed="false">
      <c r="A214" s="17" t="n">
        <v>45138</v>
      </c>
      <c r="B214" s="3" t="n">
        <v>22353.79</v>
      </c>
      <c r="C214" s="24" t="n">
        <f aca="false">(B214/B213-1)/(A214-A213)*30</f>
        <v>0.00941760892662041</v>
      </c>
      <c r="D214" s="3" t="n">
        <f aca="false">B214/$B$3*100</f>
        <v>204.085677714336</v>
      </c>
      <c r="F214" s="17" t="n">
        <v>45138</v>
      </c>
      <c r="G214" s="4" t="n">
        <v>1225.6293</v>
      </c>
      <c r="H214" s="4" t="n">
        <f aca="false">+G214+$S$144+$S$146+$S$148+$S$150+$S$152+$S$154+$S$156</f>
        <v>1323.9912664673</v>
      </c>
      <c r="I214" s="24" t="n">
        <f aca="false">+(H214/H213-1)/(F214-F213)*30</f>
        <v>0.0095512586335587</v>
      </c>
      <c r="J214" s="18" t="n">
        <f aca="false">+J213*(1+I214)</f>
        <v>205.347200127115</v>
      </c>
      <c r="K214" s="3" t="n">
        <v>5593.984</v>
      </c>
      <c r="L214" s="24" t="n">
        <f aca="false">+(K214/K213-1)/(F214-F213)*30</f>
        <v>0.00793981170339564</v>
      </c>
      <c r="M214" s="19" t="n">
        <f aca="false">+M213*(1+L214)</f>
        <v>188.187054184016</v>
      </c>
    </row>
    <row r="215" customFormat="false" ht="14.25" hidden="false" customHeight="false" outlineLevel="0" collapsed="false">
      <c r="A215" s="17" t="n">
        <v>45169</v>
      </c>
      <c r="B215" s="3" t="n">
        <v>22551.92</v>
      </c>
      <c r="C215" s="24" t="n">
        <f aca="false">(B215/B214-1)/(A215-A214)*30</f>
        <v>0.00857745866259888</v>
      </c>
      <c r="D215" s="3" t="n">
        <f aca="false">B215/$B$3*100</f>
        <v>205.894565394033</v>
      </c>
      <c r="F215" s="17" t="n">
        <v>45169</v>
      </c>
      <c r="G215" s="4" t="n">
        <v>1237.5463</v>
      </c>
      <c r="H215" s="4" t="n">
        <f aca="false">+G215+$S$144+$S$146+$S$148+$S$150+$S$152+$S$154+$S$156</f>
        <v>1335.9082664673</v>
      </c>
      <c r="I215" s="24" t="n">
        <f aca="false">+(H215/H214-1)/(F215-F214)*30</f>
        <v>0.00871046579931949</v>
      </c>
      <c r="J215" s="18" t="n">
        <f aca="false">+J214*(1+I215)</f>
        <v>207.135869890808</v>
      </c>
      <c r="K215" s="18" t="n">
        <v>5636.4775</v>
      </c>
      <c r="L215" s="24" t="n">
        <f aca="false">+(K215/K214-1)/(F215-F214)*30</f>
        <v>0.00735124411072392</v>
      </c>
      <c r="M215" s="19" t="n">
        <f aca="false">+M214*(1+L215)</f>
        <v>189.570463157801</v>
      </c>
    </row>
    <row r="216" customFormat="false" ht="14.25" hidden="false" customHeight="false" outlineLevel="0" collapsed="false">
      <c r="A216" s="17" t="n">
        <v>45199</v>
      </c>
      <c r="B216" s="3" t="n">
        <v>22727.72</v>
      </c>
      <c r="C216" s="24" t="n">
        <f aca="false">(B216/B215-1)/(A216-A215)*30</f>
        <v>0.00779534514134506</v>
      </c>
      <c r="D216" s="3" t="n">
        <f aca="false">B216/$B$3*100</f>
        <v>207.499584594007</v>
      </c>
      <c r="F216" s="17" t="n">
        <v>45199</v>
      </c>
      <c r="G216" s="4" t="n">
        <v>1249.1767</v>
      </c>
      <c r="H216" s="4" t="n">
        <f aca="false">+G216+$S$144+$S$146+$S$148+$S$150+$S$152+$S$154+$S$156</f>
        <v>1347.5386664673</v>
      </c>
      <c r="I216" s="24" t="n">
        <f aca="false">+(H216/H215-1)/(F216-F215)*30</f>
        <v>0.00870598699920899</v>
      </c>
      <c r="J216" s="18" t="n">
        <f aca="false">+J215*(1+I216)</f>
        <v>208.939192081147</v>
      </c>
      <c r="K216" s="3" t="n">
        <v>5674.72</v>
      </c>
      <c r="L216" s="24" t="n">
        <f aca="false">+(K216/K215-1)/(F216-F215)*30</f>
        <v>0.00678482261305935</v>
      </c>
      <c r="M216" s="19" t="n">
        <f aca="false">+M215*(1+L216)</f>
        <v>190.856665123002</v>
      </c>
    </row>
    <row r="217" customFormat="false" ht="14.25" hidden="false" customHeight="false" outlineLevel="0" collapsed="false">
      <c r="A217" s="17" t="n">
        <v>45230</v>
      </c>
      <c r="B217" s="19" t="n">
        <v>22920</v>
      </c>
      <c r="C217" s="24" t="n">
        <f aca="false">(B217/B216-1)/(A217-A216)*30</f>
        <v>0.0081872453266249</v>
      </c>
      <c r="D217" s="3" t="n">
        <f aca="false">B217/$B$3*100</f>
        <v>209.255062931726</v>
      </c>
      <c r="F217" s="17" t="n">
        <v>45230</v>
      </c>
      <c r="G217" s="4" t="n">
        <v>1260.35</v>
      </c>
      <c r="H217" s="4" t="n">
        <f aca="false">+G217+$S$144+$S$146+$S$148+$S$150+$S$152+$S$154+$S$156</f>
        <v>1358.7119664673</v>
      </c>
      <c r="I217" s="24" t="n">
        <f aca="false">+(H217/H216-1)/(F217-F216)*30</f>
        <v>0.00802416378602992</v>
      </c>
      <c r="J217" s="18" t="n">
        <f aca="false">+J216*(1+I217)</f>
        <v>210.615754379727</v>
      </c>
      <c r="K217" s="3" t="n">
        <v>5712.6049</v>
      </c>
      <c r="L217" s="24" t="n">
        <f aca="false">+(K217/K216-1)/(F217-F216)*30</f>
        <v>0.0064607251902496</v>
      </c>
      <c r="M217" s="19" t="n">
        <f aca="false">+M216*(1+L217)</f>
        <v>192.089737587089</v>
      </c>
    </row>
    <row r="218" customFormat="false" ht="14.25" hidden="false" customHeight="false" outlineLevel="0" collapsed="false">
      <c r="A218" s="17" t="n">
        <v>45260</v>
      </c>
      <c r="B218" s="3" t="n">
        <v>23092.51</v>
      </c>
      <c r="C218" s="24" t="n">
        <f aca="false">(B218/B217-1)/(A218-A217)*30</f>
        <v>0.00752661431064561</v>
      </c>
      <c r="D218" s="19" t="n">
        <f aca="false">+D217*(1+C218)</f>
        <v>210.830045082963</v>
      </c>
      <c r="F218" s="17" t="n">
        <v>45260</v>
      </c>
      <c r="G218" s="4" t="n">
        <v>1270.5658</v>
      </c>
      <c r="H218" s="4" t="n">
        <f aca="false">+G218+$S$144+$S$146+$S$148+$S$150+$S$152+$S$154+$S$156</f>
        <v>1368.9277664673</v>
      </c>
      <c r="I218" s="24" t="n">
        <f aca="false">+(H218/H217-1)/(F218-F217)*30</f>
        <v>0.00751873852010121</v>
      </c>
      <c r="J218" s="18" t="n">
        <f aca="false">+J217*(1+I218)</f>
        <v>212.199319165122</v>
      </c>
      <c r="K218" s="18" t="n">
        <v>5747.8492</v>
      </c>
      <c r="L218" s="24" t="n">
        <f aca="false">+(K218/K217-1)/(F218-F217)*30</f>
        <v>0.00616956723192952</v>
      </c>
      <c r="M218" s="19" t="n">
        <f aca="false">+M217*(1+L218)</f>
        <v>193.274848137697</v>
      </c>
    </row>
    <row r="219" customFormat="false" ht="14.25" hidden="false" customHeight="false" outlineLevel="0" collapsed="false">
      <c r="A219" s="17" t="n">
        <v>45291</v>
      </c>
      <c r="B219" s="3" t="n">
        <v>23256.05</v>
      </c>
      <c r="C219" s="24" t="n">
        <f aca="false">(B219/B218-1)/(A219-A218)*30</f>
        <v>0.00685349994994187</v>
      </c>
      <c r="D219" s="19" t="n">
        <f aca="false">+D218*(1+C219)</f>
        <v>212.274968786385</v>
      </c>
      <c r="F219" s="17" t="n">
        <v>45291</v>
      </c>
      <c r="G219" s="4" t="n">
        <v>1282.4338</v>
      </c>
      <c r="H219" s="4" t="n">
        <f aca="false">+G219+$S$144+$S$146+$S$148+$S$150+$S$152+$S$154+$S$156</f>
        <v>1380.7957664673</v>
      </c>
      <c r="I219" s="24" t="n">
        <f aca="false">+(H219/H218-1)/(F219-F218)*30</f>
        <v>0.00838989577949865</v>
      </c>
      <c r="J219" s="18" t="n">
        <f aca="false">+J218*(1+I219)</f>
        <v>213.979649337398</v>
      </c>
      <c r="K219" s="3" t="n">
        <v>5782.92</v>
      </c>
      <c r="L219" s="24" t="n">
        <f aca="false">+(K219/K218-1)/(F219-F218)*30</f>
        <v>0.00590472761028043</v>
      </c>
      <c r="M219" s="19" t="n">
        <f aca="false">+M218*(1+L219)</f>
        <v>194.416083469868</v>
      </c>
    </row>
    <row r="220" customFormat="false" ht="14.25" hidden="false" customHeight="false" outlineLevel="0" collapsed="false">
      <c r="A220" s="17" t="n">
        <v>45322</v>
      </c>
      <c r="B220" s="3" t="n">
        <v>23427.15</v>
      </c>
      <c r="C220" s="24" t="n">
        <f aca="false">(B220/B219-1)/(A220-A219)*30</f>
        <v>0.00711989547499661</v>
      </c>
      <c r="D220" s="19" t="n">
        <f aca="false">+D219*(1+C220)</f>
        <v>213.786344376102</v>
      </c>
      <c r="F220" s="17" t="n">
        <v>45322</v>
      </c>
      <c r="G220" s="4" t="n">
        <v>1293.2083</v>
      </c>
      <c r="H220" s="4" t="n">
        <f aca="false">+G220+$S$144+$S$146+$S$148+$S$150+$S$152+$S$154+$S$156</f>
        <v>1391.5702664673</v>
      </c>
      <c r="I220" s="24" t="n">
        <f aca="false">+(H220/H219-1)/(F220-F219)*30</f>
        <v>0.00755139589582306</v>
      </c>
      <c r="J220" s="18" t="n">
        <f aca="false">+J219*(1+I220)</f>
        <v>215.595494383194</v>
      </c>
      <c r="K220" s="3" t="n">
        <v>5816.8769</v>
      </c>
      <c r="L220" s="24" t="n">
        <f aca="false">+(K220/K219-1)/(F220-F219)*30</f>
        <v>0.00568251266298558</v>
      </c>
      <c r="M220" s="19" t="n">
        <f aca="false">+M219*(1+L220)</f>
        <v>195.520855326074</v>
      </c>
    </row>
    <row r="221" customFormat="false" ht="14.25" hidden="false" customHeight="false" outlineLevel="0" collapsed="false">
      <c r="A221" s="17" t="n">
        <v>45351</v>
      </c>
      <c r="B221" s="3" t="n">
        <v>23570.34</v>
      </c>
      <c r="C221" s="24" t="n">
        <f aca="false">(B221/B220-1)/(A221-A220)*30</f>
        <v>0.00632290253858852</v>
      </c>
      <c r="D221" s="19" t="n">
        <f aca="false">+D220*(1+C221)</f>
        <v>215.138094595673</v>
      </c>
      <c r="F221" s="17" t="n">
        <v>45351</v>
      </c>
      <c r="G221" s="4" t="n">
        <v>1301.3776</v>
      </c>
      <c r="H221" s="4" t="n">
        <f aca="false">+G221+$S$144+$S$146+$S$148+$S$150+$S$152+$S$154+$S$156</f>
        <v>1399.7395664673</v>
      </c>
      <c r="I221" s="24" t="n">
        <f aca="false">+(H221/H220-1)/(F221-F220)*30</f>
        <v>0.00607299552429659</v>
      </c>
      <c r="J221" s="18" t="n">
        <f aca="false">+J220*(1+I221)</f>
        <v>216.904804855642</v>
      </c>
      <c r="K221" s="3" t="n">
        <v>5846.4552</v>
      </c>
      <c r="L221" s="24" t="n">
        <f aca="false">+(K221/K220-1)/(F221-F220)*30</f>
        <v>0.005260252521299</v>
      </c>
      <c r="M221" s="19" t="n">
        <f aca="false">+M220*(1+L221)</f>
        <v>196.549344398269</v>
      </c>
    </row>
    <row r="222" customFormat="false" ht="14.25" hidden="false" customHeight="false" outlineLevel="0" collapsed="false">
      <c r="A222" s="17" t="n">
        <v>45379</v>
      </c>
      <c r="B222" s="3" t="n">
        <v>23703.45</v>
      </c>
      <c r="C222" s="24" t="n">
        <f aca="false">(B222/B221-1)/(A222-A221)*30</f>
        <v>0.00605073397935101</v>
      </c>
      <c r="D222" s="19" t="n">
        <f aca="false">+D221*(1+C222)</f>
        <v>216.439837974896</v>
      </c>
      <c r="F222" s="17" t="n">
        <v>45379</v>
      </c>
      <c r="G222" s="4" t="n">
        <v>1309.859</v>
      </c>
      <c r="H222" s="4" t="n">
        <f aca="false">+G222+$S$144+$S$146+$S$148+$S$150+$S$152+$S$154+$S$156</f>
        <v>1408.2209664673</v>
      </c>
      <c r="I222" s="24" t="n">
        <f aca="false">+(H222/H221-1)/(F222-F221)*30</f>
        <v>0.00649207502839176</v>
      </c>
      <c r="J222" s="18" t="n">
        <f aca="false">+J221*(1+I222)</f>
        <v>218.312967122783</v>
      </c>
      <c r="K222" s="3" t="n">
        <v>5872.4728</v>
      </c>
      <c r="L222" s="24" t="n">
        <f aca="false">+(K222/K221-1)/(F222-F221)*30</f>
        <v>0.00476801737914621</v>
      </c>
      <c r="M222" s="19" t="n">
        <f aca="false">+M221*(1+L222)</f>
        <v>197.48649508822</v>
      </c>
    </row>
    <row r="223" customFormat="false" ht="14.25" hidden="false" customHeight="false" outlineLevel="0" collapsed="false">
      <c r="A223" s="17" t="n">
        <v>45412</v>
      </c>
      <c r="B223" s="3" t="n">
        <v>23847.87</v>
      </c>
      <c r="C223" s="24" t="n">
        <f aca="false">(B223/B222-1)/(A223-A222)*30</f>
        <v>0.00553889451075303</v>
      </c>
      <c r="D223" s="19" t="n">
        <f aca="false">+D222*(1+C223)</f>
        <v>217.638675405364</v>
      </c>
      <c r="F223" s="17" t="n">
        <v>45412</v>
      </c>
      <c r="G223" s="4" t="n">
        <v>1318.2295</v>
      </c>
      <c r="H223" s="4" t="n">
        <f aca="false">+G223+$S$144+$S$146+$S$148+$S$150+$S$152+$S$154+$S$156</f>
        <v>1416.5914664673</v>
      </c>
      <c r="I223" s="24" t="n">
        <f aca="false">+(H223/H222-1)/(F223-F222)*30</f>
        <v>0.00540365868407353</v>
      </c>
      <c r="J223" s="18" t="n">
        <f aca="false">+J222*(1+I223)</f>
        <v>219.492655883422</v>
      </c>
      <c r="K223" s="3" t="n">
        <v>5900.1916</v>
      </c>
      <c r="L223" s="24" t="n">
        <f aca="false">+(K223/K222-1)/(F223-F222)*30</f>
        <v>0.00429102184873626</v>
      </c>
      <c r="M223" s="19" t="n">
        <f aca="false">+M222*(1+L223)</f>
        <v>198.333913953474</v>
      </c>
    </row>
    <row r="224" customFormat="false" ht="14.25" hidden="false" customHeight="false" outlineLevel="0" collapsed="false">
      <c r="A224" s="17" t="n">
        <v>45443</v>
      </c>
      <c r="B224" s="3" t="n">
        <v>23979.37</v>
      </c>
      <c r="C224" s="24" t="n">
        <f aca="false">(B224/B223-1)/(A224-A223)*30</f>
        <v>0.00533624447450137</v>
      </c>
      <c r="D224" s="19" t="n">
        <f aca="false">+D223*(1+C224)</f>
        <v>218.800048584433</v>
      </c>
      <c r="F224" s="17" t="n">
        <v>45443</v>
      </c>
      <c r="G224" s="4" t="n">
        <v>1326.7076</v>
      </c>
      <c r="H224" s="4" t="n">
        <f aca="false">+G224+$S$144+$S$146+$S$148+$S$150+$S$152+$S$154+$S$156</f>
        <v>1425.0695664673</v>
      </c>
      <c r="I224" s="24" t="n">
        <f aca="false">+(H224/H223-1)/(F224-F223)*30</f>
        <v>0.0057917989042293</v>
      </c>
      <c r="J224" s="18" t="n">
        <f aca="false">+J223*(1+I224)</f>
        <v>220.763913207254</v>
      </c>
      <c r="K224" s="3" t="n">
        <v>5924.7824</v>
      </c>
      <c r="L224" s="24" t="n">
        <f aca="false">+(K224/K223-1)/(F224-F223)*30</f>
        <v>0.00403335179608358</v>
      </c>
      <c r="M224" s="19" t="n">
        <f aca="false">+M223*(1+L224)</f>
        <v>199.133864401542</v>
      </c>
    </row>
    <row r="225" customFormat="false" ht="14.25" hidden="false" customHeight="false" outlineLevel="0" collapsed="false">
      <c r="A225" s="17" t="n">
        <v>45473</v>
      </c>
      <c r="B225" s="19" t="n">
        <v>24090</v>
      </c>
      <c r="C225" s="24" t="n">
        <f aca="false">(B225/B224-1)/(A225-A224)*30</f>
        <v>0.00461354906321554</v>
      </c>
      <c r="D225" s="19" t="n">
        <f aca="false">+D224*(1+C225)</f>
        <v>219.809493343612</v>
      </c>
      <c r="F225" s="17" t="n">
        <v>45473</v>
      </c>
      <c r="G225" s="4" t="n">
        <v>1334.2564</v>
      </c>
      <c r="H225" s="4" t="n">
        <f aca="false">+G225+$S$144+$S$146+$S$148+$S$150+$S$152+$S$154+$S$156</f>
        <v>1432.6183664673</v>
      </c>
      <c r="I225" s="24" t="n">
        <f aca="false">+(H225/H224-1)/(F225-F224)*30</f>
        <v>0.00529714490971367</v>
      </c>
      <c r="J225" s="18" t="n">
        <f aca="false">+J224*(1+I225)</f>
        <v>221.933331646349</v>
      </c>
      <c r="K225" s="3" t="n">
        <v>5946.409</v>
      </c>
      <c r="L225" s="24" t="n">
        <f aca="false">+(K225/K224-1)/(F225-F224)*30</f>
        <v>0.00365019312776771</v>
      </c>
      <c r="M225" s="19" t="n">
        <f aca="false">+M224*(1+L225)</f>
        <v>199.860741464887</v>
      </c>
    </row>
    <row r="226" customFormat="false" ht="14.25" hidden="false" customHeight="false" outlineLevel="0" collapsed="false">
      <c r="A226" s="17" t="n">
        <v>45504</v>
      </c>
      <c r="B226" s="3" t="n">
        <v>24217.3</v>
      </c>
      <c r="C226" s="24" t="n">
        <f aca="false">(B226/B225-1)/(A226-A225)*30</f>
        <v>0.00511388743823562</v>
      </c>
      <c r="D226" s="19" t="n">
        <f aca="false">+D225*(1+C226)</f>
        <v>220.933574350426</v>
      </c>
      <c r="F226" s="17" t="n">
        <v>45504</v>
      </c>
      <c r="G226" s="4" t="n">
        <v>1340.8303</v>
      </c>
      <c r="H226" s="4" t="n">
        <f aca="false">+G226+$S$144+$S$146+$S$148+$S$150+$S$152+$S$154+$S$156</f>
        <v>1439.1922664673</v>
      </c>
      <c r="I226" s="24" t="n">
        <f aca="false">+(H226/H225-1)/(F226-F225)*30</f>
        <v>0.00444070721036837</v>
      </c>
      <c r="J226" s="18" t="n">
        <f aca="false">+J225*(1+I226)</f>
        <v>222.918872592412</v>
      </c>
      <c r="K226" s="3" t="n">
        <v>5968.019</v>
      </c>
      <c r="L226" s="24" t="n">
        <f aca="false">+(K226/K225-1)/(F226-F225)*30</f>
        <v>0.00351689620169189</v>
      </c>
      <c r="M226" s="19" t="n">
        <f aca="false">+M225*(1+L226)</f>
        <v>200.563630947412</v>
      </c>
    </row>
    <row r="227" customFormat="false" ht="14.25" hidden="false" customHeight="false" outlineLevel="0" collapsed="false">
      <c r="A227" s="17" t="n">
        <v>45535</v>
      </c>
      <c r="B227" s="3" t="n">
        <v>24333.6</v>
      </c>
      <c r="C227" s="24" t="n">
        <f aca="false">(B227/B226-1)/(A227-A226)*30</f>
        <v>0.004647437455735</v>
      </c>
      <c r="D227" s="19" t="n">
        <f aca="false">+D226*(1+C227)</f>
        <v>221.960349319092</v>
      </c>
      <c r="F227" s="17" t="n">
        <v>45535</v>
      </c>
      <c r="G227" s="4" t="n">
        <v>1346.8901</v>
      </c>
      <c r="H227" s="4" t="n">
        <f aca="false">+G227+$S$144+$S$146+$S$148+$S$150+$S$152+$S$154+$S$156</f>
        <v>1445.2520664673</v>
      </c>
      <c r="I227" s="24" t="n">
        <f aca="false">+(H227/H226-1)/(F227-F226)*30</f>
        <v>0.00407473185986469</v>
      </c>
      <c r="J227" s="18" t="n">
        <f aca="false">+J226*(1+I227)</f>
        <v>223.827207224729</v>
      </c>
      <c r="K227" s="3" t="n">
        <v>5989.669</v>
      </c>
      <c r="L227" s="24" t="n">
        <f aca="false">+(K227/K226-1)/(F227-F226)*30</f>
        <v>0.00351064782186953</v>
      </c>
      <c r="M227" s="19" t="n">
        <f aca="false">+M226*(1+L227)</f>
        <v>201.267739221544</v>
      </c>
    </row>
    <row r="228" customFormat="false" ht="14.25" hidden="false" customHeight="false" outlineLevel="0" collapsed="false">
      <c r="A228" s="17" t="n">
        <v>45565</v>
      </c>
      <c r="B228" s="3" t="n">
        <v>24449.94</v>
      </c>
      <c r="C228" s="24" t="n">
        <f aca="false">(B228/B227-1)/(A228-A227)*30</f>
        <v>0.00478104349541386</v>
      </c>
      <c r="D228" s="19" t="n">
        <f aca="false">+D227*(1+C228)</f>
        <v>223.021551403444</v>
      </c>
      <c r="F228" s="17" t="n">
        <v>45565</v>
      </c>
      <c r="G228" s="4" t="n">
        <v>1353.1543</v>
      </c>
      <c r="H228" s="4" t="n">
        <f aca="false">+G228+$S$144+$S$146+$S$148+$S$150+$S$152+$S$154+$S$156</f>
        <v>1451.5162664673</v>
      </c>
      <c r="I228" s="24" t="n">
        <f aca="false">+(H228/H227-1)/(F228-F227)*30</f>
        <v>0.00433433042258979</v>
      </c>
      <c r="J228" s="18" t="n">
        <f aca="false">+J227*(1+I228)</f>
        <v>224.797348298406</v>
      </c>
      <c r="K228" s="3" t="n">
        <v>6009.8868</v>
      </c>
      <c r="L228" s="24" t="n">
        <f aca="false">+(K228/K227-1)/(F228-F227)*30</f>
        <v>0.0033754452875443</v>
      </c>
      <c r="M228" s="19" t="n">
        <f aca="false">+M227*(1+L228)</f>
        <v>201.947107463434</v>
      </c>
    </row>
    <row r="229" customFormat="false" ht="14.25" hidden="false" customHeight="false" outlineLevel="0" collapsed="false">
      <c r="A229" s="17" t="n">
        <v>45596</v>
      </c>
      <c r="B229" s="3" t="n">
        <v>24560.22</v>
      </c>
      <c r="C229" s="24" t="n">
        <f aca="false">(B229/B228-1)/(A229-A228)*30</f>
        <v>0.00436494243524368</v>
      </c>
      <c r="D229" s="19" t="n">
        <f aca="false">+D228*(1+C229)</f>
        <v>223.995027637139</v>
      </c>
      <c r="F229" s="17" t="n">
        <v>45596</v>
      </c>
      <c r="G229" s="4" t="n">
        <v>1358.6238</v>
      </c>
      <c r="H229" s="4" t="n">
        <f aca="false">+G229+$S$144+$S$146+$S$148+$S$150+$S$152+$S$154+$S$156</f>
        <v>1456.9857664673</v>
      </c>
      <c r="I229" s="24" t="n">
        <f aca="false">+(H229/H228-1)/(F229-F228)*30</f>
        <v>0.00364657609315771</v>
      </c>
      <c r="J229" s="18" t="n">
        <f aca="false">+J228*(1+I229)</f>
        <v>225.617088934517</v>
      </c>
      <c r="K229" s="3" t="n">
        <v>6030.3854</v>
      </c>
      <c r="L229" s="24" t="n">
        <f aca="false">+(K229/K228-1)/(F229-F228)*30</f>
        <v>0.00330078677001207</v>
      </c>
      <c r="M229" s="19" t="n">
        <f aca="false">+M228*(1+L229)</f>
        <v>202.613691803991</v>
      </c>
    </row>
    <row r="230" customFormat="false" ht="14.25" hidden="false" customHeight="false" outlineLevel="0" collapsed="false">
      <c r="A230" s="17" t="n">
        <v>45626</v>
      </c>
      <c r="B230" s="3" t="n">
        <v>24667.9</v>
      </c>
      <c r="C230" s="24" t="n">
        <f aca="false">(B230/B229-1)/(A230-A229)*30</f>
        <v>0.0043843255475724</v>
      </c>
      <c r="D230" s="19" t="n">
        <f aca="false">+D229*(1+C230)</f>
        <v>224.977094759337</v>
      </c>
      <c r="F230" s="17" t="n">
        <v>45626</v>
      </c>
      <c r="G230" s="4" t="n">
        <v>1285.0823</v>
      </c>
      <c r="H230" s="4" t="n">
        <f aca="false">+G230+$S$144+$S$146+$S$148+$S$150+$S$152+$S$154+$S$156+$S$158</f>
        <v>1462.6142664673</v>
      </c>
      <c r="I230" s="24" t="n">
        <f aca="false">+(H230/H229-1)/(F230-F229)*30</f>
        <v>0.00386311255026683</v>
      </c>
      <c r="J230" s="18" t="n">
        <f aca="false">+J229*(1+I230)</f>
        <v>226.488673142334</v>
      </c>
      <c r="K230" s="3" t="n">
        <v>6049.8055</v>
      </c>
      <c r="L230" s="24" t="n">
        <f aca="false">+(K230/K229-1)/(F230-F229)*30</f>
        <v>0.00322037460491331</v>
      </c>
      <c r="M230" s="19" t="n">
        <f aca="false">+M229*(1+L230)</f>
        <v>203.266183791684</v>
      </c>
    </row>
    <row r="231" customFormat="false" ht="14.25" hidden="false" customHeight="false" outlineLevel="0" collapsed="false">
      <c r="A231" s="17" t="n">
        <v>45657</v>
      </c>
      <c r="B231" s="3" t="n">
        <v>24777.58</v>
      </c>
      <c r="C231" s="24" t="n">
        <f aca="false">(B231/B230-1)/(A231-A230)*30</f>
        <v>0.00430283629672052</v>
      </c>
      <c r="D231" s="19" t="n">
        <f aca="false">+D230*(1+C231)</f>
        <v>225.945134368598</v>
      </c>
      <c r="F231" s="17" t="n">
        <v>45657</v>
      </c>
      <c r="G231" s="4" t="n">
        <v>1290.3393</v>
      </c>
      <c r="H231" s="4" t="n">
        <f aca="false">+G231+$S$144+$S$146+$S$148+$S$150+$S$152+$S$154+$S$156+$S$158</f>
        <v>1467.8712664673</v>
      </c>
      <c r="I231" s="24" t="n">
        <f aca="false">+(H231/H230-1)/(F231-F230)*30</f>
        <v>0.00347830557343507</v>
      </c>
      <c r="J231" s="18" t="n">
        <f aca="false">+J230*(1+I231)</f>
        <v>227.276469956445</v>
      </c>
      <c r="K231" s="3" t="n">
        <v>6069.3455</v>
      </c>
      <c r="L231" s="24" t="n">
        <f aca="false">+(K231/K230-1)/(F231-F230)*30</f>
        <v>0.00312566700191516</v>
      </c>
      <c r="M231" s="19" t="n">
        <f aca="false">+M230*(1+L231)</f>
        <v>203.901526194967</v>
      </c>
    </row>
    <row r="232" customFormat="false" ht="14.25" hidden="false" customHeight="false" outlineLevel="0" collapsed="false">
      <c r="A232" s="17" t="n">
        <v>45688</v>
      </c>
      <c r="B232" s="3" t="n">
        <v>24887.95</v>
      </c>
      <c r="C232" s="24" t="n">
        <f aca="false">(B232/B231-1)/(A232-A231)*30</f>
        <v>0.00431073887842782</v>
      </c>
      <c r="D232" s="19" t="n">
        <f aca="false">+D231*(1+C232)</f>
        <v>226.919124843713</v>
      </c>
      <c r="F232" s="17" t="n">
        <v>45688</v>
      </c>
      <c r="G232" s="4" t="n">
        <v>1294.6206</v>
      </c>
      <c r="H232" s="4" t="n">
        <f aca="false">+G232+$S$144+$S$146+$S$148+$S$150+$S$152+$S$154+$S$156+$S$158</f>
        <v>1472.1525664673</v>
      </c>
      <c r="I232" s="24" t="n">
        <f aca="false">+(H232/H231-1)/(F232-F231)*30</f>
        <v>0.00282258645089376</v>
      </c>
      <c r="J232" s="18" t="n">
        <f aca="false">+J231*(1+I232)</f>
        <v>227.917977441151</v>
      </c>
      <c r="K232" s="3" t="n">
        <v>6087.6762</v>
      </c>
      <c r="L232" s="24" t="n">
        <f aca="false">+(K232/K231-1)/(F232-F231)*30</f>
        <v>0.00292278419423869</v>
      </c>
      <c r="M232" s="19" t="n">
        <f aca="false">+M231*(1+L232)</f>
        <v>204.497486352911</v>
      </c>
    </row>
    <row r="233" customFormat="false" ht="14.25" hidden="false" customHeight="false" outlineLevel="0" collapsed="false">
      <c r="A233" s="17" t="n">
        <v>45716</v>
      </c>
      <c r="F233" s="17" t="n">
        <v>45716</v>
      </c>
    </row>
    <row r="234" customFormat="false" ht="14.25" hidden="false" customHeight="false" outlineLevel="0" collapsed="false">
      <c r="A234" s="17" t="n">
        <v>45747</v>
      </c>
      <c r="F234" s="17" t="n">
        <v>45747</v>
      </c>
    </row>
    <row r="235" customFormat="false" ht="14.25" hidden="false" customHeight="false" outlineLevel="0" collapsed="false">
      <c r="A235" s="17" t="n">
        <v>45777</v>
      </c>
      <c r="F235" s="17" t="n">
        <v>45777</v>
      </c>
    </row>
    <row r="236" customFormat="false" ht="14.25" hidden="false" customHeight="false" outlineLevel="0" collapsed="false">
      <c r="A236" s="17" t="n">
        <v>45808</v>
      </c>
      <c r="F236" s="17" t="n">
        <v>45808</v>
      </c>
    </row>
    <row r="237" customFormat="false" ht="14.25" hidden="false" customHeight="false" outlineLevel="0" collapsed="false">
      <c r="A237" s="17" t="n">
        <v>45838</v>
      </c>
      <c r="F237" s="17" t="n">
        <v>45838</v>
      </c>
    </row>
    <row r="238" customFormat="false" ht="14.25" hidden="false" customHeight="false" outlineLevel="0" collapsed="false">
      <c r="A238" s="17" t="n">
        <v>45869</v>
      </c>
      <c r="F238" s="17" t="n">
        <v>45869</v>
      </c>
    </row>
    <row r="239" customFormat="false" ht="14.25" hidden="false" customHeight="false" outlineLevel="0" collapsed="false">
      <c r="A239" s="17" t="n">
        <v>45900</v>
      </c>
      <c r="F239" s="17" t="n">
        <v>45900</v>
      </c>
    </row>
    <row r="240" customFormat="false" ht="14.25" hidden="false" customHeight="false" outlineLevel="0" collapsed="false">
      <c r="A240" s="17" t="n">
        <v>45930</v>
      </c>
      <c r="F240" s="17" t="n">
        <v>45930</v>
      </c>
    </row>
    <row r="241" customFormat="false" ht="14.25" hidden="false" customHeight="false" outlineLevel="0" collapsed="false">
      <c r="A241" s="17" t="n">
        <v>45961</v>
      </c>
      <c r="F241" s="17" t="n">
        <v>45961</v>
      </c>
    </row>
    <row r="242" customFormat="false" ht="14.25" hidden="false" customHeight="false" outlineLevel="0" collapsed="false">
      <c r="A242" s="17" t="n">
        <v>45991</v>
      </c>
      <c r="F242" s="17" t="n">
        <v>45991</v>
      </c>
    </row>
    <row r="243" customFormat="false" ht="14.25" hidden="false" customHeight="false" outlineLevel="0" collapsed="false">
      <c r="A243" s="17" t="n">
        <v>46022</v>
      </c>
      <c r="F243" s="17" t="n">
        <v>46022</v>
      </c>
    </row>
    <row r="244" customFormat="false" ht="14.25" hidden="false" customHeight="false" outlineLevel="0" collapsed="false">
      <c r="A244" s="62" t="n">
        <v>46142</v>
      </c>
      <c r="B244" s="3" t="n">
        <v>19916.8502383877</v>
      </c>
      <c r="F244" s="62" t="n">
        <v>46142</v>
      </c>
      <c r="G244" s="4" t="n">
        <v>1007.3268</v>
      </c>
    </row>
  </sheetData>
  <mergeCells count="10">
    <mergeCell ref="AV28:AV29"/>
    <mergeCell ref="AC58:AC60"/>
    <mergeCell ref="AC61:AC63"/>
    <mergeCell ref="AC64:AC66"/>
    <mergeCell ref="AC67:AC69"/>
    <mergeCell ref="AC70:AC72"/>
    <mergeCell ref="AC73:AC75"/>
    <mergeCell ref="AC76:AC78"/>
    <mergeCell ref="AC79:AC81"/>
    <mergeCell ref="AC82:AC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38"/>
  <sheetViews>
    <sheetView showFormulas="false" showGridLines="false" showRowColHeaders="true" showZeros="true" rightToLeft="false" tabSelected="false" showOutlineSymbols="true" defaultGridColor="true" view="normal" topLeftCell="A3" colorId="64" zoomScale="70" zoomScaleNormal="70" zoomScalePageLayoutView="100" workbookViewId="0">
      <selection pane="topLeft" activeCell="Q37" activeCellId="0" sqref="Q37"/>
    </sheetView>
  </sheetViews>
  <sheetFormatPr defaultColWidth="10.6796875" defaultRowHeight="14.25" zeroHeight="false" outlineLevelRow="0" outlineLevelCol="0"/>
  <cols>
    <col collapsed="false" customWidth="true" hidden="false" outlineLevel="0" max="3" min="3" style="63" width="7.11"/>
    <col collapsed="false" customWidth="true" hidden="false" outlineLevel="0" max="4" min="4" style="0" width="15.88"/>
    <col collapsed="false" customWidth="true" hidden="false" outlineLevel="0" max="16" min="5" style="0" width="7.67"/>
    <col collapsed="false" customWidth="true" hidden="false" outlineLevel="0" max="17" min="17" style="0" width="10.11"/>
    <col collapsed="false" customWidth="true" hidden="false" outlineLevel="0" max="19" min="19" style="0" width="18.44"/>
    <col collapsed="false" customWidth="true" hidden="false" outlineLevel="0" max="20" min="20" style="0" width="9"/>
    <col collapsed="false" customWidth="true" hidden="false" outlineLevel="0" max="21" min="21" style="0" width="11.11"/>
    <col collapsed="false" customWidth="true" hidden="false" outlineLevel="0" max="22" min="22" style="0" width="10.88"/>
    <col collapsed="false" customWidth="true" hidden="false" outlineLevel="0" max="23" min="23" style="0" width="6.88"/>
    <col collapsed="false" customWidth="true" hidden="false" outlineLevel="0" max="24" min="24" style="0" width="16"/>
  </cols>
  <sheetData>
    <row r="1" customFormat="false" ht="26.25" hidden="false" customHeight="true" outlineLevel="0" collapsed="false">
      <c r="C1" s="64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 t="s">
        <v>30</v>
      </c>
      <c r="T1" s="67" t="s">
        <v>31</v>
      </c>
      <c r="U1" s="67" t="s">
        <v>32</v>
      </c>
      <c r="V1" s="67" t="s">
        <v>33</v>
      </c>
      <c r="W1" s="67" t="s">
        <v>34</v>
      </c>
      <c r="X1" s="68" t="s">
        <v>47</v>
      </c>
    </row>
    <row r="2" customFormat="false" ht="14.25" hidden="false" customHeight="false" outlineLevel="0" collapsed="false"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9" t="s">
        <v>48</v>
      </c>
      <c r="T2" s="70" t="e">
        <f aca="false">+'Datos ICP (2)'!AX28</f>
        <v>#DIV/0!</v>
      </c>
      <c r="U2" s="70" t="e">
        <f aca="false">+'Datos ICP (2)'!AY28</f>
        <v>#DIV/0!</v>
      </c>
      <c r="V2" s="70" t="e">
        <f aca="false">+'Datos ICP (2)'!AZ28</f>
        <v>#DIV/0!</v>
      </c>
      <c r="W2" s="70" t="e">
        <f aca="false">+'Datos ICP (2)'!BA28</f>
        <v>#DIV/0!</v>
      </c>
      <c r="X2" s="70" t="n">
        <f aca="false">+'Datos ICP (2)'!BB28</f>
        <v>0.053453162092505</v>
      </c>
    </row>
    <row r="3" customFormat="false" ht="14.25" hidden="false" customHeight="false" outlineLevel="0" collapsed="false">
      <c r="C3" s="6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9" t="s">
        <v>25</v>
      </c>
      <c r="T3" s="70" t="e">
        <f aca="false">+'Datos ICP (2)'!AX29</f>
        <v>#DIV/0!</v>
      </c>
      <c r="U3" s="70" t="e">
        <f aca="false">+'Datos ICP (2)'!AY29</f>
        <v>#DIV/0!</v>
      </c>
      <c r="V3" s="70" t="e">
        <f aca="false">+'Datos ICP (2)'!AZ29</f>
        <v>#DIV/0!</v>
      </c>
      <c r="W3" s="70" t="e">
        <f aca="false">+'Datos ICP (2)'!BA29</f>
        <v>#DIV/0!</v>
      </c>
      <c r="X3" s="70" t="n">
        <f aca="false">+'Datos ICP (2)'!BB29</f>
        <v>0.0362425240085598</v>
      </c>
    </row>
    <row r="4" customFormat="false" ht="14.25" hidden="false" customHeight="false" outlineLevel="0" collapsed="false">
      <c r="C4" s="64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71" t="s">
        <v>27</v>
      </c>
      <c r="T4" s="70" t="e">
        <f aca="false">+'Datos ICP (2)'!AX30</f>
        <v>#DIV/0!</v>
      </c>
      <c r="U4" s="70" t="e">
        <f aca="false">+'Datos ICP (2)'!AY30</f>
        <v>#DIV/0!</v>
      </c>
      <c r="V4" s="70" t="e">
        <f aca="false">+'Datos ICP (2)'!AZ30</f>
        <v>#DIV/0!</v>
      </c>
      <c r="W4" s="70" t="e">
        <f aca="false">+'Datos ICP (2)'!BA30</f>
        <v>#DIV/0!</v>
      </c>
      <c r="X4" s="70" t="n">
        <f aca="false">+'Datos ICP (2)'!BB30</f>
        <v>0.0350000719910826</v>
      </c>
    </row>
    <row r="5" customFormat="false" ht="14.25" hidden="false" customHeight="false" outlineLevel="0" collapsed="false">
      <c r="B5" s="72"/>
      <c r="C5" s="64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</row>
    <row r="6" customFormat="false" ht="26.25" hidden="false" customHeight="true" outlineLevel="0" collapsed="false">
      <c r="B6" s="72"/>
      <c r="C6" s="66" t="s">
        <v>37</v>
      </c>
      <c r="D6" s="73" t="s">
        <v>38</v>
      </c>
      <c r="E6" s="67" t="s">
        <v>4</v>
      </c>
      <c r="F6" s="67" t="s">
        <v>5</v>
      </c>
      <c r="G6" s="67" t="s">
        <v>6</v>
      </c>
      <c r="H6" s="67" t="s">
        <v>7</v>
      </c>
      <c r="I6" s="67" t="s">
        <v>8</v>
      </c>
      <c r="J6" s="67" t="s">
        <v>9</v>
      </c>
      <c r="K6" s="67" t="s">
        <v>10</v>
      </c>
      <c r="L6" s="67" t="s">
        <v>11</v>
      </c>
      <c r="M6" s="67" t="s">
        <v>12</v>
      </c>
      <c r="N6" s="67" t="s">
        <v>13</v>
      </c>
      <c r="O6" s="67" t="s">
        <v>14</v>
      </c>
      <c r="P6" s="67" t="s">
        <v>15</v>
      </c>
      <c r="Q6" s="68" t="s">
        <v>49</v>
      </c>
      <c r="R6" s="74"/>
      <c r="S6" s="65"/>
      <c r="T6" s="65"/>
      <c r="U6" s="65"/>
      <c r="V6" s="65"/>
      <c r="W6" s="65"/>
      <c r="X6" s="65"/>
    </row>
    <row r="7" customFormat="false" ht="12" hidden="false" customHeight="true" outlineLevel="0" collapsed="false">
      <c r="B7" s="72"/>
      <c r="C7" s="69"/>
      <c r="D7" s="71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4"/>
      <c r="S7" s="65"/>
      <c r="T7" s="65"/>
      <c r="U7" s="65"/>
      <c r="V7" s="65"/>
      <c r="W7" s="65"/>
      <c r="X7" s="65"/>
    </row>
    <row r="8" customFormat="false" ht="15" hidden="true" customHeight="true" outlineLevel="0" collapsed="false">
      <c r="B8" s="72"/>
      <c r="C8" s="69" t="n">
        <v>2013</v>
      </c>
      <c r="D8" s="71" t="s">
        <v>3</v>
      </c>
      <c r="E8" s="70" t="n">
        <v>0.00456860502403746</v>
      </c>
      <c r="F8" s="70" t="n">
        <v>0.00417453266121161</v>
      </c>
      <c r="G8" s="70" t="n">
        <v>0.00402938730701959</v>
      </c>
      <c r="H8" s="70" t="n">
        <v>0.00430136179565985</v>
      </c>
      <c r="I8" s="70" t="n">
        <v>0.00418691139971771</v>
      </c>
      <c r="J8" s="70" t="n">
        <v>0.00417586429228964</v>
      </c>
      <c r="K8" s="70" t="n">
        <v>0.0041935429783752</v>
      </c>
      <c r="L8" s="70" t="n">
        <v>0.00417700990933101</v>
      </c>
      <c r="M8" s="70" t="n">
        <v>0.00417603134934674</v>
      </c>
      <c r="N8" s="70" t="n">
        <v>0.00395880485699199</v>
      </c>
      <c r="O8" s="70" t="n">
        <v>0.00403700978042654</v>
      </c>
      <c r="P8" s="70" t="n">
        <v>0.00363951531406219</v>
      </c>
      <c r="Q8" s="70" t="n">
        <v>0.0514803933405776</v>
      </c>
      <c r="R8" s="65"/>
      <c r="S8" s="65"/>
      <c r="T8" s="65"/>
      <c r="U8" s="65"/>
      <c r="V8" s="65"/>
      <c r="W8" s="65"/>
      <c r="X8" s="65"/>
    </row>
    <row r="9" customFormat="false" ht="15" hidden="true" customHeight="true" outlineLevel="0" collapsed="false">
      <c r="B9" s="72"/>
      <c r="C9" s="69" t="n">
        <v>2014</v>
      </c>
      <c r="D9" s="71" t="s">
        <v>3</v>
      </c>
      <c r="E9" s="70" t="n">
        <v>0.0038751212891769</v>
      </c>
      <c r="F9" s="70" t="n">
        <v>0.00367752678494823</v>
      </c>
      <c r="G9" s="70" t="n">
        <v>0.00343528358155682</v>
      </c>
      <c r="H9" s="70" t="n">
        <v>0.00333784899924461</v>
      </c>
      <c r="I9" s="70" t="n">
        <v>0.0033374356897462</v>
      </c>
      <c r="J9" s="70" t="n">
        <v>0.00333791962829792</v>
      </c>
      <c r="K9" s="70" t="n">
        <v>0.00324302804883782</v>
      </c>
      <c r="L9" s="70" t="n">
        <v>0.00305066918728811</v>
      </c>
      <c r="M9" s="70" t="n">
        <v>0.0027827262259824</v>
      </c>
      <c r="N9" s="70" t="n">
        <v>0.00254477121384836</v>
      </c>
      <c r="O9" s="70" t="n">
        <v>0.00259576167120579</v>
      </c>
      <c r="P9" s="70" t="n">
        <v>0.00242833106649904</v>
      </c>
      <c r="Q9" s="70" t="n">
        <v>0.0387740755105999</v>
      </c>
      <c r="R9" s="65"/>
      <c r="S9" s="65"/>
      <c r="T9" s="65"/>
      <c r="U9" s="65"/>
      <c r="V9" s="65"/>
      <c r="W9" s="65"/>
      <c r="X9" s="65"/>
    </row>
    <row r="10" customFormat="false" ht="15" hidden="true" customHeight="true" outlineLevel="0" collapsed="false">
      <c r="B10" s="72"/>
      <c r="C10" s="69" t="n">
        <v>2015</v>
      </c>
      <c r="D10" s="71" t="s">
        <v>3</v>
      </c>
      <c r="E10" s="70" t="n">
        <v>0.00258912554986668</v>
      </c>
      <c r="F10" s="70" t="n">
        <v>0.00250175993867666</v>
      </c>
      <c r="G10" s="70" t="n">
        <v>0.00250477121103515</v>
      </c>
      <c r="H10" s="70" t="n">
        <v>0.00250495353036917</v>
      </c>
      <c r="I10" s="70" t="n">
        <v>0.00250183901099918</v>
      </c>
      <c r="J10" s="70" t="n">
        <v>0.00250233194669942</v>
      </c>
      <c r="K10" s="70" t="n">
        <v>0.00250124984444025</v>
      </c>
      <c r="L10" s="70" t="n">
        <v>0.00250064024291679</v>
      </c>
      <c r="M10" s="70" t="n">
        <v>0.00250572573977292</v>
      </c>
      <c r="N10" s="70" t="n">
        <v>0.00260270667087625</v>
      </c>
      <c r="O10" s="70" t="n">
        <v>0.00271209739123785</v>
      </c>
      <c r="P10" s="70" t="n">
        <v>0.00270220691786938</v>
      </c>
      <c r="Q10" s="70" t="n">
        <v>0.0315061451814078</v>
      </c>
      <c r="R10" s="65"/>
      <c r="S10" s="65"/>
      <c r="T10" s="65"/>
      <c r="U10" s="65"/>
      <c r="V10" s="65"/>
      <c r="W10" s="65"/>
      <c r="X10" s="65"/>
    </row>
    <row r="11" customFormat="false" ht="15" hidden="false" customHeight="true" outlineLevel="0" collapsed="false">
      <c r="B11" s="72"/>
      <c r="C11" s="69" t="n">
        <v>2016</v>
      </c>
      <c r="D11" s="71" t="s">
        <v>3</v>
      </c>
      <c r="E11" s="70" t="n">
        <v>0.00302217774667121</v>
      </c>
      <c r="F11" s="70" t="n">
        <v>0.00292064570015064</v>
      </c>
      <c r="G11" s="70" t="n">
        <v>0.00292102170160664</v>
      </c>
      <c r="H11" s="70" t="n">
        <v>0.0029201864337197</v>
      </c>
      <c r="I11" s="70" t="n">
        <v>0.00292140107218071</v>
      </c>
      <c r="J11" s="70" t="n">
        <v>0.00292053779189994</v>
      </c>
      <c r="K11" s="70" t="n">
        <v>0.00289846803993268</v>
      </c>
      <c r="L11" s="70" t="n">
        <v>0.00294285760558838</v>
      </c>
      <c r="M11" s="70" t="n">
        <v>0.00292011454894903</v>
      </c>
      <c r="N11" s="70" t="n">
        <v>0.00292090550277028</v>
      </c>
      <c r="O11" s="70" t="n">
        <v>0.00292018807560002</v>
      </c>
      <c r="P11" s="70" t="n">
        <v>0.00294211401821993</v>
      </c>
      <c r="Q11" s="70" t="n">
        <v>0.0363438378902297</v>
      </c>
      <c r="R11" s="65"/>
      <c r="S11" s="65"/>
      <c r="T11" s="65"/>
      <c r="U11" s="65"/>
      <c r="V11" s="65"/>
      <c r="W11" s="65"/>
      <c r="X11" s="65"/>
    </row>
    <row r="12" customFormat="false" ht="15" hidden="false" customHeight="true" outlineLevel="0" collapsed="false">
      <c r="B12" s="72"/>
      <c r="C12" s="69" t="n">
        <v>2017</v>
      </c>
      <c r="D12" s="71" t="s">
        <v>3</v>
      </c>
      <c r="E12" s="70" t="n">
        <v>0.00280310406619276</v>
      </c>
      <c r="F12" s="70" t="n">
        <v>0.00268019937197288</v>
      </c>
      <c r="G12" s="70" t="n">
        <v>0.00261495681570322</v>
      </c>
      <c r="H12" s="70" t="n">
        <v>0.00225491285505464</v>
      </c>
      <c r="I12" s="70" t="n">
        <v>0.00235884042991986</v>
      </c>
      <c r="J12" s="70" t="n">
        <v>0.00208725757609263</v>
      </c>
      <c r="K12" s="70" t="n">
        <v>0.00208692683846153</v>
      </c>
      <c r="L12" s="70" t="n">
        <v>0.00208462236825332</v>
      </c>
      <c r="M12" s="70" t="n">
        <v>0.00208250980763447</v>
      </c>
      <c r="N12" s="70" t="n">
        <v>0.00208824412389173</v>
      </c>
      <c r="O12" s="70" t="n">
        <v>0.00208595808442036</v>
      </c>
      <c r="P12" s="70" t="n">
        <v>0.000873640257343073</v>
      </c>
      <c r="Q12" s="70" t="n">
        <v>0.0142947299484879</v>
      </c>
      <c r="R12" s="65"/>
      <c r="S12" s="65"/>
      <c r="T12" s="65"/>
      <c r="U12" s="65"/>
      <c r="V12" s="65"/>
      <c r="W12" s="65"/>
      <c r="X12" s="65"/>
    </row>
    <row r="13" customFormat="false" ht="15" hidden="false" customHeight="true" outlineLevel="0" collapsed="false">
      <c r="B13" s="72"/>
      <c r="C13" s="69"/>
      <c r="D13" s="71" t="s">
        <v>25</v>
      </c>
      <c r="E13" s="70" t="n">
        <v>0.00206666781058754</v>
      </c>
      <c r="F13" s="70" t="n">
        <v>0.00169966688838048</v>
      </c>
      <c r="G13" s="70" t="n">
        <v>0.00166238659132904</v>
      </c>
      <c r="H13" s="70" t="n">
        <v>0.00153128788688361</v>
      </c>
      <c r="I13" s="70" t="n">
        <v>0.00153128788688361</v>
      </c>
      <c r="J13" s="70" t="n">
        <v>0.00127365349297204</v>
      </c>
      <c r="K13" s="70" t="n">
        <v>0.00112425218934613</v>
      </c>
      <c r="L13" s="70" t="n">
        <v>0.00108632888350212</v>
      </c>
      <c r="M13" s="70" t="n">
        <v>0.00106874552388647</v>
      </c>
      <c r="N13" s="70" t="n">
        <v>0.0010556808193083</v>
      </c>
      <c r="O13" s="70" t="n">
        <v>0.00109330553318499</v>
      </c>
      <c r="P13" s="70" t="n">
        <v>0.00109957372706403</v>
      </c>
      <c r="Q13" s="70" t="n">
        <v>0.0142947299484879</v>
      </c>
      <c r="R13" s="65"/>
      <c r="S13" s="65"/>
      <c r="T13" s="65"/>
      <c r="U13" s="65"/>
      <c r="V13" s="65"/>
      <c r="W13" s="65"/>
      <c r="X13" s="65"/>
    </row>
    <row r="14" customFormat="false" ht="15" hidden="false" customHeight="true" outlineLevel="0" collapsed="false">
      <c r="B14" s="72"/>
      <c r="C14" s="69"/>
      <c r="D14" s="71" t="s">
        <v>27</v>
      </c>
      <c r="E14" s="70" t="n">
        <v>0.00285237409837658</v>
      </c>
      <c r="F14" s="70" t="n">
        <v>0.00193066575335291</v>
      </c>
      <c r="G14" s="70" t="n">
        <v>0.00229812871495633</v>
      </c>
      <c r="H14" s="70" t="n">
        <v>0.00185174166857505</v>
      </c>
      <c r="I14" s="70" t="n">
        <v>0.00137601433028738</v>
      </c>
      <c r="J14" s="70" t="n">
        <v>0.0066078033528012</v>
      </c>
      <c r="K14" s="70" t="n">
        <v>0.00309244335637744</v>
      </c>
      <c r="L14" s="70" t="n">
        <v>0.00293915563469253</v>
      </c>
      <c r="M14" s="70" t="n">
        <v>0.00243367787652216</v>
      </c>
      <c r="N14" s="70" t="n">
        <v>0.00203758067773253</v>
      </c>
      <c r="O14" s="70" t="n">
        <v>0.00244565310037403</v>
      </c>
      <c r="P14" s="70" t="n">
        <v>0.00237550212098284</v>
      </c>
      <c r="Q14" s="70" t="n">
        <v>0.0301253840431299</v>
      </c>
      <c r="R14" s="65"/>
      <c r="S14" s="65"/>
      <c r="T14" s="65"/>
      <c r="U14" s="65"/>
      <c r="V14" s="65"/>
      <c r="W14" s="65"/>
      <c r="X14" s="65"/>
    </row>
    <row r="15" customFormat="false" ht="15" hidden="false" customHeight="true" outlineLevel="0" collapsed="false">
      <c r="B15" s="72"/>
      <c r="C15" s="69" t="n">
        <v>2018</v>
      </c>
      <c r="D15" s="71" t="s">
        <v>3</v>
      </c>
      <c r="E15" s="70" t="n">
        <v>0.00329431344320307</v>
      </c>
      <c r="F15" s="70" t="n">
        <v>0.0020809275906505</v>
      </c>
      <c r="G15" s="70" t="n">
        <v>0.00208541509050955</v>
      </c>
      <c r="H15" s="70" t="n">
        <v>0.00207810036525014</v>
      </c>
      <c r="I15" s="70" t="n">
        <v>0.00207125225755497</v>
      </c>
      <c r="J15" s="70" t="n">
        <v>0.00208774934509837</v>
      </c>
      <c r="K15" s="70" t="n">
        <v>0.00208481942639968</v>
      </c>
      <c r="L15" s="70" t="n">
        <v>0.00207620769367104</v>
      </c>
      <c r="M15" s="70" t="n">
        <v>0.00204850697470471</v>
      </c>
      <c r="N15" s="70" t="n">
        <v>0.00220232016640697</v>
      </c>
      <c r="O15" s="70" t="n">
        <v>0.00229299572149211</v>
      </c>
      <c r="P15" s="70" t="n">
        <v>0.00229128928489532</v>
      </c>
      <c r="Q15" s="70" t="n">
        <v>0.0274301662224075</v>
      </c>
      <c r="R15" s="65"/>
      <c r="S15" s="65"/>
      <c r="T15" s="65"/>
      <c r="U15" s="65"/>
      <c r="V15" s="65"/>
      <c r="W15" s="65"/>
      <c r="X15" s="65"/>
    </row>
    <row r="16" customFormat="false" ht="15" hidden="false" customHeight="true" outlineLevel="0" collapsed="false">
      <c r="B16" s="72"/>
      <c r="C16" s="69"/>
      <c r="D16" s="71" t="s">
        <v>25</v>
      </c>
      <c r="E16" s="70" t="n">
        <v>0.00115156869187469</v>
      </c>
      <c r="F16" s="70" t="n">
        <v>0.00111383441741315</v>
      </c>
      <c r="G16" s="70" t="n">
        <v>0.0010695929665623</v>
      </c>
      <c r="H16" s="70" t="n">
        <v>0.00103307819838738</v>
      </c>
      <c r="I16" s="70" t="n">
        <v>0.00103307819838738</v>
      </c>
      <c r="J16" s="70" t="n">
        <v>0.0010162455429219</v>
      </c>
      <c r="K16" s="70" t="n">
        <v>0.00101563699319824</v>
      </c>
      <c r="L16" s="70" t="n">
        <v>0.00101844932273222</v>
      </c>
      <c r="M16" s="70" t="n">
        <v>0.00100933132248038</v>
      </c>
      <c r="N16" s="70" t="n">
        <v>0.00107535708180741</v>
      </c>
      <c r="O16" s="70" t="n">
        <v>0.00102533230582402</v>
      </c>
      <c r="P16" s="70" t="n">
        <v>0.00134728624527007</v>
      </c>
      <c r="Q16" s="70" t="n">
        <v>0.0119538751901545</v>
      </c>
      <c r="R16" s="65"/>
      <c r="S16" s="65"/>
      <c r="T16" s="65"/>
      <c r="U16" s="65"/>
      <c r="V16" s="65"/>
      <c r="W16" s="65"/>
      <c r="X16" s="65"/>
    </row>
    <row r="17" customFormat="false" ht="15" hidden="false" customHeight="true" outlineLevel="0" collapsed="false">
      <c r="B17" s="72"/>
      <c r="C17" s="69"/>
      <c r="D17" s="71" t="s">
        <v>27</v>
      </c>
      <c r="E17" s="70" t="n">
        <v>0.00252877718275678</v>
      </c>
      <c r="F17" s="70" t="n">
        <v>0.00295017491063698</v>
      </c>
      <c r="G17" s="70" t="n">
        <v>0.00241976544111009</v>
      </c>
      <c r="H17" s="70" t="n">
        <v>0.00223151228944873</v>
      </c>
      <c r="I17" s="70" t="n">
        <v>0.00233832742465965</v>
      </c>
      <c r="J17" s="70" t="n">
        <v>0.00244188267469525</v>
      </c>
      <c r="K17" s="70" t="n">
        <v>0.00254643499228274</v>
      </c>
      <c r="L17" s="70" t="n">
        <v>0.00228410945976197</v>
      </c>
      <c r="M17" s="70" t="n">
        <v>0.00236085461460989</v>
      </c>
      <c r="N17" s="70" t="n">
        <v>0.00258246214480766</v>
      </c>
      <c r="O17" s="70" t="n">
        <v>0.00262082140028452</v>
      </c>
      <c r="P17" s="70" t="n">
        <v>0.00202065550538094</v>
      </c>
      <c r="Q17" s="70" t="n">
        <v>0.0274088164209876</v>
      </c>
      <c r="R17" s="65"/>
      <c r="S17" s="65"/>
      <c r="T17" s="65"/>
      <c r="U17" s="65"/>
      <c r="V17" s="65"/>
      <c r="W17" s="65"/>
      <c r="X17" s="65"/>
    </row>
    <row r="18" customFormat="false" ht="15" hidden="false" customHeight="true" outlineLevel="0" collapsed="false">
      <c r="C18" s="69" t="n">
        <v>2019</v>
      </c>
      <c r="D18" s="71" t="s">
        <v>3</v>
      </c>
      <c r="E18" s="70" t="n">
        <v>0.00237188602430805</v>
      </c>
      <c r="F18" s="70" t="n">
        <v>0.00225286279810244</v>
      </c>
      <c r="G18" s="70" t="n">
        <v>0.00258331544634016</v>
      </c>
      <c r="H18" s="70" t="n">
        <v>0.00250042980360954</v>
      </c>
      <c r="I18" s="70" t="n">
        <v>0.00258587170301361</v>
      </c>
      <c r="J18" s="70" t="n">
        <v>0.00222096474534483</v>
      </c>
      <c r="K18" s="70" t="n">
        <v>0.00214680842042658</v>
      </c>
      <c r="L18" s="70" t="n">
        <v>0.00215506276406074</v>
      </c>
      <c r="M18" s="70" t="n">
        <v>0.00172183908660228</v>
      </c>
      <c r="N18" s="70" t="n">
        <v>0.00167150623880685</v>
      </c>
      <c r="O18" s="70" t="n">
        <v>0.00142138128563651</v>
      </c>
      <c r="P18" s="70" t="n">
        <v>0.00148329051167395</v>
      </c>
      <c r="Q18" s="70" t="n">
        <v>0.0254862524454487</v>
      </c>
      <c r="R18" s="65"/>
      <c r="S18" s="65"/>
      <c r="T18" s="65"/>
      <c r="U18" s="65"/>
      <c r="V18" s="65"/>
      <c r="W18" s="65"/>
      <c r="X18" s="65"/>
    </row>
    <row r="19" customFormat="false" ht="15" hidden="false" customHeight="true" outlineLevel="0" collapsed="false">
      <c r="C19" s="69"/>
      <c r="D19" s="71" t="s">
        <v>25</v>
      </c>
      <c r="E19" s="70" t="n">
        <v>0.00132101500258492</v>
      </c>
      <c r="F19" s="70" t="n">
        <v>0.00139557333557535</v>
      </c>
      <c r="G19" s="70" t="n">
        <v>0.00140221374318612</v>
      </c>
      <c r="H19" s="70" t="n">
        <v>0.0014166869166139</v>
      </c>
      <c r="I19" s="70" t="n">
        <v>0.001323276436851</v>
      </c>
      <c r="J19" s="70" t="n">
        <v>0.00119907123395202</v>
      </c>
      <c r="K19" s="70" t="n">
        <v>0.00100369403718635</v>
      </c>
      <c r="L19" s="70" t="n">
        <v>0.000930980550613598</v>
      </c>
      <c r="M19" s="70" t="n">
        <v>0.00106835787484783</v>
      </c>
      <c r="N19" s="70" t="n">
        <v>0.000629278093338842</v>
      </c>
      <c r="O19" s="70" t="n">
        <v>0.000691726317945118</v>
      </c>
      <c r="P19" s="70" t="n">
        <v>0.000600412819311486</v>
      </c>
      <c r="Q19" s="70" t="n">
        <v>0.0132083855934591</v>
      </c>
      <c r="R19" s="65"/>
      <c r="S19" s="65"/>
      <c r="T19" s="65"/>
      <c r="U19" s="65"/>
      <c r="V19" s="65"/>
      <c r="W19" s="65"/>
      <c r="X19" s="65"/>
    </row>
    <row r="20" customFormat="false" ht="15" hidden="false" customHeight="true" outlineLevel="0" collapsed="false">
      <c r="C20" s="69"/>
      <c r="D20" s="71" t="s">
        <v>27</v>
      </c>
      <c r="E20" s="70" t="n">
        <v>0.00222551750762521</v>
      </c>
      <c r="F20" s="70" t="n">
        <v>0.00206529100140256</v>
      </c>
      <c r="G20" s="70" t="n">
        <v>0.0021430318366078</v>
      </c>
      <c r="H20" s="70" t="n">
        <v>0.00247440577263092</v>
      </c>
      <c r="I20" s="70" t="n">
        <v>0.00232336379446687</v>
      </c>
      <c r="J20" s="70" t="n">
        <v>0.00252486549014752</v>
      </c>
      <c r="K20" s="70" t="n">
        <v>0.00205402733246139</v>
      </c>
      <c r="L20" s="70" t="n">
        <v>0.00189282961040565</v>
      </c>
      <c r="M20" s="70" t="n">
        <v>0.00179307289037123</v>
      </c>
      <c r="N20" s="70" t="n">
        <v>0.00252361391500494</v>
      </c>
      <c r="O20" s="70" t="n">
        <v>0.00242162572062998</v>
      </c>
      <c r="P20" s="70" t="n">
        <v>0.00238082218493565</v>
      </c>
      <c r="Q20" s="70" t="n">
        <v>0.0275442373623482</v>
      </c>
      <c r="R20" s="65"/>
      <c r="S20" s="65"/>
      <c r="T20" s="65"/>
      <c r="U20" s="65"/>
      <c r="V20" s="65"/>
      <c r="W20" s="65"/>
      <c r="X20" s="65"/>
    </row>
    <row r="21" customFormat="false" ht="15" hidden="false" customHeight="true" outlineLevel="0" collapsed="false">
      <c r="C21" s="69" t="n">
        <v>2020</v>
      </c>
      <c r="D21" s="71" t="s">
        <v>3</v>
      </c>
      <c r="E21" s="70" t="n">
        <v>0.00165580849974623</v>
      </c>
      <c r="F21" s="70" t="n">
        <v>0.00137985861415579</v>
      </c>
      <c r="G21" s="70" t="n">
        <v>0.00113370544519409</v>
      </c>
      <c r="H21" s="70" t="n">
        <v>0.000456389184158024</v>
      </c>
      <c r="I21" s="70" t="n">
        <v>0.000395568295967541</v>
      </c>
      <c r="J21" s="70" t="n">
        <v>0.000395059623532701</v>
      </c>
      <c r="K21" s="70" t="n">
        <v>0.000456348713799182</v>
      </c>
      <c r="L21" s="70" t="n">
        <v>0.000391731818918606</v>
      </c>
      <c r="M21" s="70" t="n">
        <v>0.000381023750656295</v>
      </c>
      <c r="N21" s="70" t="n">
        <f aca="false">+'Datos ICP (2)'!AN67</f>
        <v>0.000372438103266815</v>
      </c>
      <c r="O21" s="70" t="n">
        <f aca="false">+'Datos ICP (2)'!AO67</f>
        <v>0.00032958520252091</v>
      </c>
      <c r="P21" s="70" t="n">
        <f aca="false">+'Datos ICP (2)'!AP67</f>
        <v>0.000390100308495622</v>
      </c>
      <c r="Q21" s="70" t="n">
        <f aca="false">+'Datos ICP (2)'!AQ67</f>
        <v>0.00776392567873274</v>
      </c>
      <c r="R21" s="65"/>
      <c r="S21" s="65"/>
      <c r="T21" s="65"/>
      <c r="U21" s="65"/>
      <c r="V21" s="65"/>
      <c r="W21" s="65"/>
      <c r="X21" s="65"/>
    </row>
    <row r="22" customFormat="false" ht="15" hidden="false" customHeight="true" outlineLevel="0" collapsed="false">
      <c r="C22" s="69"/>
      <c r="D22" s="71" t="s">
        <v>25</v>
      </c>
      <c r="E22" s="70" t="n">
        <v>0.000494048438913942</v>
      </c>
      <c r="F22" s="70" t="n">
        <v>0.000492891285649559</v>
      </c>
      <c r="G22" s="70" t="n">
        <v>0.000917982620611394</v>
      </c>
      <c r="H22" s="70" t="n">
        <v>0.00220008663316351</v>
      </c>
      <c r="I22" s="70" t="n">
        <v>0.000310210869152602</v>
      </c>
      <c r="J22" s="70" t="n">
        <v>0.000100108302503399</v>
      </c>
      <c r="K22" s="70" t="n">
        <v>8.7419122293085E-005</v>
      </c>
      <c r="L22" s="70" t="n">
        <v>9.78666425215953E-005</v>
      </c>
      <c r="M22" s="70" t="n">
        <v>7.08706922130098E-005</v>
      </c>
      <c r="N22" s="70" t="n">
        <f aca="false">+'Datos ICP (2)'!AN68</f>
        <v>6.51477379625694E-005</v>
      </c>
      <c r="O22" s="70" t="n">
        <f aca="false">+'Datos ICP (2)'!AO68</f>
        <v>6.09358900838242E-005</v>
      </c>
      <c r="P22" s="70" t="n">
        <f aca="false">+'Datos ICP (2)'!AP68</f>
        <v>5.86708038472924E-005</v>
      </c>
      <c r="Q22" s="70" t="n">
        <f aca="false">+'Datos ICP (2)'!AQ68</f>
        <v>0.00501687943009377</v>
      </c>
      <c r="R22" s="65"/>
      <c r="S22" s="65"/>
      <c r="T22" s="65"/>
      <c r="U22" s="65"/>
      <c r="V22" s="65"/>
      <c r="W22" s="65"/>
      <c r="X22" s="65"/>
    </row>
    <row r="23" customFormat="false" ht="15" hidden="false" customHeight="true" outlineLevel="0" collapsed="false">
      <c r="C23" s="69"/>
      <c r="D23" s="71" t="s">
        <v>27</v>
      </c>
      <c r="E23" s="70" t="n">
        <v>0.00111200640075974</v>
      </c>
      <c r="F23" s="70" t="n">
        <v>0.00141310978341354</v>
      </c>
      <c r="G23" s="70" t="n">
        <v>0.00143903656693886</v>
      </c>
      <c r="H23" s="70" t="n">
        <v>0.0013258873613744</v>
      </c>
      <c r="I23" s="70" t="n">
        <v>0.00110253064942024</v>
      </c>
      <c r="J23" s="70" t="n">
        <v>0.00113100752291984</v>
      </c>
      <c r="K23" s="70" t="n">
        <v>0.000621832322368522</v>
      </c>
      <c r="L23" s="70" t="n">
        <v>0.000552816992443992</v>
      </c>
      <c r="M23" s="70" t="n">
        <v>0.000937012513125168</v>
      </c>
      <c r="N23" s="70" t="n">
        <f aca="false">+'Datos ICP (2)'!AN69</f>
        <v>0.00123616150091294</v>
      </c>
      <c r="O23" s="70" t="n">
        <f aca="false">+'Datos ICP (2)'!AO69</f>
        <v>0.00105854315799925</v>
      </c>
      <c r="P23" s="70" t="n">
        <f aca="false">+'Datos ICP (2)'!AP69</f>
        <v>0.00515367877555816</v>
      </c>
      <c r="Q23" s="70" t="n">
        <f aca="false">+'Datos ICP (2)'!AQ69</f>
        <v>0.0175413536039311</v>
      </c>
      <c r="R23" s="65"/>
      <c r="S23" s="65"/>
      <c r="T23" s="65"/>
      <c r="U23" s="65"/>
      <c r="V23" s="65"/>
      <c r="W23" s="65"/>
      <c r="X23" s="65"/>
    </row>
    <row r="24" customFormat="false" ht="15" hidden="false" customHeight="true" outlineLevel="0" collapsed="false">
      <c r="C24" s="69" t="n">
        <v>2021</v>
      </c>
      <c r="D24" s="71" t="s">
        <v>3</v>
      </c>
      <c r="E24" s="70" t="n">
        <f aca="false">+'Datos ICP (2)'!AE70</f>
        <v>0.000271909818684524</v>
      </c>
      <c r="F24" s="70" t="n">
        <f aca="false">+'Datos ICP (2)'!AF70</f>
        <v>0.000239173450272023</v>
      </c>
      <c r="G24" s="70" t="n">
        <f aca="false">+'Datos ICP (2)'!AG70</f>
        <v>0.000259130396311313</v>
      </c>
      <c r="H24" s="70" t="n">
        <f aca="false">+'Datos ICP (2)'!AH70</f>
        <v>0.000294342205723552</v>
      </c>
      <c r="I24" s="70" t="n">
        <f aca="false">+'Datos ICP (2)'!AI70</f>
        <v>0.000242668745581653</v>
      </c>
      <c r="J24" s="70" t="n">
        <f aca="false">+'Datos ICP (2)'!AJ70</f>
        <v>0.000272607187777885</v>
      </c>
      <c r="K24" s="70" t="n">
        <f aca="false">+'Datos ICP (2)'!AK70</f>
        <v>0.000501923514011571</v>
      </c>
      <c r="L24" s="70" t="n">
        <f aca="false">+'Datos ICP (2)'!AL70</f>
        <v>0.00062893015614951</v>
      </c>
      <c r="M24" s="70" t="n">
        <f aca="false">+'Datos ICP (2)'!AM70</f>
        <v>0.00124761014863051</v>
      </c>
      <c r="N24" s="70" t="n">
        <f aca="false">+'Datos ICP (2)'!AN70</f>
        <v>0.00207168546072567</v>
      </c>
      <c r="O24" s="70" t="n">
        <f aca="false">+'Datos ICP (2)'!AO70</f>
        <v>0.00214125696183509</v>
      </c>
      <c r="P24" s="70" t="n">
        <f aca="false">+'Datos ICP (2)'!AP70</f>
        <v>0.0031851611422884</v>
      </c>
      <c r="Q24" s="70" t="n">
        <f aca="false">+'Datos ICP (2)'!AQ70</f>
        <v>0.0114102002015084</v>
      </c>
      <c r="R24" s="65"/>
      <c r="S24" s="65"/>
      <c r="T24" s="65"/>
      <c r="U24" s="65"/>
      <c r="V24" s="65"/>
      <c r="W24" s="65"/>
      <c r="X24" s="65"/>
    </row>
    <row r="25" customFormat="false" ht="15" hidden="false" customHeight="true" outlineLevel="0" collapsed="false">
      <c r="C25" s="69"/>
      <c r="D25" s="71" t="s">
        <v>25</v>
      </c>
      <c r="E25" s="70" t="n">
        <f aca="false">+'Datos ICP (2)'!AE71</f>
        <v>5.0167891265519E-005</v>
      </c>
      <c r="F25" s="70" t="n">
        <f aca="false">+'Datos ICP (2)'!AF71</f>
        <v>5.63260886863156E-005</v>
      </c>
      <c r="G25" s="70" t="n">
        <f aca="false">+'Datos ICP (2)'!AG71</f>
        <v>5.22922002018035E-005</v>
      </c>
      <c r="H25" s="70" t="n">
        <f aca="false">+'Datos ICP (2)'!AH71</f>
        <v>6.6256868343384E-005</v>
      </c>
      <c r="I25" s="70" t="n">
        <f aca="false">+'Datos ICP (2)'!AI71</f>
        <v>5.81414592230296E-005</v>
      </c>
      <c r="J25" s="70" t="n">
        <f aca="false">+'Datos ICP (2)'!AJ71</f>
        <v>5.99332972144318E-005</v>
      </c>
      <c r="K25" s="70" t="n">
        <f aca="false">+'Datos ICP (2)'!AK71</f>
        <v>5.98889646373815E-005</v>
      </c>
      <c r="L25" s="70" t="n">
        <f aca="false">+'Datos ICP (2)'!AL71</f>
        <v>6.00429551559976E-005</v>
      </c>
      <c r="M25" s="70" t="n">
        <f aca="false">+'Datos ICP (2)'!AM71</f>
        <v>-0.000117767035173966</v>
      </c>
      <c r="N25" s="70" t="n">
        <f aca="false">+'Datos ICP (2)'!AN71</f>
        <v>0.00098934462740187</v>
      </c>
      <c r="O25" s="70" t="n">
        <f aca="false">+'Datos ICP (2)'!AO71</f>
        <v>0.00125922502391873</v>
      </c>
      <c r="P25" s="70" t="n">
        <f aca="false">+'Datos ICP (2)'!AP71</f>
        <v>0.00176428278787249</v>
      </c>
      <c r="Q25" s="70" t="n">
        <f aca="false">+'Datos ICP (2)'!AQ71</f>
        <v>0.00446245101879761</v>
      </c>
      <c r="R25" s="65"/>
      <c r="S25" s="65"/>
      <c r="T25" s="65"/>
      <c r="U25" s="65"/>
      <c r="V25" s="65"/>
      <c r="W25" s="65"/>
      <c r="X25" s="65"/>
    </row>
    <row r="26" customFormat="false" ht="15" hidden="false" customHeight="true" outlineLevel="0" collapsed="false">
      <c r="C26" s="69"/>
      <c r="D26" s="71" t="s">
        <v>27</v>
      </c>
      <c r="E26" s="70" t="n">
        <f aca="false">+'Datos ICP (2)'!AE72</f>
        <v>0.000955810340599829</v>
      </c>
      <c r="F26" s="70" t="n">
        <f aca="false">+'Datos ICP (2)'!AF72</f>
        <v>0.00113502764941296</v>
      </c>
      <c r="G26" s="70" t="n">
        <f aca="false">+'Datos ICP (2)'!AG72</f>
        <v>0.000478295676215583</v>
      </c>
      <c r="H26" s="70" t="n">
        <f aca="false">+'Datos ICP (2)'!AH72</f>
        <v>0.000224799810013998</v>
      </c>
      <c r="I26" s="70" t="n">
        <f aca="false">+'Datos ICP (2)'!AI72</f>
        <v>0.00106179285964988</v>
      </c>
      <c r="J26" s="70" t="n">
        <f aca="false">+'Datos ICP (2)'!AJ72</f>
        <v>0.00126786440807636</v>
      </c>
      <c r="K26" s="70" t="n">
        <f aca="false">+'Datos ICP (2)'!AK72</f>
        <v>0.00127320500879731</v>
      </c>
      <c r="L26" s="70" t="n">
        <f aca="false">+'Datos ICP (2)'!AL72</f>
        <v>0.00109124596978821</v>
      </c>
      <c r="M26" s="70" t="n">
        <f aca="false">+'Datos ICP (2)'!AM72</f>
        <v>0.000909528660739678</v>
      </c>
      <c r="N26" s="70" t="n">
        <f aca="false">+'Datos ICP (2)'!AN72</f>
        <v>0.00078964174284528</v>
      </c>
      <c r="O26" s="70" t="n">
        <f aca="false">+'Datos ICP (2)'!AO72</f>
        <v>0.000442452516850933</v>
      </c>
      <c r="P26" s="70" t="n">
        <f aca="false">+'Datos ICP (2)'!AP72</f>
        <v>0.00160834900857842</v>
      </c>
      <c r="Q26" s="70" t="n">
        <f aca="false">+'Datos ICP (2)'!AQ72</f>
        <v>0.0114631706445847</v>
      </c>
      <c r="R26" s="65"/>
      <c r="S26" s="65"/>
      <c r="T26" s="65"/>
      <c r="U26" s="65"/>
      <c r="V26" s="65"/>
      <c r="W26" s="65"/>
      <c r="X26" s="65"/>
    </row>
    <row r="27" customFormat="false" ht="15" hidden="false" customHeight="true" outlineLevel="0" collapsed="false">
      <c r="C27" s="69" t="n">
        <v>2022</v>
      </c>
      <c r="D27" s="71" t="s">
        <v>3</v>
      </c>
      <c r="E27" s="70" t="n">
        <f aca="false">+'Datos ICP (2)'!AE73</f>
        <v>0.00343555418239894</v>
      </c>
      <c r="F27" s="70" t="n">
        <f aca="false">+'Datos ICP (2)'!AF73</f>
        <v>0.0042862298052635</v>
      </c>
      <c r="G27" s="70" t="n">
        <f aca="false">+'Datos ICP (2)'!AG73</f>
        <v>0.00483147984427568</v>
      </c>
      <c r="H27" s="70" t="n">
        <f aca="false">+'Datos ICP (2)'!AH73</f>
        <v>0.00545243589644651</v>
      </c>
      <c r="I27" s="70" t="n">
        <f aca="false">+'Datos ICP (2)'!AI73</f>
        <v>0.00711313258265056</v>
      </c>
      <c r="J27" s="70" t="n">
        <f aca="false">+'Datos ICP (2)'!AJ73</f>
        <v>0.00735963642867588</v>
      </c>
      <c r="K27" s="70" t="n">
        <f aca="false">+'Datos ICP (2)'!AK73</f>
        <v>0.00758934606328521</v>
      </c>
      <c r="L27" s="70" t="n">
        <f aca="false">+'Datos ICP (2)'!AL73</f>
        <v>0.00897594167289917</v>
      </c>
      <c r="M27" s="70" t="n">
        <f aca="false">+'Datos ICP (2)'!AM73</f>
        <v>0.00879983646672877</v>
      </c>
      <c r="N27" s="70" t="n">
        <f aca="false">+'Datos ICP (2)'!AN73</f>
        <v>0.00860306861798099</v>
      </c>
      <c r="O27" s="70" t="n">
        <f aca="false">+'Datos ICP (2)'!AO73</f>
        <v>0.0103612389794803</v>
      </c>
      <c r="P27" s="70" t="n">
        <f aca="false">+'Datos ICP (2)'!AP73</f>
        <v>0.00941665122241275</v>
      </c>
      <c r="Q27" s="70" t="n">
        <f aca="false">+'Datos ICP (2)'!AQ73</f>
        <v>0.0896859911813484</v>
      </c>
      <c r="R27" s="65"/>
      <c r="S27" s="65"/>
      <c r="T27" s="65"/>
      <c r="U27" s="65"/>
      <c r="V27" s="65"/>
      <c r="W27" s="65"/>
      <c r="X27" s="65"/>
    </row>
    <row r="28" customFormat="false" ht="15" hidden="false" customHeight="true" outlineLevel="0" collapsed="false">
      <c r="C28" s="69"/>
      <c r="D28" s="71" t="s">
        <v>25</v>
      </c>
      <c r="E28" s="70" t="n">
        <f aca="false">+'Datos ICP (2)'!AE74</f>
        <v>0.00248871057809198</v>
      </c>
      <c r="F28" s="70" t="n">
        <f aca="false">+'Datos ICP (2)'!AF74</f>
        <v>0.00353608384855779</v>
      </c>
      <c r="G28" s="70" t="n">
        <f aca="false">+'Datos ICP (2)'!AG74</f>
        <v>0.00367026449772572</v>
      </c>
      <c r="H28" s="70" t="n">
        <f aca="false">+'Datos ICP (2)'!AH74</f>
        <v>0.00457161325790945</v>
      </c>
      <c r="I28" s="70" t="n">
        <f aca="false">+'Datos ICP (2)'!AI74</f>
        <v>0.00533280008235847</v>
      </c>
      <c r="J28" s="70" t="n">
        <f aca="false">+'Datos ICP (2)'!AJ74</f>
        <v>0.00588359145110817</v>
      </c>
      <c r="K28" s="70" t="n">
        <f aca="false">+'Datos ICP (2)'!AK74</f>
        <v>0.00630180669104238</v>
      </c>
      <c r="L28" s="70" t="n">
        <f aca="false">+'Datos ICP (2)'!AL74</f>
        <v>0.00680366648257052</v>
      </c>
      <c r="M28" s="70" t="n">
        <f aca="false">+'Datos ICP (2)'!AM74</f>
        <v>0.00733574547403659</v>
      </c>
      <c r="N28" s="70" t="n">
        <f aca="false">+'Datos ICP (2)'!AN74</f>
        <v>0.00775955656318685</v>
      </c>
      <c r="O28" s="70" t="n">
        <f aca="false">+'Datos ICP (2)'!AO74</f>
        <v>0.00794709517845488</v>
      </c>
      <c r="P28" s="70" t="n">
        <f aca="false">+'Datos ICP (2)'!AP74</f>
        <v>0.00792817195118678</v>
      </c>
      <c r="Q28" s="70" t="n">
        <f aca="false">+'Datos ICP (2)'!AQ74</f>
        <v>0.0727164295690508</v>
      </c>
      <c r="R28" s="65"/>
      <c r="S28" s="65"/>
      <c r="T28" s="65"/>
      <c r="U28" s="65"/>
      <c r="V28" s="65"/>
      <c r="W28" s="65"/>
      <c r="X28" s="65"/>
    </row>
    <row r="29" customFormat="false" ht="15" hidden="false" customHeight="true" outlineLevel="0" collapsed="false">
      <c r="C29" s="69"/>
      <c r="D29" s="71" t="s">
        <v>27</v>
      </c>
      <c r="E29" s="70" t="n">
        <f aca="false">+'Datos ICP (2)'!AE75</f>
        <v>0.00231545829619967</v>
      </c>
      <c r="F29" s="70" t="n">
        <f aca="false">+'Datos ICP (2)'!AF75</f>
        <v>0.00361957331538495</v>
      </c>
      <c r="G29" s="70" t="n">
        <f aca="false">+'Datos ICP (2)'!AG75</f>
        <v>0.00360398657377771</v>
      </c>
      <c r="H29" s="70" t="n">
        <f aca="false">+'Datos ICP (2)'!AH75</f>
        <v>0.00544933253167845</v>
      </c>
      <c r="I29" s="70" t="n">
        <f aca="false">+'Datos ICP (2)'!AI75</f>
        <v>0.00708717654723077</v>
      </c>
      <c r="J29" s="70" t="n">
        <f aca="false">+'Datos ICP (2)'!AJ75</f>
        <v>0.00685648756260049</v>
      </c>
      <c r="K29" s="70" t="n">
        <f aca="false">+'Datos ICP (2)'!AK75</f>
        <v>0.00666084904963216</v>
      </c>
      <c r="L29" s="70" t="n">
        <f aca="false">+'Datos ICP (2)'!AL75</f>
        <v>0.00742667220312669</v>
      </c>
      <c r="M29" s="70" t="n">
        <f aca="false">+'Datos ICP (2)'!AM75</f>
        <v>0.00802014867386713</v>
      </c>
      <c r="N29" s="70" t="n">
        <f aca="false">+'Datos ICP (2)'!AN75</f>
        <v>0.00853283759570286</v>
      </c>
      <c r="O29" s="70" t="n">
        <f aca="false">+'Datos ICP (2)'!AO75</f>
        <v>0.00901575637091549</v>
      </c>
      <c r="P29" s="70" t="n">
        <f aca="false">+'Datos ICP (2)'!AP75</f>
        <v>0.00959515733625338</v>
      </c>
      <c r="Q29" s="70" t="n">
        <f aca="false">+'Datos ICP (2)'!AQ75</f>
        <v>0.0820816448580206</v>
      </c>
      <c r="R29" s="65"/>
      <c r="S29" s="65"/>
      <c r="T29" s="65"/>
      <c r="U29" s="65"/>
      <c r="V29" s="65"/>
      <c r="W29" s="65"/>
      <c r="X29" s="65"/>
    </row>
    <row r="30" customFormat="false" ht="15" hidden="false" customHeight="true" outlineLevel="0" collapsed="false">
      <c r="C30" s="69" t="n">
        <v>2023</v>
      </c>
      <c r="D30" s="71" t="s">
        <v>3</v>
      </c>
      <c r="E30" s="70" t="n">
        <f aca="false">+'Datos ICP (2)'!AE76</f>
        <v>0.0100469572011002</v>
      </c>
      <c r="F30" s="70" t="n">
        <f aca="false">+'Datos ICP (2)'!AF76</f>
        <v>0.0087853587137845</v>
      </c>
      <c r="G30" s="70" t="n">
        <f aca="false">+'Datos ICP (2)'!AG76</f>
        <v>0.00973181777442234</v>
      </c>
      <c r="H30" s="70" t="n">
        <f aca="false">+'Datos ICP (2)'!AH76</f>
        <v>0.00878524391320701</v>
      </c>
      <c r="I30" s="70" t="n">
        <f aca="false">+'Datos ICP (2)'!AI76</f>
        <v>0.0103616631363057</v>
      </c>
      <c r="J30" s="70" t="n">
        <f aca="false">+'Datos ICP (2)'!AJ76</f>
        <v>0.00941507013085063</v>
      </c>
      <c r="K30" s="70" t="n">
        <f aca="false">+'Datos ICP (2)'!AK76</f>
        <v>0.00973152922417442</v>
      </c>
      <c r="L30" s="70" t="n">
        <f aca="false">+'Datos ICP (2)'!AL76</f>
        <v>0.00886337395135217</v>
      </c>
      <c r="M30" s="70" t="n">
        <f aca="false">+'Datos ICP (2)'!AM76</f>
        <v>0.00779534514134506</v>
      </c>
      <c r="N30" s="70" t="n">
        <f aca="false">+'Datos ICP (2)'!AN76</f>
        <v>0.00846015350417906</v>
      </c>
      <c r="O30" s="70" t="n">
        <f aca="false">+'Datos ICP (2)'!AO76</f>
        <v>0.00752661431064561</v>
      </c>
      <c r="P30" s="70" t="n">
        <f aca="false">+'Datos ICP (2)'!AP76</f>
        <v>0.00708194994827327</v>
      </c>
      <c r="Q30" s="70" t="n">
        <f aca="false">+'Datos ICP (2)'!AQ76</f>
        <v>0.111942792636216</v>
      </c>
      <c r="R30" s="65"/>
      <c r="S30" s="65"/>
      <c r="T30" s="65"/>
      <c r="U30" s="65"/>
      <c r="V30" s="65"/>
      <c r="W30" s="65"/>
      <c r="X30" s="65"/>
    </row>
    <row r="31" customFormat="false" ht="15" hidden="false" customHeight="true" outlineLevel="0" collapsed="false">
      <c r="C31" s="69"/>
      <c r="D31" s="71" t="s">
        <v>25</v>
      </c>
      <c r="E31" s="70" t="n">
        <f aca="false">+'Datos ICP (2)'!AE77</f>
        <v>0.00791373033388998</v>
      </c>
      <c r="F31" s="70" t="n">
        <f aca="false">+'Datos ICP (2)'!AF77</f>
        <v>0.00791546662684725</v>
      </c>
      <c r="G31" s="70" t="n">
        <f aca="false">+'Datos ICP (2)'!AG77</f>
        <v>0.00794552771901819</v>
      </c>
      <c r="H31" s="70" t="n">
        <f aca="false">+'Datos ICP (2)'!AH77</f>
        <v>0.00799090615854378</v>
      </c>
      <c r="I31" s="70" t="n">
        <f aca="false">+'Datos ICP (2)'!AI77</f>
        <v>0.00802279674632251</v>
      </c>
      <c r="J31" s="70" t="n">
        <f aca="false">+'Datos ICP (2)'!AJ77</f>
        <v>0.00800289135407151</v>
      </c>
      <c r="K31" s="70" t="n">
        <f aca="false">+'Datos ICP (2)'!AK77</f>
        <v>0.00793981170339564</v>
      </c>
      <c r="L31" s="70" t="n">
        <f aca="false">+'Datos ICP (2)'!AL77</f>
        <v>0.00735124411072392</v>
      </c>
      <c r="M31" s="70" t="n">
        <f aca="false">+'Datos ICP (2)'!AM77</f>
        <v>0.00678482261305935</v>
      </c>
      <c r="N31" s="70" t="n">
        <f aca="false">+'Datos ICP (2)'!AN77</f>
        <v>0.0064607251902496</v>
      </c>
      <c r="O31" s="70" t="n">
        <f aca="false">+'Datos ICP (2)'!AO77</f>
        <v>0.00616956723192952</v>
      </c>
      <c r="P31" s="70" t="n">
        <f aca="false">+'Datos ICP (2)'!AP77</f>
        <v>0.00590472761028043</v>
      </c>
      <c r="Q31" s="70" t="n">
        <f aca="false">+'Datos ICP (2)'!AQ77</f>
        <v>0.093648405763658</v>
      </c>
      <c r="R31" s="65"/>
      <c r="S31" s="65"/>
      <c r="T31" s="65"/>
      <c r="U31" s="65"/>
      <c r="V31" s="65"/>
      <c r="W31" s="65"/>
      <c r="X31" s="65"/>
    </row>
    <row r="32" customFormat="false" ht="15" hidden="false" customHeight="true" outlineLevel="0" collapsed="false">
      <c r="C32" s="69"/>
      <c r="D32" s="71" t="s">
        <v>27</v>
      </c>
      <c r="E32" s="70" t="n">
        <f aca="false">+'Datos ICP (2)'!AE78</f>
        <v>0.0107178483186667</v>
      </c>
      <c r="F32" s="70" t="n">
        <f aca="false">+'Datos ICP (2)'!AF78</f>
        <v>0.00932460704446089</v>
      </c>
      <c r="G32" s="70" t="n">
        <f aca="false">+'Datos ICP (2)'!AG78</f>
        <v>0.00939042693196421</v>
      </c>
      <c r="H32" s="70" t="n">
        <f aca="false">+'Datos ICP (2)'!AH78</f>
        <v>0.00945752635700601</v>
      </c>
      <c r="I32" s="70" t="n">
        <f aca="false">+'Datos ICP (2)'!AI78</f>
        <v>0.00939977786303745</v>
      </c>
      <c r="J32" s="70" t="n">
        <f aca="false">+'Datos ICP (2)'!AJ78</f>
        <v>0.00948928733729271</v>
      </c>
      <c r="K32" s="70" t="n">
        <f aca="false">+'Datos ICP (2)'!AK78</f>
        <v>0.0095512586335587</v>
      </c>
      <c r="L32" s="70" t="n">
        <f aca="false">+'Datos ICP (2)'!AL78</f>
        <v>0.00871046579931949</v>
      </c>
      <c r="M32" s="70" t="n">
        <f aca="false">+'Datos ICP (2)'!AM78</f>
        <v>0.00870598699920899</v>
      </c>
      <c r="N32" s="70" t="n">
        <f aca="false">+'Datos ICP (2)'!AN78</f>
        <v>0.00802416378602992</v>
      </c>
      <c r="O32" s="70" t="n">
        <f aca="false">+'Datos ICP (2)'!AO78</f>
        <v>0.00751873852010121</v>
      </c>
      <c r="P32" s="70" t="n">
        <f aca="false">+'Datos ICP (2)'!AP78</f>
        <v>0.00838989577949865</v>
      </c>
      <c r="Q32" s="70" t="n">
        <f aca="false">+'Datos ICP (2)'!AQ78</f>
        <v>0.116322011851731</v>
      </c>
      <c r="R32" s="65"/>
    </row>
    <row r="33" customFormat="false" ht="15" hidden="false" customHeight="true" outlineLevel="0" collapsed="false">
      <c r="C33" s="69" t="n">
        <v>2024</v>
      </c>
      <c r="D33" s="71" t="s">
        <v>3</v>
      </c>
      <c r="E33" s="70" t="n">
        <f aca="false">+'Datos ICP (2)'!AE79</f>
        <v>0.00735722532416316</v>
      </c>
      <c r="F33" s="70" t="n">
        <f aca="false">+'Datos ICP (2)'!AF79</f>
        <v>0.00611213912063557</v>
      </c>
      <c r="G33" s="70" t="n">
        <f aca="false">+'Datos ICP (2)'!AG79</f>
        <v>0.00564735171406094</v>
      </c>
      <c r="H33" s="70" t="n">
        <f aca="false">+'Datos ICP (2)'!AH79</f>
        <v>0.00609278396182833</v>
      </c>
      <c r="I33" s="70" t="n">
        <f aca="false">+'Datos ICP (2)'!AI79</f>
        <v>0.00551411929031809</v>
      </c>
      <c r="J33" s="70" t="n">
        <f aca="false">+'Datos ICP (2)'!AJ79</f>
        <v>0.00461354906321554</v>
      </c>
      <c r="K33" s="70" t="n">
        <f aca="false">+'Datos ICP (2)'!AK79</f>
        <v>0.00528435035284347</v>
      </c>
      <c r="L33" s="70" t="n">
        <f aca="false">+'Datos ICP (2)'!AL79</f>
        <v>0.00480235203759283</v>
      </c>
      <c r="M33" s="70" t="n">
        <f aca="false">+'Datos ICP (2)'!AM79</f>
        <v>0.00478104349541386</v>
      </c>
      <c r="N33" s="70" t="n">
        <f aca="false">+'Datos ICP (2)'!AN79</f>
        <v>0.00451044051641847</v>
      </c>
      <c r="O33" s="70" t="n">
        <f aca="false">+'Datos ICP (2)'!AO79</f>
        <v>0.0043843255475724</v>
      </c>
      <c r="P33" s="70" t="n">
        <f aca="false">+'Datos ICP (2)'!AP79</f>
        <v>0.00444626417327787</v>
      </c>
      <c r="Q33" s="70" t="n">
        <f aca="false">+'Datos ICP (2)'!AQ79</f>
        <v>0.0654251259349719</v>
      </c>
      <c r="R33" s="65"/>
      <c r="S33" s="65"/>
      <c r="T33" s="65"/>
      <c r="U33" s="65"/>
      <c r="V33" s="65"/>
      <c r="W33" s="65"/>
      <c r="X33" s="65"/>
    </row>
    <row r="34" customFormat="false" ht="15" hidden="false" customHeight="true" outlineLevel="0" collapsed="false">
      <c r="C34" s="69"/>
      <c r="D34" s="71" t="s">
        <v>25</v>
      </c>
      <c r="E34" s="70" t="n">
        <f aca="false">+'Datos ICP (2)'!AE80</f>
        <v>0.00568251266298558</v>
      </c>
      <c r="F34" s="70" t="n">
        <f aca="false">+'Datos ICP (2)'!AF80</f>
        <v>0.005260252521299</v>
      </c>
      <c r="G34" s="70" t="n">
        <f aca="false">+'Datos ICP (2)'!AG80</f>
        <v>0.00476801737914621</v>
      </c>
      <c r="H34" s="70" t="n">
        <f aca="false">+'Datos ICP (2)'!AH80</f>
        <v>0.00429102184873626</v>
      </c>
      <c r="I34" s="70" t="n">
        <f aca="false">+'Datos ICP (2)'!AI80</f>
        <v>0.00403335179608358</v>
      </c>
      <c r="J34" s="70" t="n">
        <f aca="false">+'Datos ICP (2)'!AJ80</f>
        <v>0.00365019312776771</v>
      </c>
      <c r="K34" s="70" t="n">
        <f aca="false">+'Datos ICP (2)'!AK80</f>
        <v>0.00351689620169189</v>
      </c>
      <c r="L34" s="70" t="n">
        <f aca="false">+'Datos ICP (2)'!AL80</f>
        <v>0.00351064782186953</v>
      </c>
      <c r="M34" s="70" t="n">
        <f aca="false">+'Datos ICP (2)'!AM80</f>
        <v>0.0033754452875443</v>
      </c>
      <c r="N34" s="70" t="n">
        <f aca="false">+'Datos ICP (2)'!AN80</f>
        <v>0.00330078677001207</v>
      </c>
      <c r="O34" s="70" t="n">
        <f aca="false">+'Datos ICP (2)'!AO80</f>
        <v>0.00322037460491331</v>
      </c>
      <c r="P34" s="70" t="n">
        <f aca="false">+'Datos ICP (2)'!AP80</f>
        <v>0.00312566700191516</v>
      </c>
      <c r="Q34" s="70" t="n">
        <f aca="false">+'Datos ICP (2)'!AQ80</f>
        <v>0.0495295629197707</v>
      </c>
      <c r="R34" s="65"/>
      <c r="S34" s="65"/>
      <c r="T34" s="65"/>
      <c r="U34" s="65"/>
      <c r="V34" s="65"/>
      <c r="W34" s="65"/>
      <c r="X34" s="65"/>
    </row>
    <row r="35" customFormat="false" ht="15" hidden="false" customHeight="true" outlineLevel="0" collapsed="false">
      <c r="C35" s="69"/>
      <c r="D35" s="71" t="s">
        <v>27</v>
      </c>
      <c r="E35" s="70" t="n">
        <f aca="false">+'Datos ICP (2)'!AE81</f>
        <v>0.00755139589582306</v>
      </c>
      <c r="F35" s="70" t="n">
        <f aca="false">+'Datos ICP (2)'!AF81</f>
        <v>0.00607299552429659</v>
      </c>
      <c r="G35" s="70" t="n">
        <f aca="false">+'Datos ICP (2)'!AG81</f>
        <v>0.00649207502839176</v>
      </c>
      <c r="H35" s="70" t="n">
        <f aca="false">+'Datos ICP (2)'!AH81</f>
        <v>0.00540365868407353</v>
      </c>
      <c r="I35" s="70" t="n">
        <f aca="false">+'Datos ICP (2)'!AI81</f>
        <v>0.0057917989042293</v>
      </c>
      <c r="J35" s="70" t="n">
        <f aca="false">+'Datos ICP (2)'!AJ81</f>
        <v>0.00529714490971367</v>
      </c>
      <c r="K35" s="70" t="n">
        <f aca="false">+'Datos ICP (2)'!AK81</f>
        <v>0.00444070721036837</v>
      </c>
      <c r="L35" s="70" t="n">
        <f aca="false">+'Datos ICP (2)'!AL81</f>
        <v>0.00407473185986469</v>
      </c>
      <c r="M35" s="70" t="n">
        <f aca="false">+'Datos ICP (2)'!AM81</f>
        <v>0.00433433042258979</v>
      </c>
      <c r="N35" s="70" t="n">
        <f aca="false">+'Datos ICP (2)'!AN81</f>
        <v>0.00364657609315771</v>
      </c>
      <c r="O35" s="70" t="n">
        <f aca="false">+'Datos ICP (2)'!AO81</f>
        <v>0.00386311255026683</v>
      </c>
      <c r="P35" s="70" t="n">
        <f aca="false">+'Datos ICP (2)'!AP81</f>
        <v>0.00347830557343507</v>
      </c>
      <c r="Q35" s="70" t="n">
        <f aca="false">+'Datos ICP (2)'!AQ81</f>
        <v>0.0630618242861352</v>
      </c>
      <c r="R35" s="65"/>
    </row>
    <row r="36" customFormat="false" ht="15" hidden="false" customHeight="true" outlineLevel="0" collapsed="false">
      <c r="C36" s="69" t="n">
        <v>2025</v>
      </c>
      <c r="D36" s="71" t="s">
        <v>3</v>
      </c>
      <c r="E36" s="70" t="n">
        <f aca="false">+'Datos ICP (2)'!AE82</f>
        <v>0.00445443017437541</v>
      </c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 t="n">
        <f aca="false">+'Datos ICP (2)'!AQ82</f>
        <v>0.053453162092505</v>
      </c>
      <c r="R36" s="65"/>
      <c r="S36" s="65"/>
      <c r="T36" s="65"/>
      <c r="U36" s="65"/>
      <c r="V36" s="65"/>
      <c r="W36" s="65"/>
      <c r="X36" s="65"/>
    </row>
    <row r="37" customFormat="false" ht="15" hidden="false" customHeight="true" outlineLevel="0" collapsed="false">
      <c r="C37" s="69"/>
      <c r="D37" s="71" t="s">
        <v>25</v>
      </c>
      <c r="E37" s="70" t="n">
        <f aca="false">+'Datos ICP (2)'!AE83</f>
        <v>0.00292278419423869</v>
      </c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 t="n">
        <f aca="false">+'Datos ICP (2)'!AQ83</f>
        <v>0.0362425240085598</v>
      </c>
      <c r="R37" s="65"/>
      <c r="S37" s="65"/>
      <c r="T37" s="65"/>
      <c r="U37" s="65"/>
      <c r="V37" s="65"/>
      <c r="W37" s="65"/>
      <c r="X37" s="65"/>
    </row>
    <row r="38" customFormat="false" ht="15" hidden="false" customHeight="true" outlineLevel="0" collapsed="false">
      <c r="C38" s="69"/>
      <c r="D38" s="71" t="s">
        <v>27</v>
      </c>
      <c r="E38" s="70" t="n">
        <f aca="false">+'Datos ICP (2)'!AE84</f>
        <v>0.00282258645089376</v>
      </c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 t="n">
        <f aca="false">+'Datos ICP (2)'!AQ84</f>
        <v>0.0350000719910826</v>
      </c>
      <c r="R38" s="6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fals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P5" activeCellId="0" sqref="P5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4.33"/>
    <col collapsed="false" customWidth="true" hidden="false" outlineLevel="0" max="2" min="2" style="0" width="15.33"/>
    <col collapsed="false" customWidth="true" hidden="false" outlineLevel="0" max="10" min="9" style="0" width="11.56"/>
    <col collapsed="false" customWidth="true" hidden="false" outlineLevel="0" max="11" min="11" style="0" width="28.44"/>
    <col collapsed="false" customWidth="true" hidden="false" outlineLevel="0" max="12" min="12" style="0" width="12.11"/>
    <col collapsed="false" customWidth="true" hidden="false" outlineLevel="0" max="13" min="13" style="0" width="11.56"/>
    <col collapsed="false" customWidth="true" hidden="false" outlineLevel="0" max="14" min="14" style="0" width="16.11"/>
    <col collapsed="false" customWidth="true" hidden="false" outlineLevel="0" max="15" min="15" style="0" width="40.67"/>
    <col collapsed="false" customWidth="true" hidden="false" outlineLevel="0" max="16" min="16" style="0" width="7.88"/>
    <col collapsed="false" customWidth="true" hidden="false" outlineLevel="0" max="19" min="19" style="0" width="28.67"/>
  </cols>
  <sheetData>
    <row r="1" customFormat="false" ht="14.25" hidden="false" customHeight="false" outlineLevel="0" collapsed="false">
      <c r="B1" s="76"/>
      <c r="C1" s="77"/>
      <c r="J1" s="78" t="s">
        <v>50</v>
      </c>
      <c r="K1" s="76"/>
      <c r="L1" s="79"/>
      <c r="N1" s="78" t="s">
        <v>51</v>
      </c>
      <c r="O1" s="76"/>
      <c r="P1" s="79"/>
      <c r="R1" s="78" t="s">
        <v>52</v>
      </c>
      <c r="S1" s="76"/>
      <c r="T1" s="79"/>
    </row>
    <row r="2" customFormat="false" ht="14.25" hidden="false" customHeight="false" outlineLevel="0" collapsed="false">
      <c r="C2" s="77"/>
      <c r="O2" s="80" t="s">
        <v>53</v>
      </c>
      <c r="P2" s="81" t="n">
        <v>0</v>
      </c>
    </row>
    <row r="3" customFormat="false" ht="14.25" hidden="false" customHeight="false" outlineLevel="0" collapsed="false">
      <c r="C3" s="77"/>
      <c r="K3" s="80" t="s">
        <v>54</v>
      </c>
      <c r="L3" s="81" t="n">
        <v>0.413931820972385</v>
      </c>
      <c r="O3" s="80" t="s">
        <v>55</v>
      </c>
      <c r="P3" s="81" t="n">
        <v>0</v>
      </c>
      <c r="S3" s="80" t="s">
        <v>56</v>
      </c>
      <c r="T3" s="81" t="n">
        <v>1</v>
      </c>
    </row>
    <row r="4" customFormat="false" ht="14.25" hidden="false" customHeight="false" outlineLevel="0" collapsed="false">
      <c r="C4" s="77"/>
      <c r="K4" s="80" t="s">
        <v>57</v>
      </c>
      <c r="L4" s="81" t="n">
        <v>0.586068179027615</v>
      </c>
      <c r="O4" s="80" t="s">
        <v>58</v>
      </c>
      <c r="P4" s="81" t="n">
        <v>0</v>
      </c>
      <c r="S4" s="80" t="s">
        <v>59</v>
      </c>
      <c r="T4" s="81" t="n">
        <v>0</v>
      </c>
    </row>
    <row r="5" customFormat="false" ht="14.25" hidden="false" customHeight="false" outlineLevel="0" collapsed="false">
      <c r="A5" s="76"/>
      <c r="B5" s="76"/>
      <c r="C5" s="77"/>
      <c r="K5" s="80" t="s">
        <v>60</v>
      </c>
      <c r="L5" s="81" t="n">
        <v>0</v>
      </c>
      <c r="O5" s="80" t="s">
        <v>61</v>
      </c>
      <c r="P5" s="81" t="n">
        <v>0.110164638137013</v>
      </c>
    </row>
    <row r="6" customFormat="false" ht="14.25" hidden="false" customHeight="false" outlineLevel="0" collapsed="false">
      <c r="A6" s="76"/>
      <c r="B6" s="76"/>
      <c r="C6" s="77"/>
      <c r="K6" s="80" t="s">
        <v>62</v>
      </c>
      <c r="L6" s="81" t="n">
        <v>0</v>
      </c>
      <c r="O6" s="80" t="s">
        <v>63</v>
      </c>
      <c r="P6" s="81" t="n">
        <v>0.889835361862987</v>
      </c>
    </row>
    <row r="7" customFormat="false" ht="14.25" hidden="false" customHeight="false" outlineLevel="0" collapsed="false">
      <c r="B7" s="76"/>
      <c r="C7" s="77"/>
      <c r="L7" s="82" t="n">
        <f aca="false">SUM(L3:L6)</f>
        <v>1</v>
      </c>
      <c r="O7" s="80" t="s">
        <v>64</v>
      </c>
      <c r="P7" s="81" t="n">
        <v>0</v>
      </c>
    </row>
    <row r="8" customFormat="false" ht="14.25" hidden="false" customHeight="false" outlineLevel="0" collapsed="false">
      <c r="C8" s="77"/>
      <c r="O8" s="80" t="s">
        <v>65</v>
      </c>
      <c r="P8" s="81" t="n">
        <v>0</v>
      </c>
    </row>
    <row r="9" customFormat="false" ht="14.25" hidden="false" customHeight="false" outlineLevel="0" collapsed="false">
      <c r="C9" s="77"/>
      <c r="O9" s="80" t="s">
        <v>66</v>
      </c>
      <c r="P9" s="81" t="n">
        <v>0</v>
      </c>
      <c r="Q9" s="83"/>
      <c r="R9" s="84"/>
    </row>
    <row r="10" customFormat="false" ht="14.25" hidden="false" customHeight="false" outlineLevel="0" collapsed="false">
      <c r="C10" s="77"/>
      <c r="O10" s="80" t="s">
        <v>67</v>
      </c>
      <c r="P10" s="81" t="n">
        <v>0</v>
      </c>
    </row>
    <row r="11" customFormat="false" ht="14.25" hidden="false" customHeight="false" outlineLevel="0" collapsed="false">
      <c r="C11" s="77"/>
      <c r="O11" s="80" t="s">
        <v>68</v>
      </c>
      <c r="P11" s="81" t="n">
        <v>0</v>
      </c>
    </row>
    <row r="12" customFormat="false" ht="14.25" hidden="true" customHeight="false" outlineLevel="0" collapsed="false">
      <c r="C12" s="77"/>
      <c r="O12" s="80"/>
      <c r="P12" s="81"/>
    </row>
    <row r="13" customFormat="false" ht="14.25" hidden="false" customHeight="false" outlineLevel="0" collapsed="false">
      <c r="C13" s="77"/>
      <c r="O13" s="80" t="s">
        <v>69</v>
      </c>
      <c r="P13" s="81" t="n">
        <v>0</v>
      </c>
    </row>
    <row r="14" customFormat="false" ht="14.25" hidden="true" customHeight="false" outlineLevel="0" collapsed="false">
      <c r="A14" s="76" t="s">
        <v>70</v>
      </c>
      <c r="B14" s="85" t="n">
        <v>0</v>
      </c>
      <c r="C14" s="77"/>
    </row>
    <row r="15" customFormat="false" ht="14.25" hidden="false" customHeight="false" outlineLevel="0" collapsed="false">
      <c r="A15" s="76"/>
      <c r="B15" s="85"/>
      <c r="C15" s="77"/>
      <c r="P15" s="86" t="n">
        <f aca="false">SUM(P2:P13)</f>
        <v>1</v>
      </c>
    </row>
    <row r="16" customFormat="false" ht="14.25" hidden="false" customHeight="false" outlineLevel="0" collapsed="false">
      <c r="B16" s="76"/>
      <c r="C16" s="77"/>
    </row>
    <row r="17" customFormat="false" ht="14.25" hidden="false" customHeight="false" outlineLevel="0" collapsed="false">
      <c r="C17" s="77"/>
    </row>
    <row r="18" customFormat="false" ht="14.25" hidden="false" customHeight="false" outlineLevel="0" collapsed="false">
      <c r="C18" s="77"/>
    </row>
    <row r="19" customFormat="false" ht="14.25" hidden="false" customHeight="false" outlineLevel="0" collapsed="false">
      <c r="C19" s="77"/>
    </row>
    <row r="20" customFormat="false" ht="14.25" hidden="false" customHeight="false" outlineLevel="0" collapsed="false">
      <c r="C20" s="77"/>
    </row>
    <row r="21" customFormat="false" ht="14.25" hidden="false" customHeight="false" outlineLevel="0" collapsed="false">
      <c r="C21" s="77"/>
      <c r="N21" s="87"/>
    </row>
    <row r="22" customFormat="false" ht="14.25" hidden="false" customHeight="false" outlineLevel="0" collapsed="false">
      <c r="A22" s="77"/>
      <c r="B22" s="77"/>
      <c r="C22" s="77"/>
    </row>
    <row r="23" customFormat="false" ht="14.25" hidden="false" customHeight="false" outlineLevel="0" collapsed="false">
      <c r="A23" s="77"/>
      <c r="B23" s="77"/>
      <c r="C23" s="77"/>
    </row>
    <row r="24" customFormat="false" ht="14.25" hidden="false" customHeight="false" outlineLevel="0" collapsed="false">
      <c r="A24" s="77"/>
      <c r="B24" s="77"/>
      <c r="C24" s="77"/>
    </row>
  </sheetData>
  <autoFilter ref="K1:T24">
    <sortState ref="K2:T24">
      <sortCondition ref="A2:A24" descending="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2018-12-10T21:02:38Z</dcterms:created>
  <dc:creator>NCABEZAS</dc:creator>
  <dc:description/>
  <dc:language>en-US</dc:language>
  <cp:lastModifiedBy/>
  <dcterms:modified xsi:type="dcterms:W3CDTF">2026-05-19T15:29:23Z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