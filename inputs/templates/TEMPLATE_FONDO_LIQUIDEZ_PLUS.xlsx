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<sst xmlns="http://schemas.openxmlformats.org/spreadsheetml/2006/main" count="245" uniqueCount="71">
  <si>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</si>
  <si>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</si>
  <si>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</si>
  <si>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</si>
  <si>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</si>
  <si>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</si>
  <si>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</si>
  <si>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</si>
  <si>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</si>
  <si>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</si>
  <si>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</si>
  <si>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</si>
  <si>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</si>
  <si>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</si>
  <si>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</si>
  <si>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</si>
  <si>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</si>
  <si>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</si>
  <si>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</si>
  <si>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Plus</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</si>
  <si>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</si>
  <si>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</si>
  <si>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</si>
  <si>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</si>
  <si>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</si>
  <si>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</si>
  <si>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</si>
  <si>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Plus</t>
  </si>
  <si>
    <t xml:space="preserve">(*) Acum a Mar</t>
  </si>
  <si>
    <t xml:space="preserve">FONDO LIQUIDEZ Plus</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</si>
  <si>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</si>
  <si>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</si>
  <si>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</si>
  <si>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</si>
  <si>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</si>
  <si>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</si>
  <si>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</si>
  <si>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</si>
  <si>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Plus</t>
  </si>
  <si>
    <t xml:space="preserve">Año</t>
  </si>
  <si>
    <t xml:space="preserve">Fondo</t>
  </si>
  <si>
    <t xml:space="preserve">FIP Liquidez LOCAL</t>
  </si>
  <si>
    <t xml:space="preserve">DIVIDENDO 2023</t>
  </si>
  <si>
    <t xml:space="preserve">Dividendo 2017</t>
  </si>
  <si>
    <t xml:space="preserve">Dividendo 2018</t>
  </si>
  <si>
    <t xml:space="preserve">Dividendo 2021</t>
  </si>
  <si>
    <t xml:space="preserve">Dividendo 2022</t>
  </si>
  <si>
    <t xml:space="preserve">Dividendo 2023</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</si>
  <si>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</si>
  <si>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</si>
  <si>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</si>
  <si>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</si>
  <si>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</si>
  <si>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</si>
  <si>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</si>
  <si>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</si>
  <si>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</si>
  <si>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</si>
  <si>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</si>
  <si>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</si>
  <si>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</si>
  <si>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</si>
  <si>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</si>
  <si>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Extranjero</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</si>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</sst>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9"/>
      <color rgb="FF000000"/>
      <name val="Be Vietnam Pro Medium"/>
      <family val="2"/>
    </font>
    <font>
      <sz val="10"/>
      <color rgb="FF000000"/>
      <name val="Be Vietnam Pro Light"/>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Plus</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42442163"/>
        <c:axId val="35506455"/>
      </c:lineChart>
      <c:dateAx>
        <c:axId val="42442163"/>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5506455"/>
        <c:crosses val="autoZero"/>
        <c:auto val="1"/>
        <c:lblOffset val="100"/>
        <c:baseTimeUnit val="months"/>
        <c:majorUnit val="6"/>
        <c:majorTimeUnit val="months"/>
        <c:minorUnit val="6"/>
        <c:minorTimeUnit val="months"/>
        <c:noMultiLvlLbl val="0"/>
      </c:dateAx>
      <c:valAx>
        <c:axId val="3550645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2442163"/>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Plus</a:t>
            </a:r>
          </a:p>
        </c:rich>
      </c:tx>
      <c:overlay val="0"/>
      <c:spPr>
        <a:noFill/>
        <a:ln w="0">
          <a:noFill/>
        </a:ln>
      </c:spPr>
    </c:title>
    <c:autoTitleDeleted val="0"/>
    <c:plotArea>
      <c:layout>
        <c:manualLayout>
          <c:layoutTarget val="inner"/>
          <c:xMode val="edge"/>
          <c:yMode val="edge"/>
          <c:x val="0.122424992267244"/>
          <c:y val="0.145687547424332"/>
          <c:w val="0.835570677389422"/>
          <c:h val="0.77615715369699"/>
        </c:manualLayout>
      </c:layout>
      <c:lineChart>
        <c:grouping val="standard"/>
        <c:varyColors val="0"/>
        <c:ser>
          <c:idx val="0"/>
          <c:order val="0"/>
          <c:tx>
            <c:strRef>
              <c:f>"FIP Liquidez Plus"</c:f>
              <c:strCache>
                <c:ptCount val="1"/>
                <c:pt idx="0">
                  <c:v>FIP Liquidez Plus</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(2)'!$J$211:$J$244</c:f>
              <c:numCache>
                <c:formatCode>#,##0.00</c:formatCode>
                <c:ptCount val="34"/>
                <c:pt idx="0">
                  <c:v>100</c:v>
                </c:pt>
                <c:pt idx="1">
                  <c:v>103.00772</c:v>
                </c:pt>
                <c:pt idx="2">
                  <c:v>104.216334285714</c:v>
                </c:pt>
                <c:pt idx="3">
                  <c:v>105.27989293387</c:v>
                </c:pt>
                <c:pt idx="4">
                  <c:v>106.360117682637</c:v>
                </c:pt>
                <c:pt idx="5">
                  <c:v>107.461563868507</c:v>
                </c:pt>
                <c:pt idx="6">
                  <c:v>108.471650974436</c:v>
                </c:pt>
                <c:pt idx="7">
                  <c:v>109.475109291047</c:v>
                </c:pt>
                <c:pt idx="8">
                  <c:v>110.430176737316</c:v>
                </c:pt>
                <c:pt idx="9">
                  <c:v>111.363727804464</c:v>
                </c:pt>
                <c:pt idx="10">
                  <c:v>112.289425213346</c:v>
                </c:pt>
                <c:pt idx="11">
                  <c:v>113.236514298528</c:v>
                </c:pt>
                <c:pt idx="12">
                  <c:v>114.032556664188</c:v>
                </c:pt>
                <c:pt idx="13">
                  <c:v>114.799482522974</c:v>
                </c:pt>
                <c:pt idx="14">
                  <c:v>115.501162302824</c:v>
                </c:pt>
                <c:pt idx="15">
                  <c:v>116.230702526709</c:v>
                </c:pt>
                <c:pt idx="16">
                  <c:v>116.918346596449</c:v>
                </c:pt>
                <c:pt idx="17">
                  <c:v>117.532459463694</c:v>
                </c:pt>
                <c:pt idx="18">
                  <c:v>118.153418915701</c:v>
                </c:pt>
                <c:pt idx="19">
                  <c:v>118.740784911022</c:v>
                </c:pt>
                <c:pt idx="20">
                  <c:v>119.273804785365</c:v>
                </c:pt>
                <c:pt idx="21">
                  <c:v>119.80801384819</c:v>
                </c:pt>
                <c:pt idx="22">
                  <c:v>120.260792655106</c:v>
                </c:pt>
                <c:pt idx="23">
                  <c:v>120.756201682406</c:v>
                </c:pt>
                <c:pt idx="24">
                  <c:v>121.385627006828</c:v>
                </c:pt>
                <c:pt idx="25">
                  <c:v>121.973763364833</c:v>
                </c:pt>
                <c:pt idx="26">
                  <c:v>122.809139393892</c:v>
                </c:pt>
                <c:pt idx="27">
                  <c:v>123.509773492228</c:v>
                </c:pt>
                <c:pt idx="28">
                  <c:v>124.255986236466</c:v>
                </c:pt>
                <c:pt idx="29">
                  <c:v>124.953080730206</c:v>
                </c:pt>
                <c:pt idx="30">
                  <c:v>125.693664424716</c:v>
                </c:pt>
                <c:pt idx="31">
                  <c:v>126.426022903029</c:v>
                </c:pt>
                <c:pt idx="32">
                  <c:v>127.152789557438</c:v>
                </c:pt>
                <c:pt idx="33">
                  <c:v>127.894099342059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(2)'!$M$211:$M$244</c:f>
              <c:numCache>
                <c:formatCode>0.00</c:formatCode>
                <c:ptCount val="34"/>
                <c:pt idx="0">
                  <c:v>100</c:v>
                </c:pt>
                <c:pt idx="1">
                  <c:v>100.794552771902</c:v>
                </c:pt>
                <c:pt idx="2">
                  <c:v>101.599992584394</c:v>
                </c:pt>
                <c:pt idx="3">
                  <c:v>102.415108674327</c:v>
                </c:pt>
                <c:pt idx="4">
                  <c:v>103.234725662063</c:v>
                </c:pt>
                <c:pt idx="5">
                  <c:v>104.054389945071</c:v>
                </c:pt>
                <c:pt idx="6">
                  <c:v>104.81931916635</c:v>
                </c:pt>
                <c:pt idx="7">
                  <c:v>105.530499653315</c:v>
                </c:pt>
                <c:pt idx="8">
                  <c:v>106.212303210765</c:v>
                </c:pt>
                <c:pt idx="9">
                  <c:v>106.867587156282</c:v>
                </c:pt>
                <c:pt idx="10">
                  <c:v>107.498611148808</c:v>
                </c:pt>
                <c:pt idx="11">
                  <c:v>108.109473367914</c:v>
                </c:pt>
                <c:pt idx="12">
                  <c:v>108.678156497774</c:v>
                </c:pt>
                <c:pt idx="13">
                  <c:v>109.196335836689</c:v>
                </c:pt>
                <c:pt idx="14">
                  <c:v>109.664899699566</c:v>
                </c:pt>
                <c:pt idx="15">
                  <c:v>110.107216819737</c:v>
                </c:pt>
                <c:pt idx="16">
                  <c:v>110.50912942589</c:v>
                </c:pt>
                <c:pt idx="17">
                  <c:v>110.89777856342</c:v>
                </c:pt>
                <c:pt idx="18">
                  <c:v>111.287101608184</c:v>
                </c:pt>
                <c:pt idx="19">
                  <c:v>111.662745130872</c:v>
                </c:pt>
                <c:pt idx="20">
                  <c:v>112.031320042703</c:v>
                </c:pt>
                <c:pt idx="21">
                  <c:v>112.392102860724</c:v>
                </c:pt>
                <c:pt idx="22">
                  <c:v>112.743403147911</c:v>
                </c:pt>
                <c:pt idx="23">
                  <c:v>113.072927784637</c:v>
                </c:pt>
                <c:pt idx="24">
                  <c:v>113.407559568043</c:v>
                </c:pt>
                <c:pt idx="25">
                  <c:v>113.743702529407</c:v>
                </c:pt>
                <c:pt idx="26">
                  <c:v>114.082198065213</c:v>
                </c:pt>
                <c:pt idx="27">
                  <c:v>114.423314420149</c:v>
                </c:pt>
                <c:pt idx="28">
                  <c:v>114.766247095819</c:v>
                </c:pt>
                <c:pt idx="29">
                  <c:v>115.093947253421</c:v>
                </c:pt>
                <c:pt idx="30">
                  <c:v>115.428151361141</c:v>
                </c:pt>
                <c:pt idx="31">
                  <c:v>115.746919471454</c:v>
                </c:pt>
                <c:pt idx="32">
                  <c:v>116.067858951819</c:v>
                </c:pt>
                <c:pt idx="33">
                  <c:v>116.39227044719</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(2)'!$D$211:$D$244</c:f>
              <c:numCache>
                <c:formatCode>0.00</c:formatCode>
                <c:ptCount val="34"/>
                <c:pt idx="0">
                  <c:v>100</c:v>
                </c:pt>
                <c:pt idx="1">
                  <c:v>100.94178881688</c:v>
                </c:pt>
                <c:pt idx="2">
                  <c:v>101.891929783799</c:v>
                </c:pt>
                <c:pt idx="3">
                  <c:v>102.851720559006</c:v>
                </c:pt>
                <c:pt idx="4">
                  <c:v>103.820076721148</c:v>
                </c:pt>
                <c:pt idx="5">
                  <c:v>104.79781360244</c:v>
                </c:pt>
                <c:pt idx="6">
                  <c:v>105.696712516545</c:v>
                </c:pt>
                <c:pt idx="7">
                  <c:v>106.520654870917</c:v>
                </c:pt>
                <c:pt idx="8">
                  <c:v>107.392765604698</c:v>
                </c:pt>
                <c:pt idx="9">
                  <c:v>108.201069531158</c:v>
                </c:pt>
                <c:pt idx="10">
                  <c:v>108.942625555774</c:v>
                </c:pt>
                <c:pt idx="11">
                  <c:v>109.718285662503</c:v>
                </c:pt>
                <c:pt idx="12">
                  <c:v>110.412023689448</c:v>
                </c:pt>
                <c:pt idx="13">
                  <c:v>111.080097472914</c:v>
                </c:pt>
                <c:pt idx="14">
                  <c:v>111.695358415061</c:v>
                </c:pt>
                <c:pt idx="15">
                  <c:v>112.291392154231</c:v>
                </c:pt>
                <c:pt idx="16">
                  <c:v>112.809454001311</c:v>
                </c:pt>
                <c:pt idx="17">
                  <c:v>113.386348851043</c:v>
                </c:pt>
                <c:pt idx="18">
                  <c:v>113.913304815662</c:v>
                </c:pt>
                <c:pt idx="19">
                  <c:v>114.457929280692</c:v>
                </c:pt>
                <c:pt idx="20">
                  <c:v>114.957531553259</c:v>
                </c:pt>
                <c:pt idx="21">
                  <c:v>115.461542795734</c:v>
                </c:pt>
                <c:pt idx="22">
                  <c:v>115.958354912951</c:v>
                </c:pt>
                <c:pt idx="23">
                  <c:v>116.458221101753</c:v>
                </c:pt>
                <c:pt idx="24">
                  <c:v>116.944383813035</c:v>
                </c:pt>
                <c:pt idx="25">
                  <c:v>117.432585355071</c:v>
                </c:pt>
                <c:pt idx="26">
                  <c:v>117.922950532732</c:v>
                </c:pt>
                <c:pt idx="27">
                  <c:v>118.399309072466</c:v>
                </c:pt>
                <c:pt idx="28">
                  <c:v>118.910150721978</c:v>
                </c:pt>
                <c:pt idx="29">
                  <c:v>119.40569098655</c:v>
                </c:pt>
                <c:pt idx="30">
                  <c:v>119.848640805612</c:v>
                </c:pt>
                <c:pt idx="31">
                  <c:v>120.355606400569</c:v>
                </c:pt>
                <c:pt idx="32">
                  <c:v>120.817561137264</c:v>
                </c:pt>
                <c:pt idx="33">
                  <c:v>121.280587149264</c:v>
                </c:pt>
              </c:numCache>
            </c:numRef>
          </c:val>
          <c:smooth val="0"/>
        </c:ser>
        <c:hiLowLines>
          <c:spPr>
            <a:ln w="0">
              <a:noFill/>
            </a:ln>
          </c:spPr>
        </c:hiLowLines>
        <c:marker val="1"/>
        <c:axId val="95679572"/>
        <c:axId val="33354043"/>
      </c:lineChart>
      <c:dateAx>
        <c:axId val="9567957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3354043"/>
        <c:auto val="1"/>
        <c:lblOffset val="100"/>
        <c:baseTimeUnit val="days"/>
        <c:noMultiLvlLbl val="0"/>
      </c:dateAx>
      <c:valAx>
        <c:axId val="33354043"/>
        <c:scaling>
          <c:orientation val="minMax"/>
        </c:scaling>
        <c:delete val="0"/>
        <c:axPos val="l"/>
        <c:majorGridlines>
          <c:spPr>
            <a:ln w="9360">
              <a:solidFill>
                <a:srgbClr val="d9d9d9"/>
              </a:solidFill>
              <a:round/>
            </a:ln>
          </c:spPr>
        </c:majorGridlines>
        <c:title>
          <c:tx>
            <c:rich>
              <a:bodyPr rot="-5400000"/>
              <a:lstStyle/>
              <a:p>
                <a:pPr>
                  <a:defRPr b="0" lang="en-US" sz="1000" spc="-1" strike="noStrike">
                    <a:solidFill>
                      <a:srgbClr val="000000"/>
                    </a:solidFill>
                    <a:latin typeface="Be Vietnam Pro Light"/>
                  </a:defRPr>
                </a:pPr>
                <a:r>
                  <a:rPr b="0" lang="en-US" sz="1000" spc="-1" strike="noStrike">
                    <a:solidFill>
                      <a:srgbClr val="000000"/>
                    </a:solidFill>
                    <a:latin typeface="Be Vietnam Pro Light"/>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000000"/>
                </a:solidFill>
                <a:latin typeface="Be Vietnam Pro Medium"/>
              </a:defRPr>
            </a:pPr>
          </a:p>
        </c:txPr>
        <c:crossAx val="95679572"/>
        <c:crosses val="autoZero"/>
        <c:crossBetween val="between"/>
      </c:valAx>
      <c:spPr>
        <a:noFill/>
        <a:ln w="0">
          <a:noFill/>
        </a:ln>
      </c:spPr>
    </c:plotArea>
    <c:legend>
      <c:legendPos val="r"/>
      <c:layout>
        <c:manualLayout>
          <c:xMode val="edge"/>
          <c:yMode val="edge"/>
          <c:x val="0.61789676179959"/>
          <c:y val="0.738526652777103"/>
          <c:w val="0.326040289412012"/>
          <c:h val="0.198831458283531"/>
        </c:manualLayout>
      </c:layout>
      <c:overlay val="0"/>
      <c:spPr>
        <a:noFill/>
        <a:ln w="0">
          <a:noFill/>
        </a:ln>
      </c:spPr>
      <c:txPr>
        <a:bodyPr/>
        <a:lstStyle/>
        <a:p>
          <a:pPr>
            <a:defRPr b="0" sz="9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0.614</c:v>
                </c:pt>
                <c:pt idx="1">
                  <c:v>0.3658</c:v>
                </c:pt>
                <c:pt idx="2">
                  <c:v>0.0202</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Extranjero</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0.0811</c:v>
                </c:pt>
                <c:pt idx="3">
                  <c:v>0.8618</c:v>
                </c:pt>
                <c:pt idx="4">
                  <c:v>0.0202</c:v>
                </c:pt>
                <c:pt idx="5">
                  <c:v>0.037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775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192960</xdr:colOff>
      <xdr:row>258</xdr:row>
      <xdr:rowOff>172440</xdr:rowOff>
    </xdr:from>
    <xdr:to>
      <xdr:col>9</xdr:col>
      <xdr:colOff>161640</xdr:colOff>
      <xdr:row>281</xdr:row>
      <xdr:rowOff>60480</xdr:rowOff>
    </xdr:to>
    <xdr:graphicFrame>
      <xdr:nvGraphicFramePr>
        <xdr:cNvPr id="1" name="Chart 2"/>
        <xdr:cNvGraphicFramePr/>
      </xdr:nvGraphicFramePr>
      <xdr:xfrm>
        <a:off x="3637080" y="49359600"/>
        <a:ext cx="5819040" cy="426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9.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0"/>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57"/>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8.42"/>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LOOKUP(AW19,$A$3:$A$2978,$B$3:$B$2978)</f>
        <v>19916.8502383877</v>
      </c>
      <c r="AX20" s="33" t="n">
        <f aca="false">LOOKUP(AX19,$A$3:$A$2978,$B$3:$B$2978)</f>
        <v>26333.64</v>
      </c>
      <c r="AY20" s="33" t="n">
        <f aca="false">LOOKUP(AY19,$A$3:$A$2978,$B$3:$B$2978)</f>
        <v>26136.9</v>
      </c>
      <c r="AZ20" s="33" t="n">
        <f aca="false">LOOKUP(AZ19,$A$3:$A$2978,$B$3:$B$2978)</f>
        <v>25829.5</v>
      </c>
      <c r="BA20" s="33" t="n">
        <f aca="false">LOOKUP(BA19,$A$3:$A$2978,$B$3:$B$2978)</f>
        <v>25197.48</v>
      </c>
      <c r="BB20" s="33" t="n">
        <f aca="false">LOOKUP(BB19,$A$3:$A$2978,$B$3:$B$2978)</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LOOKUP(AW19,$F$2:$F$2979,$K$2:$K$2979)</f>
        <v>0</v>
      </c>
      <c r="AX21" s="33" t="n">
        <f aca="false">LOOKUP(AX19,$F$2:$F$2979,$K$2:$K$2979)</f>
        <v>6335.4774</v>
      </c>
      <c r="AY21" s="33" t="n">
        <f aca="false">LOOKUP(AY19,$F$2:$F$2979,$K$2:$K$2979)</f>
        <v>6303.0823</v>
      </c>
      <c r="AZ21" s="33" t="n">
        <f aca="false">LOOKUP(AZ19,$F$2:$F$2979,$K$2:$K$2979)</f>
        <v>6250.6982</v>
      </c>
      <c r="BA21" s="33" t="n">
        <f aca="false">LOOKUP(BA19,$F$2:$F$2979,$K$2:$K$2979)</f>
        <v>6141.4105</v>
      </c>
      <c r="BB21" s="33" t="n">
        <f aca="false">LOOKUP(BB19,$F$2:$F$2979,$K$2:$K$2979)</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LOOKUP(AW19,$F$2:$F$2977,$H$2:$H$2977)</f>
        <v>1321.76464808201</v>
      </c>
      <c r="AX22" s="33" t="n">
        <f aca="false">LOOKUP(AX19,$F$2:$F$2977,$H$2:$H$2977)</f>
        <v>1313.86084808201</v>
      </c>
      <c r="AY22" s="33" t="n">
        <f aca="false">LOOKUP(AY19,$F$2:$F$2977,$H$2:$H$2977)</f>
        <v>1298.47684808201</v>
      </c>
      <c r="AZ22" s="33" t="n">
        <f aca="false">LOOKUP(AZ19,$F$2:$F$2977,$H$2:$H$2977)</f>
        <v>1275.61054808201</v>
      </c>
      <c r="BA22" s="33" t="n">
        <f aca="false">LOOKUP(BA19,$F$2:$F$2977,$H$2:$H$2977)</f>
        <v>1231.09624808201</v>
      </c>
      <c r="BB22" s="33" t="n">
        <f aca="false">LOOKUP(BB19,$F$2:$F$2977,$H$2:$H$2977)</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19" t="n">
        <f aca="false">+B249</f>
        <v>19916.8502383877</v>
      </c>
      <c r="U23" s="19"/>
      <c r="Y23" s="19"/>
      <c r="AD23" s="26" t="s">
        <v>28</v>
      </c>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LOOKUP(DATE($O27,U$25,U$24),$A$2:$A$2948,$H$2:$H$2948)</f>
        <v>0</v>
      </c>
      <c r="V27" s="35" t="n">
        <f aca="false">LOOKUP(DATE($O27,V$25,V$24),$A$2:$A$2948,$H$2:$H$2948)</f>
        <v>0</v>
      </c>
      <c r="W27" s="35" t="n">
        <f aca="false">LOOKUP(DATE($O27,W$25,W$24),$A$2:$A$2948,$H$2:$H$2948)</f>
        <v>0</v>
      </c>
      <c r="X27" s="35" t="n">
        <f aca="false">LOOKUP(DATE($O27,X$25,X$24),$A$2:$A$2948,$H$2:$H$2948)</f>
        <v>0</v>
      </c>
      <c r="Y27" s="35" t="n">
        <f aca="false">LOOKUP(DATE($O27,Y$25,Y$24),$A$2:$A$2948,$H$2:$H$2948)</f>
        <v>0</v>
      </c>
      <c r="Z27" s="35" t="n">
        <f aca="false">LOOKUP(DATE($O27,Z$25,Z$24),$A$2:$A$2948,$H$2:$H$2948)</f>
        <v>0</v>
      </c>
      <c r="AA27" s="35" t="n">
        <f aca="false">LOOKUP(DATE($O27,AA$25,AA$24),$A$2:$A$2948,$H$2:$H$2948)</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LOOKUP(DATE($O28,P$25,P$24),$A$2:$A$2948,$H$2:$H$2948)</f>
        <v>0</v>
      </c>
      <c r="Q28" s="35" t="n">
        <f aca="false">LOOKUP(DATE($O28,Q$25,Q$24),$A$2:$A$2948,$H$2:$H$2948)</f>
        <v>0</v>
      </c>
      <c r="R28" s="35" t="n">
        <f aca="false">LOOKUP(DATE($O28,R$25,R$24),$A$2:$A$2948,$H$2:$H$2948)</f>
        <v>0</v>
      </c>
      <c r="S28" s="35" t="n">
        <f aca="false">LOOKUP(DATE($O28,S$25,S$24),$A$2:$A$2948,$H$2:$H$2948)</f>
        <v>0</v>
      </c>
      <c r="T28" s="35" t="n">
        <f aca="false">LOOKUP(DATE($O28,T$25,T$24),$A$2:$A$2948,$H$2:$H$2948)</f>
        <v>0</v>
      </c>
      <c r="U28" s="35" t="n">
        <f aca="false">LOOKUP(DATE($O28,U$25,U$24),$A$2:$A$2948,$H$2:$H$2948)</f>
        <v>0</v>
      </c>
      <c r="V28" s="35" t="n">
        <f aca="false">LOOKUP(DATE($O28,V$25,V$24),$A$2:$A$2948,$H$2:$H$2948)</f>
        <v>0</v>
      </c>
      <c r="W28" s="35" t="n">
        <f aca="false">LOOKUP(DATE($O28,W$25,W$24),$A$2:$A$2948,$H$2:$H$2948)</f>
        <v>0</v>
      </c>
      <c r="X28" s="35" t="n">
        <f aca="false">LOOKUP(DATE($O28,X$25,X$24),$A$2:$A$2948,$H$2:$H$2948)</f>
        <v>0</v>
      </c>
      <c r="Y28" s="35" t="n">
        <f aca="false">LOOKUP(DATE($O28,Y$25,Y$24),$A$2:$A$2948,$H$2:$H$2948)</f>
        <v>0</v>
      </c>
      <c r="Z28" s="35" t="n">
        <f aca="false">LOOKUP(DATE($O28,Z$25,Z$24),$A$2:$A$2948,$H$2:$H$2948)</f>
        <v>0</v>
      </c>
      <c r="AA28" s="35" t="n">
        <f aca="false">LOOKUP(DATE($O28,AA$25,AA$24),$A$2:$A$2948,$H$2:$H$2948)</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LOOKUP(DATE($O29,P$25,P$24),$A$2:$A$2948,$H$2:$H$2948)</f>
        <v>0</v>
      </c>
      <c r="Q29" s="35" t="n">
        <f aca="false">LOOKUP(DATE($O29,Q$25,Q$24),$A$2:$A$2948,$H$2:$H$2948)</f>
        <v>0</v>
      </c>
      <c r="R29" s="35" t="n">
        <f aca="false">LOOKUP(DATE($O29,R$25,R$24),$A$2:$A$2948,$H$2:$H$2948)</f>
        <v>0</v>
      </c>
      <c r="S29" s="35" t="n">
        <f aca="false">LOOKUP(DATE($O29,S$25,S$24),$A$2:$A$2948,$H$2:$H$2948)</f>
        <v>0</v>
      </c>
      <c r="T29" s="35" t="n">
        <f aca="false">LOOKUP(DATE($O29,T$25,T$24),$A$2:$A$2948,$H$2:$H$2948)</f>
        <v>0</v>
      </c>
      <c r="U29" s="35" t="n">
        <f aca="false">LOOKUP(DATE($O29,U$25,U$24),$A$2:$A$2948,$H$2:$H$2948)</f>
        <v>0</v>
      </c>
      <c r="V29" s="35" t="n">
        <f aca="false">LOOKUP(DATE($O29,V$25,V$24),$A$2:$A$2948,$H$2:$H$2948)</f>
        <v>0</v>
      </c>
      <c r="W29" s="35" t="n">
        <f aca="false">LOOKUP(DATE($O29,W$25,W$24),$A$2:$A$2948,$H$2:$H$2948)</f>
        <v>0</v>
      </c>
      <c r="X29" s="35" t="n">
        <f aca="false">LOOKUP(DATE($O29,X$25,X$24),$A$2:$A$2948,$H$2:$H$2948)</f>
        <v>0</v>
      </c>
      <c r="Y29" s="41" t="n">
        <f aca="false">LOOKUP(DATE($O29,Y$25,Y$24),$A$2:$A$2948,$H$2:$H$2948)</f>
        <v>0</v>
      </c>
      <c r="Z29" s="41" t="n">
        <f aca="false">LOOKUP(DATE($O29,Z$25,Z$24),$A$2:$A$2948,$H$2:$H$2948)</f>
        <v>0</v>
      </c>
      <c r="AA29" s="41" t="n">
        <f aca="false">LOOKUP(DATE($O29,AA$25,AA$24),$A$2:$A$2948,$H$2:$H$2948)</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LOOKUP(DATE($O30,P$25,P$24),$A$2:$A$2948,$H$2:$H$2948)</f>
        <v>0</v>
      </c>
      <c r="Q30" s="35" t="n">
        <f aca="false">LOOKUP(DATE($O30,Q$25,Q$24),$A$2:$A$2948,$H$2:$H$2948)</f>
        <v>0</v>
      </c>
      <c r="R30" s="35" t="n">
        <f aca="false">LOOKUP(DATE($O30,R$25,R$24),$A$2:$A$2948,$H$2:$H$2948)</f>
        <v>0</v>
      </c>
      <c r="S30" s="35" t="n">
        <f aca="false">LOOKUP(DATE($O30,S$25,S$24),$A$2:$A$2948,$H$2:$H$2948)</f>
        <v>0</v>
      </c>
      <c r="T30" s="35" t="n">
        <f aca="false">LOOKUP(DATE($O30,T$25,T$24),$A$2:$A$2948,$H$2:$H$2948)</f>
        <v>0</v>
      </c>
      <c r="U30" s="35" t="n">
        <f aca="false">LOOKUP(DATE($O30,U$25,U$24),$A$2:$A$2948,$H$2:$H$2948)</f>
        <v>0</v>
      </c>
      <c r="V30" s="35" t="n">
        <f aca="false">LOOKUP(DATE($O30,V$25,V$24),$A$2:$A$2948,$H$2:$H$2948)</f>
        <v>0</v>
      </c>
      <c r="W30" s="35" t="n">
        <f aca="false">LOOKUP(DATE($O30,W$25,W$24),$A$2:$A$2948,$H$2:$H$2948)</f>
        <v>0</v>
      </c>
      <c r="X30" s="35" t="n">
        <f aca="false">LOOKUP(DATE($O30,X$25,X$24),$A$2:$A$2948,$H$2:$H$2948)</f>
        <v>0</v>
      </c>
      <c r="Y30" s="35" t="n">
        <f aca="false">LOOKUP(DATE($O30,Y$25,Y$24),$A$2:$A$2948,$H$2:$H$2948)</f>
        <v>0</v>
      </c>
      <c r="Z30" s="35" t="n">
        <f aca="false">LOOKUP(DATE($O30,Z$25,Z$24),$A$2:$A$2948,$H$2:$H$2948)</f>
        <v>0</v>
      </c>
      <c r="AA30" s="35" t="n">
        <f aca="false">LOOKUP(DATE($O30,AA$25,AA$24),$A$2:$A$2948,$H$2:$H$2948)</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LOOKUP(DATE($O31,P$25,P$24),$A$2:$A$2948,$H$2:$H$2948)</f>
        <v>0</v>
      </c>
      <c r="Q31" s="35" t="n">
        <f aca="false">LOOKUP(DATE($O31,Q$25,Q$24)+1,$A$2:$A$2948,$H$2:$H$2948)</f>
        <v>0</v>
      </c>
      <c r="R31" s="35" t="n">
        <f aca="false">LOOKUP(DATE($O31,R$25,R$24)+1,$A$2:$A$2948,$H$2:$H$2948)</f>
        <v>0</v>
      </c>
      <c r="S31" s="35" t="n">
        <f aca="false">LOOKUP(DATE($O31,S$25,S$24)+1,$A$2:$A$2948,$H$2:$H$2948)</f>
        <v>0</v>
      </c>
      <c r="T31" s="35" t="n">
        <f aca="false">LOOKUP(DATE($O31,T$25,T$24)+1,$A$2:$A$2948,$H$2:$H$2948)</f>
        <v>0</v>
      </c>
      <c r="U31" s="35" t="n">
        <f aca="false">LOOKUP(DATE($O31,U$25,U$24)+1,$A$2:$A$2948,$H$2:$H$2948)</f>
        <v>0</v>
      </c>
      <c r="V31" s="35" t="n">
        <f aca="false">LOOKUP(DATE($O31,V$25,V$24)+1,$A$2:$A$2948,$H$2:$H$2948)</f>
        <v>0</v>
      </c>
      <c r="W31" s="35" t="n">
        <f aca="false">LOOKUP(DATE($O31,W$25,W$24)+1,$A$2:$A$2948,$H$2:$H$2948)</f>
        <v>0</v>
      </c>
      <c r="X31" s="35" t="n">
        <f aca="false">LOOKUP(DATE($O31,X$25,X$24)+1,$A$2:$A$2948,$H$2:$H$2948)</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0.00601570555324638</v>
      </c>
      <c r="AY31" s="43" t="n">
        <f aca="false">$AW22/AY22-1</f>
        <v>0.0179347056009498</v>
      </c>
      <c r="AZ31" s="43" t="n">
        <f aca="false">$AW22/AZ22-1</f>
        <v>0.0361819679755682</v>
      </c>
      <c r="BA31" s="43" t="n">
        <f aca="false">$AW22/BA22-1</f>
        <v>0.0736485064764494</v>
      </c>
      <c r="BB31" s="43" t="n">
        <f aca="false">+AQ88</f>
        <v>0.0538041168028494</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t="n">
        <f aca="false">+H212</f>
        <v>1030.0772</v>
      </c>
      <c r="S34" s="20" t="n">
        <f aca="false">+H213</f>
        <v>1041.3576</v>
      </c>
      <c r="T34" s="20" t="n">
        <f aca="false">+H214</f>
        <v>1053.0477</v>
      </c>
      <c r="U34" s="20" t="n">
        <f aca="false">+H215</f>
        <v>1063.8525</v>
      </c>
      <c r="V34" s="20" t="n">
        <f aca="false">+H216</f>
        <v>1075.2368</v>
      </c>
      <c r="W34" s="20" t="n">
        <f aca="false">+H217</f>
        <v>1085.6804</v>
      </c>
      <c r="X34" s="20" t="n">
        <f aca="false">+H218</f>
        <v>1095.7239</v>
      </c>
      <c r="Y34" s="20" t="n">
        <f aca="false">+H219</f>
        <v>1105.6017</v>
      </c>
      <c r="Z34" s="20" t="n">
        <f aca="false">+H220</f>
        <v>1114.9482</v>
      </c>
      <c r="AA34" s="20" t="n">
        <f aca="false">+H221</f>
        <v>1124.525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+H222+S156+S158</f>
        <v>1134.3258</v>
      </c>
      <c r="Q35" s="20" t="n">
        <f aca="false">+H223+S156+S158</f>
        <v>1142.0342</v>
      </c>
      <c r="R35" s="20" t="n">
        <f aca="false">+H224+S156+S158</f>
        <v>1149.2029</v>
      </c>
      <c r="S35" s="20" t="n">
        <f aca="false">+H225+S156+S158</f>
        <v>1156.9295</v>
      </c>
      <c r="T35" s="20" t="n">
        <f aca="false">+H226+S156+S158</f>
        <v>1164.4806</v>
      </c>
      <c r="U35" s="20" t="n">
        <f aca="false">+H227+S156+S158</f>
        <v>1171.3699</v>
      </c>
      <c r="V35" s="20" t="n">
        <f aca="false">+H228+S156+S158</f>
        <v>1177.7276</v>
      </c>
      <c r="W35" s="20" t="n">
        <f aca="false">+H229+S156+S158</f>
        <v>1184.1573</v>
      </c>
      <c r="X35" s="20" t="n">
        <f aca="false">+H230+S156+S158</f>
        <v>1190.044</v>
      </c>
      <c r="Y35" s="20" t="n">
        <f aca="false">+H231+S156+S158</f>
        <v>1195.5641</v>
      </c>
      <c r="Z35" s="20" t="n">
        <f aca="false">+H232</f>
        <v>1200.91884808201</v>
      </c>
      <c r="AA35" s="20" t="n">
        <f aca="false">+H233</f>
        <v>1205.60864808201</v>
      </c>
      <c r="AD35" s="21" t="n">
        <v>2023</v>
      </c>
      <c r="AE35" s="22"/>
      <c r="AF35" s="22"/>
      <c r="AG35" s="22"/>
      <c r="AH35" s="22" t="n">
        <f aca="false">+(S34/R34-1)</f>
        <v>0.0109510238650075</v>
      </c>
      <c r="AI35" s="22" t="n">
        <f aca="false">+(T34/S34-1)</f>
        <v>0.0112258267476995</v>
      </c>
      <c r="AJ35" s="22" t="n">
        <f aca="false">+(U34/T34-1)</f>
        <v>0.010260503868913</v>
      </c>
      <c r="AK35" s="22" t="n">
        <f aca="false">+(V34/U34-1)</f>
        <v>0.0107010135333612</v>
      </c>
      <c r="AL35" s="22" t="n">
        <f aca="false">+(W34/V34-1)</f>
        <v>0.00971283720944061</v>
      </c>
      <c r="AM35" s="22" t="n">
        <f aca="false">+(X34/W34-1)</f>
        <v>0.00925088083012282</v>
      </c>
      <c r="AN35" s="22" t="n">
        <f aca="false">+(Y34/X34-1)</f>
        <v>0.00901486222943571</v>
      </c>
      <c r="AO35" s="22" t="n">
        <f aca="false">+(Z34/Y34-1)</f>
        <v>0.00845376775379436</v>
      </c>
      <c r="AP35" s="22" t="n">
        <f aca="false">+(AA34/Z34-1)</f>
        <v>0.00858945733981198</v>
      </c>
      <c r="AQ35" s="23" t="n">
        <f aca="false">+(AA34/R34-1)/COUNTA(AE35:AP35)*12</f>
        <v>0.122253361204384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+H234+S156+S158</f>
        <v>1210.74064808201</v>
      </c>
      <c r="Q36" s="20" t="n">
        <f aca="false">+H235</f>
        <v>1216.63074808201</v>
      </c>
      <c r="R36" s="20" t="n">
        <f aca="false">+H236</f>
        <v>1222.72204808201</v>
      </c>
      <c r="S36" s="20" t="n">
        <f aca="false">+H237</f>
        <v>1231.09624808201</v>
      </c>
      <c r="T36" s="20" t="n">
        <f aca="false">+H238</f>
        <v>1238.35384808201</v>
      </c>
      <c r="U36" s="20" t="n">
        <f aca="false">+H239</f>
        <v>1245.83564808201</v>
      </c>
      <c r="V36" s="20" t="n">
        <f aca="false">+H240</f>
        <v>1253.05794808201</v>
      </c>
      <c r="W36" s="20" t="n">
        <f aca="false">+H241</f>
        <v>1260.73224808201</v>
      </c>
      <c r="X36" s="20" t="n">
        <f aca="false">+H242</f>
        <v>1268.07794808201</v>
      </c>
      <c r="Y36" s="20" t="n">
        <f aca="false">+H243</f>
        <v>1275.61054808201</v>
      </c>
      <c r="Z36" s="20" t="n">
        <f aca="false">+H244</f>
        <v>1283.04744808201</v>
      </c>
      <c r="AA36" s="20" t="n">
        <f aca="false">+H245</f>
        <v>1290.76384808201</v>
      </c>
      <c r="AD36" s="21" t="n">
        <v>2024</v>
      </c>
      <c r="AE36" s="22" t="n">
        <f aca="false">+(P35/AA34-1)</f>
        <v>0.00871550210088712</v>
      </c>
      <c r="AF36" s="22" t="n">
        <f aca="false">+(Q35/P35-1)</f>
        <v>0.00679557848371259</v>
      </c>
      <c r="AG36" s="22" t="n">
        <f aca="false">+(R35/Q35-1)</f>
        <v>0.00627713250618944</v>
      </c>
      <c r="AH36" s="22" t="n">
        <f aca="false">+(S35/R35-1)</f>
        <v>0.00672344283154858</v>
      </c>
      <c r="AI36" s="22" t="n">
        <f aca="false">+(T35/S35-1)</f>
        <v>0.00652684541279314</v>
      </c>
      <c r="AJ36" s="22" t="n">
        <f aca="false">+(U35/T35-1)</f>
        <v>0.00591619989203784</v>
      </c>
      <c r="AK36" s="22" t="n">
        <f aca="false">+(V35/U35-1)</f>
        <v>0.00542757672021432</v>
      </c>
      <c r="AL36" s="22" t="n">
        <f aca="false">+(W35/V35-1)</f>
        <v>0.00545941183682897</v>
      </c>
      <c r="AM36" s="22" t="n">
        <f aca="false">+(X35/W35-1)</f>
        <v>0.00497121455063443</v>
      </c>
      <c r="AN36" s="22" t="n">
        <f aca="false">+(Y35/X35-1)</f>
        <v>0.00463856798572149</v>
      </c>
      <c r="AO36" s="22" t="n">
        <f aca="false">+(Z35/Y35-1)</f>
        <v>0.00447884649765395</v>
      </c>
      <c r="AP36" s="22" t="n">
        <f aca="false">+(AA35/Z35-1)</f>
        <v>0.00390517644676014</v>
      </c>
      <c r="AQ36" s="23" t="n">
        <f aca="false">+(AA35/AA34-1)/COUNTA(AE36:AP36)*12</f>
        <v>0.0721047980987579</v>
      </c>
      <c r="AR36" s="9"/>
      <c r="AS36" s="9"/>
    </row>
    <row r="37" customFormat="false" ht="15" hidden="false" customHeight="false" outlineLevel="0" collapsed="false">
      <c r="A37" s="17"/>
      <c r="B37" s="20"/>
      <c r="C37" s="25"/>
      <c r="D37" s="19"/>
      <c r="E37" s="19"/>
      <c r="F37" s="19"/>
      <c r="O37" s="3" t="n">
        <v>2026</v>
      </c>
      <c r="P37" s="20" t="n">
        <f aca="false">+H246</f>
        <v>1298.47684808201</v>
      </c>
      <c r="Q37" s="20" t="n">
        <f aca="false">+H247</f>
        <v>1305.88914808201</v>
      </c>
      <c r="R37" s="20" t="n">
        <f aca="false">+H248</f>
        <v>1313.86084808201</v>
      </c>
      <c r="S37" s="20" t="n">
        <f aca="false">+H249</f>
        <v>1321.76464808201</v>
      </c>
      <c r="T37" s="20"/>
      <c r="U37" s="20"/>
      <c r="V37" s="20"/>
      <c r="W37" s="20"/>
      <c r="X37" s="20"/>
      <c r="Y37" s="20"/>
      <c r="Z37" s="20"/>
      <c r="AA37" s="20"/>
      <c r="AD37" s="21" t="n">
        <v>2025</v>
      </c>
      <c r="AE37" s="22" t="n">
        <f aca="false">+(P36/AA35-1)</f>
        <v>0.00425677105764333</v>
      </c>
      <c r="AF37" s="22" t="n">
        <f aca="false">+(Q36/P36-1)</f>
        <v>0.0048648734221739</v>
      </c>
      <c r="AG37" s="22" t="n">
        <f aca="false">+(R36/Q36-1)</f>
        <v>0.00500669575350021</v>
      </c>
      <c r="AH37" s="22" t="n">
        <f aca="false">+(S36/R36-1)</f>
        <v>0.00684881736870291</v>
      </c>
      <c r="AI37" s="22" t="n">
        <f aca="false">+(T36/S36-1)</f>
        <v>0.0058952336271898</v>
      </c>
      <c r="AJ37" s="22" t="n">
        <f aca="false">+(U36/T36-1)</f>
        <v>0.00604173032739208</v>
      </c>
      <c r="AK37" s="22" t="n">
        <f aca="false">+(V36/U36-1)</f>
        <v>0.00579715310853324</v>
      </c>
      <c r="AL37" s="22" t="n">
        <f aca="false">+(W36/V36-1)</f>
        <v>0.00612445738183665</v>
      </c>
      <c r="AM37" s="22" t="n">
        <f aca="false">+(X36/W36-1)</f>
        <v>0.00582653454861282</v>
      </c>
      <c r="AN37" s="22" t="n">
        <f aca="false">+(Y36/X36-1)</f>
        <v>0.00594017111597367</v>
      </c>
      <c r="AO37" s="22" t="n">
        <f aca="false">+(Z36/Y36-1)</f>
        <v>0.00583007095008892</v>
      </c>
      <c r="AP37" s="22" t="n">
        <f aca="false">+(AA36/Z36-1)</f>
        <v>0.00601411897240056</v>
      </c>
      <c r="AQ37" s="23" t="n">
        <f aca="false">+(AA36/P36-1)/COUNTA(AE37:AP37)*12</f>
        <v>0.0660944192521895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0.00597553147422048</v>
      </c>
      <c r="AF38" s="22" t="n">
        <f aca="false">+(Q37/P37-1)</f>
        <v>0.00570845757546534</v>
      </c>
      <c r="AG38" s="22" t="n">
        <f aca="false">+(R37/Q37-1)</f>
        <v>0.00610442319067306</v>
      </c>
      <c r="AH38" s="22" t="n">
        <f aca="false">+(S37/R37-1)</f>
        <v>0.00601570555324638</v>
      </c>
      <c r="AQ38" s="23" t="n">
        <f aca="false">+(S37/P37-1)/COUNTA(AE38:AP38)*12</f>
        <v>0.0538041168028494</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3"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41</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t="n">
        <f aca="false">+AH35</f>
        <v>0.0109510238650075</v>
      </c>
      <c r="AI79" s="60" t="n">
        <f aca="false">+AI35</f>
        <v>0.0112258267476995</v>
      </c>
      <c r="AJ79" s="60" t="n">
        <f aca="false">+AJ35</f>
        <v>0.010260503868913</v>
      </c>
      <c r="AK79" s="60" t="n">
        <f aca="false">+AK35</f>
        <v>0.0107010135333612</v>
      </c>
      <c r="AL79" s="60" t="n">
        <f aca="false">+AL35</f>
        <v>0.00971283720944061</v>
      </c>
      <c r="AM79" s="60" t="n">
        <f aca="false">+AM35</f>
        <v>0.00925088083012282</v>
      </c>
      <c r="AN79" s="60" t="n">
        <f aca="false">+AN35</f>
        <v>0.00901486222943571</v>
      </c>
      <c r="AO79" s="60" t="n">
        <f aca="false">+AO35</f>
        <v>0.00845376775379436</v>
      </c>
      <c r="AP79" s="60" t="n">
        <f aca="false">+AP35</f>
        <v>0.00858945733981198</v>
      </c>
      <c r="AQ79" s="60" t="n">
        <f aca="false">+AQ35</f>
        <v>0.122253361204384</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0.00871550210088712</v>
      </c>
      <c r="AF82" s="60" t="n">
        <f aca="false">+AF36</f>
        <v>0.00679557848371259</v>
      </c>
      <c r="AG82" s="60" t="n">
        <f aca="false">+AG36</f>
        <v>0.00627713250618944</v>
      </c>
      <c r="AH82" s="60" t="n">
        <f aca="false">+AH36</f>
        <v>0.00672344283154858</v>
      </c>
      <c r="AI82" s="60" t="n">
        <f aca="false">+AI36</f>
        <v>0.00652684541279314</v>
      </c>
      <c r="AJ82" s="60" t="n">
        <f aca="false">+AJ36</f>
        <v>0.00591619989203784</v>
      </c>
      <c r="AK82" s="60" t="n">
        <f aca="false">+AK36</f>
        <v>0.00542757672021432</v>
      </c>
      <c r="AL82" s="60" t="n">
        <f aca="false">+AL36</f>
        <v>0.00545941183682897</v>
      </c>
      <c r="AM82" s="60" t="n">
        <f aca="false">+AM36</f>
        <v>0.00497121455063443</v>
      </c>
      <c r="AN82" s="60" t="n">
        <f aca="false">+AN36</f>
        <v>0.00463856798572149</v>
      </c>
      <c r="AO82" s="60" t="n">
        <f aca="false">+AO36</f>
        <v>0.00447884649765395</v>
      </c>
      <c r="AP82" s="60" t="n">
        <f aca="false">+AP36</f>
        <v>0.00390517644676014</v>
      </c>
      <c r="AQ82" s="60" t="n">
        <f aca="false">+AQ36</f>
        <v>0.0721047980987579</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0.00425677105764333</v>
      </c>
      <c r="AF85" s="60" t="n">
        <f aca="false">+AF37</f>
        <v>0.0048648734221739</v>
      </c>
      <c r="AG85" s="60" t="n">
        <f aca="false">+AG37</f>
        <v>0.00500669575350021</v>
      </c>
      <c r="AH85" s="60" t="n">
        <f aca="false">+AH37</f>
        <v>0.00684881736870291</v>
      </c>
      <c r="AI85" s="60" t="n">
        <f aca="false">+AI37</f>
        <v>0.0058952336271898</v>
      </c>
      <c r="AJ85" s="60" t="n">
        <f aca="false">+AJ37</f>
        <v>0.00604173032739208</v>
      </c>
      <c r="AK85" s="60" t="n">
        <f aca="false">+AK37</f>
        <v>0.00579715310853324</v>
      </c>
      <c r="AL85" s="60" t="n">
        <f aca="false">+AL37</f>
        <v>0.00612445738183665</v>
      </c>
      <c r="AM85" s="60" t="n">
        <f aca="false">+AM37</f>
        <v>0.00582653454861282</v>
      </c>
      <c r="AN85" s="60" t="n">
        <f aca="false">+AN37</f>
        <v>0.00594017111597367</v>
      </c>
      <c r="AO85" s="60" t="n">
        <f aca="false">+AO37</f>
        <v>0.00583007095008892</v>
      </c>
      <c r="AP85" s="60" t="n">
        <f aca="false">+AP37</f>
        <v>0.00601411897240056</v>
      </c>
      <c r="AQ85" s="60" t="n">
        <f aca="false">+AQ37</f>
        <v>0.0660944192521895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0.00597553147422048</v>
      </c>
      <c r="AF88" s="60" t="n">
        <f aca="false">+AF38</f>
        <v>0.00570845757546534</v>
      </c>
      <c r="AG88" s="60" t="n">
        <f aca="false">+AG38</f>
        <v>0.00610442319067306</v>
      </c>
      <c r="AH88" s="60" t="n">
        <f aca="false">+AH38</f>
        <v>0.00601570555324638</v>
      </c>
      <c r="AI88" s="60"/>
      <c r="AJ88" s="60"/>
      <c r="AK88" s="60"/>
      <c r="AL88" s="60"/>
      <c r="AM88" s="60"/>
      <c r="AN88" s="60"/>
      <c r="AO88" s="60"/>
      <c r="AP88" s="60"/>
      <c r="AQ88" s="60" t="n">
        <f aca="false">+AQ38</f>
        <v>0.0538041168028494</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43008</v>
      </c>
      <c r="AE92" s="62" t="n">
        <v>0.00311210000000006</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43039</v>
      </c>
      <c r="AE93" s="62" t="n">
        <v>0.00266354947734888</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43069</v>
      </c>
      <c r="AE94" s="62" t="n">
        <v>0.00270401929468234</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43100</v>
      </c>
      <c r="AE95" s="62" t="n">
        <v>0.00300965446914445</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43131</v>
      </c>
      <c r="AE96" s="62" t="n">
        <v>0.00473727239934226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43159</v>
      </c>
      <c r="AE97" s="62" t="n">
        <v>0.00378152301954046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43190</v>
      </c>
      <c r="AE98" s="62" t="n">
        <v>0.00300527511908573</v>
      </c>
    </row>
    <row r="99" s="4" customFormat="true" ht="15" hidden="false" customHeight="false" outlineLevel="0" collapsed="false">
      <c r="A99" s="17" t="n">
        <v>41578</v>
      </c>
      <c r="B99" s="20" t="n">
        <v>15554.36</v>
      </c>
      <c r="C99" s="25" t="n">
        <f aca="false">(B99/B98-1)/(A99-A98)*30</f>
        <v>0.00395880485699199</v>
      </c>
      <c r="D99" s="19"/>
      <c r="E99" s="19"/>
      <c r="F99" s="19"/>
      <c r="I99" s="5"/>
      <c r="AD99" s="17" t="n">
        <v>43220</v>
      </c>
      <c r="AE99" s="62" t="n">
        <v>0.00316130254575997</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43251</v>
      </c>
      <c r="AE100" s="62" t="n">
        <v>0.00310067866389014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43281</v>
      </c>
      <c r="AE101" s="62" t="n">
        <v>0.00287709140845549</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43312</v>
      </c>
      <c r="AE102" s="62" t="n">
        <v>0.00279025405786912</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43343</v>
      </c>
      <c r="AE103" s="62" t="n">
        <v>0.00269722002207049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43373</v>
      </c>
      <c r="AE104" s="62" t="n">
        <v>0.00294678677406712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43404</v>
      </c>
      <c r="AE105" s="62" t="n">
        <v>0.00273411579812808</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43434</v>
      </c>
      <c r="AE106" s="62" t="n">
        <v>0.00284409288655185</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43465</v>
      </c>
      <c r="AE107" s="62" t="n">
        <v>0.00262659891580654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43496</v>
      </c>
      <c r="AE108" s="62" t="n">
        <v>0.00281430328228941</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43524</v>
      </c>
      <c r="AE109" s="62" t="n">
        <v>0.00282360638687196</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43555</v>
      </c>
      <c r="AE110" s="62" t="n">
        <v>0.00286536279403882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43585</v>
      </c>
      <c r="AE111" s="62" t="n">
        <v>0.00293240905161363</v>
      </c>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29.45</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29.45</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29.4450480820057</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v>100</v>
      </c>
      <c r="F211" s="17" t="n">
        <v>45014</v>
      </c>
      <c r="G211" s="4" t="n">
        <v>999.9918</v>
      </c>
      <c r="H211" s="4" t="n">
        <v>1000</v>
      </c>
      <c r="I211" s="25" t="n">
        <v>0</v>
      </c>
      <c r="J211" s="18" t="n">
        <v>100</v>
      </c>
      <c r="K211" s="3" t="n">
        <v>5371.762</v>
      </c>
      <c r="L211" s="68" t="n">
        <f aca="false">+(K211/K210-1)/(F211-A210)*30</f>
        <v>0.00388829939564426</v>
      </c>
      <c r="M211" s="19" t="n">
        <v>100</v>
      </c>
    </row>
    <row r="212" customFormat="false" ht="15" hidden="false" customHeight="false" outlineLevel="0" collapsed="false">
      <c r="A212" s="17" t="n">
        <v>45016</v>
      </c>
      <c r="B212" s="3" t="n">
        <v>21517.9</v>
      </c>
      <c r="C212" s="25" t="n">
        <f aca="false">(B212/B211-1)/(A212-A211)*30</f>
        <v>0.00941788816879581</v>
      </c>
      <c r="D212" s="19" t="n">
        <f aca="false">+D211*(1+C212)</f>
        <v>100.94178881688</v>
      </c>
      <c r="F212" s="17" t="n">
        <v>45016</v>
      </c>
      <c r="G212" s="4" t="n">
        <v>1000.6272</v>
      </c>
      <c r="H212" s="4" t="n">
        <f aca="false">+G212+$S$148+$S$150+$S$152+$S$154+$S$156+$S$158</f>
        <v>1030.0772</v>
      </c>
      <c r="I212" s="25" t="n">
        <f aca="false">+(H212/H211-1)/(F212-F211)*2</f>
        <v>0.0300772</v>
      </c>
      <c r="J212" s="18" t="n">
        <f aca="false">+J211*(1+I212)</f>
        <v>103.00772</v>
      </c>
      <c r="K212" s="3" t="n">
        <v>5415.8662</v>
      </c>
      <c r="L212" s="68" t="n">
        <f aca="false">+(K212/K211-1)/(F212-A211)*30</f>
        <v>0.00794552771901819</v>
      </c>
      <c r="M212" s="19" t="n">
        <f aca="false">+M211*(1+L212)</f>
        <v>100.794552771902</v>
      </c>
    </row>
    <row r="213" customFormat="false" ht="15" hidden="false" customHeight="false" outlineLevel="0" collapsed="false">
      <c r="A213" s="17" t="n">
        <v>45044</v>
      </c>
      <c r="B213" s="3" t="n">
        <v>21706.94</v>
      </c>
      <c r="C213" s="25" t="n">
        <f aca="false">(B213/B212-1)/(A213-A212)*30</f>
        <v>0.00941276133557894</v>
      </c>
      <c r="D213" s="19" t="n">
        <f aca="false">+D212*(1+C213)</f>
        <v>101.891929783799</v>
      </c>
      <c r="F213" s="17" t="n">
        <v>45044</v>
      </c>
      <c r="G213" s="4" t="n">
        <v>1011.9076</v>
      </c>
      <c r="H213" s="4" t="n">
        <f aca="false">+G213+$S$148+$S$150+$S$152+$S$154+$S$156+$S$158</f>
        <v>1041.3576</v>
      </c>
      <c r="I213" s="25" t="n">
        <f aca="false">+(H213/H212-1)/(F213-F212)*30</f>
        <v>0.0117332398553651</v>
      </c>
      <c r="J213" s="18" t="n">
        <f aca="false">+J212*(1+I213)</f>
        <v>104.216334285714</v>
      </c>
      <c r="K213" s="3" t="n">
        <v>5456.2587</v>
      </c>
      <c r="L213" s="68" t="n">
        <f aca="false">+(K213/K212-1)/(F213-A212)*30</f>
        <v>0.00799090615854378</v>
      </c>
      <c r="M213" s="19" t="n">
        <f aca="false">+M212*(1+L213)</f>
        <v>101.599992584394</v>
      </c>
    </row>
    <row r="214" customFormat="false" ht="15" hidden="false" customHeight="false" outlineLevel="0" collapsed="false">
      <c r="A214" s="17" t="n">
        <v>45077</v>
      </c>
      <c r="B214" s="3" t="n">
        <v>21931.86</v>
      </c>
      <c r="C214" s="25" t="n">
        <f aca="false">(B214/B213-1)/(A214-A213)*30</f>
        <v>0.00941969376027792</v>
      </c>
      <c r="D214" s="19" t="n">
        <f aca="false">+D213*(1+C214)</f>
        <v>102.851720559006</v>
      </c>
      <c r="F214" s="17" t="n">
        <v>45077</v>
      </c>
      <c r="G214" s="4" t="n">
        <v>1023.5977</v>
      </c>
      <c r="H214" s="4" t="n">
        <f aca="false">+G214+$S$148+$S$150+$S$152+$S$154+$S$156+$S$158</f>
        <v>1053.0477</v>
      </c>
      <c r="I214" s="25" t="n">
        <f aca="false">+(H214/H213-1)/(F214-F213)*30</f>
        <v>0.0102052970433631</v>
      </c>
      <c r="J214" s="18" t="n">
        <f aca="false">+J213*(1+I214)</f>
        <v>105.27989293387</v>
      </c>
      <c r="K214" s="18" t="n">
        <v>5504.4106</v>
      </c>
      <c r="L214" s="68" t="n">
        <f aca="false">+(K214/K213-1)/(F214-A213)*30</f>
        <v>0.00802279674632251</v>
      </c>
      <c r="M214" s="19" t="n">
        <f aca="false">+M213*(1+L214)</f>
        <v>102.415108674327</v>
      </c>
    </row>
    <row r="215" customFormat="false" ht="15" hidden="false" customHeight="false" outlineLevel="0" collapsed="false">
      <c r="A215" s="17" t="n">
        <v>45107</v>
      </c>
      <c r="B215" s="3" t="n">
        <v>22138.35</v>
      </c>
      <c r="C215" s="25" t="n">
        <f aca="false">(B215/B214-1)/(A215-A214)*30</f>
        <v>0.00941507013085063</v>
      </c>
      <c r="D215" s="19" t="n">
        <f aca="false">+D214*(1+C215)</f>
        <v>103.820076721148</v>
      </c>
      <c r="F215" s="17" t="n">
        <v>45107</v>
      </c>
      <c r="G215" s="4" t="n">
        <v>1034.4025</v>
      </c>
      <c r="H215" s="4" t="n">
        <f aca="false">+G215+$S$148+$S$150+$S$152+$S$154+$S$156+$S$158</f>
        <v>1063.8525</v>
      </c>
      <c r="I215" s="25" t="n">
        <f aca="false">+(H215/H214-1)/(F215-F214)*30</f>
        <v>0.010260503868913</v>
      </c>
      <c r="J215" s="18" t="n">
        <f aca="false">+J214*(1+I215)</f>
        <v>106.360117682637</v>
      </c>
      <c r="K215" s="3" t="n">
        <v>5548.4618</v>
      </c>
      <c r="L215" s="68" t="n">
        <f aca="false">+(K215/K214-1)/(F215-A214)*30</f>
        <v>0.00800289135407151</v>
      </c>
      <c r="M215" s="19" t="n">
        <f aca="false">+M214*(1+L215)</f>
        <v>103.234725662063</v>
      </c>
    </row>
    <row r="216" customFormat="false" ht="15" hidden="false" customHeight="false" outlineLevel="0" collapsed="false">
      <c r="A216" s="17" t="n">
        <v>45138</v>
      </c>
      <c r="B216" s="3" t="n">
        <v>22353.79</v>
      </c>
      <c r="C216" s="25" t="n">
        <f aca="false">(B216/B215-1)/(A216-A215)*30</f>
        <v>0.00941760892662041</v>
      </c>
      <c r="D216" s="19" t="n">
        <f aca="false">+D215*(1+C216)</f>
        <v>104.79781360244</v>
      </c>
      <c r="F216" s="17" t="n">
        <v>45138</v>
      </c>
      <c r="G216" s="4" t="n">
        <v>1045.7868</v>
      </c>
      <c r="H216" s="4" t="n">
        <f aca="false">+G216+$S$148+$S$150+$S$152+$S$154+$S$156+$S$158</f>
        <v>1075.2368</v>
      </c>
      <c r="I216" s="25" t="n">
        <f aca="false">+(H216/H215-1)/(F216-F215)*30</f>
        <v>0.010355819548414</v>
      </c>
      <c r="J216" s="18" t="n">
        <f aca="false">+J215*(1+I216)</f>
        <v>107.461563868507</v>
      </c>
      <c r="K216" s="3" t="n">
        <v>5593.984</v>
      </c>
      <c r="L216" s="68" t="n">
        <f aca="false">+(K216/K215-1)/(F216-A215)*30</f>
        <v>0.00793981170339564</v>
      </c>
      <c r="M216" s="19" t="n">
        <f aca="false">+M215*(1+L216)</f>
        <v>104.054389945071</v>
      </c>
    </row>
    <row r="217" customFormat="false" ht="15" hidden="false" customHeight="false" outlineLevel="0" collapsed="false">
      <c r="A217" s="17" t="n">
        <v>45169</v>
      </c>
      <c r="B217" s="3" t="n">
        <v>22551.92</v>
      </c>
      <c r="C217" s="25" t="n">
        <f aca="false">(B217/B216-1)/(A217-A216)*30</f>
        <v>0.00857745866259888</v>
      </c>
      <c r="D217" s="19" t="n">
        <f aca="false">+D216*(1+C217)</f>
        <v>105.696712516545</v>
      </c>
      <c r="F217" s="17" t="n">
        <v>45169</v>
      </c>
      <c r="G217" s="4" t="n">
        <v>1056.2304</v>
      </c>
      <c r="H217" s="4" t="n">
        <f aca="false">+G217+$S$148+$S$150+$S$152+$S$154+$S$156+$S$158</f>
        <v>1085.6804</v>
      </c>
      <c r="I217" s="25" t="n">
        <f aca="false">+(H217/H216-1)/(F217-F216)*30</f>
        <v>0.00939951988010381</v>
      </c>
      <c r="J217" s="18" t="n">
        <f aca="false">+J216*(1+I217)</f>
        <v>108.471650974436</v>
      </c>
      <c r="K217" s="3" t="n">
        <v>5636.4775</v>
      </c>
      <c r="L217" s="68" t="n">
        <f aca="false">+(K217/K216-1)/(F217-A216)*30</f>
        <v>0.00735124411072392</v>
      </c>
      <c r="M217" s="19" t="n">
        <f aca="false">+M216*(1+L217)</f>
        <v>104.81931916635</v>
      </c>
    </row>
    <row r="218" customFormat="false" ht="15" hidden="false" customHeight="false" outlineLevel="0" collapsed="false">
      <c r="A218" s="17" t="n">
        <v>45199</v>
      </c>
      <c r="B218" s="3" t="n">
        <v>22727.72</v>
      </c>
      <c r="C218" s="25" t="n">
        <f aca="false">(B218/B217-1)/(A218-A217)*30</f>
        <v>0.00779534514134506</v>
      </c>
      <c r="D218" s="19" t="n">
        <f aca="false">+D217*(1+C218)</f>
        <v>106.520654870917</v>
      </c>
      <c r="F218" s="17" t="n">
        <v>45199</v>
      </c>
      <c r="G218" s="4" t="n">
        <v>1066.2739</v>
      </c>
      <c r="H218" s="4" t="n">
        <f aca="false">+G218+$S$148+$S$150+$S$152+$S$154+$S$156+$S$158</f>
        <v>1095.7239</v>
      </c>
      <c r="I218" s="25" t="n">
        <f aca="false">+(H218/H217-1)/(F218-F217)*30</f>
        <v>0.00925088083012282</v>
      </c>
      <c r="J218" s="18" t="n">
        <f aca="false">+J217*(1+I218)</f>
        <v>109.475109291047</v>
      </c>
      <c r="K218" s="3" t="n">
        <v>5674.72</v>
      </c>
      <c r="L218" s="68" t="n">
        <f aca="false">+(K218/K217-1)/(F218-A217)*30</f>
        <v>0.00678482261305935</v>
      </c>
      <c r="M218" s="19" t="n">
        <f aca="false">+M217*(1+L218)</f>
        <v>105.530499653315</v>
      </c>
    </row>
    <row r="219" customFormat="false" ht="15" hidden="false" customHeight="false" outlineLevel="0" collapsed="false">
      <c r="A219" s="17" t="n">
        <v>45230</v>
      </c>
      <c r="B219" s="19" t="n">
        <v>22920</v>
      </c>
      <c r="C219" s="25" t="n">
        <f aca="false">(B219/B218-1)/(A219-A218)*30</f>
        <v>0.0081872453266249</v>
      </c>
      <c r="D219" s="19" t="n">
        <f aca="false">+D218*(1+C219)</f>
        <v>107.392765604698</v>
      </c>
      <c r="F219" s="17" t="n">
        <v>45230</v>
      </c>
      <c r="G219" s="4" t="n">
        <v>1076.1517</v>
      </c>
      <c r="H219" s="4" t="n">
        <f aca="false">+G219+$S$148+$S$150+$S$152+$S$154+$S$156+$S$158</f>
        <v>1105.6017</v>
      </c>
      <c r="I219" s="25" t="n">
        <f aca="false">+(H219/H218-1)/(F219-F218)*30</f>
        <v>0.00872406022203455</v>
      </c>
      <c r="J219" s="18" t="n">
        <f aca="false">+J218*(1+I219)</f>
        <v>110.430176737316</v>
      </c>
      <c r="K219" s="3" t="n">
        <v>5712.6049</v>
      </c>
      <c r="L219" s="68" t="n">
        <f aca="false">+(K219/K218-1)/(F219-A218)*30</f>
        <v>0.0064607251902496</v>
      </c>
      <c r="M219" s="19" t="n">
        <f aca="false">+M218*(1+L219)</f>
        <v>106.212303210765</v>
      </c>
    </row>
    <row r="220" customFormat="false" ht="15" hidden="false" customHeight="false" outlineLevel="0" collapsed="false">
      <c r="A220" s="17" t="n">
        <v>45260</v>
      </c>
      <c r="B220" s="3" t="n">
        <v>23092.51</v>
      </c>
      <c r="C220" s="25" t="n">
        <f aca="false">(B220/B219-1)/(A220-A219)*30</f>
        <v>0.00752661431064561</v>
      </c>
      <c r="D220" s="19" t="n">
        <f aca="false">+D219*(1+C220)</f>
        <v>108.201069531158</v>
      </c>
      <c r="F220" s="17" t="n">
        <v>45260</v>
      </c>
      <c r="G220" s="4" t="n">
        <v>1085.4982</v>
      </c>
      <c r="H220" s="4" t="n">
        <f aca="false">+G220+$S$148+$S$150+$S$152+$S$154+$S$156+$S$158</f>
        <v>1114.9482</v>
      </c>
      <c r="I220" s="25" t="n">
        <f aca="false">+(H220/H219-1)/(F220-F219)*30</f>
        <v>0.00845376775379436</v>
      </c>
      <c r="J220" s="18" t="n">
        <f aca="false">+J219*(1+I220)</f>
        <v>111.363727804464</v>
      </c>
      <c r="K220" s="18" t="n">
        <v>5747.8492</v>
      </c>
      <c r="L220" s="25" t="n">
        <f aca="false">+(K220/K219-1)/(F220-F219)*30</f>
        <v>0.00616956723192952</v>
      </c>
      <c r="M220" s="19" t="n">
        <f aca="false">+M219*(1+L220)</f>
        <v>106.867587156282</v>
      </c>
    </row>
    <row r="221" customFormat="false" ht="15" hidden="false" customHeight="false" outlineLevel="0" collapsed="false">
      <c r="A221" s="17" t="n">
        <v>45291</v>
      </c>
      <c r="B221" s="3" t="n">
        <v>23256.05</v>
      </c>
      <c r="C221" s="25" t="n">
        <f aca="false">(B221/B220-1)/(A221-A220)*30</f>
        <v>0.00685349994994187</v>
      </c>
      <c r="D221" s="19" t="n">
        <f aca="false">+D220*(1+C221)</f>
        <v>108.942625555774</v>
      </c>
      <c r="F221" s="17" t="n">
        <v>45291</v>
      </c>
      <c r="G221" s="4" t="n">
        <v>1095.075</v>
      </c>
      <c r="H221" s="4" t="n">
        <f aca="false">+G221+$S$148+$S$150+$S$152+$S$154+$S$156+$S$158</f>
        <v>1124.525</v>
      </c>
      <c r="I221" s="25" t="n">
        <f aca="false">+(H221/H220-1)/(F221-F220)*30</f>
        <v>0.00831237807078579</v>
      </c>
      <c r="J221" s="18" t="n">
        <f aca="false">+J220*(1+I221)</f>
        <v>112.289425213346</v>
      </c>
      <c r="K221" s="3" t="n">
        <v>5782.92</v>
      </c>
      <c r="L221" s="25" t="n">
        <f aca="false">+(K221/K220-1)/(F221-F220)*30</f>
        <v>0.00590472761028043</v>
      </c>
      <c r="M221" s="19" t="n">
        <f aca="false">+M220*(1+L221)</f>
        <v>107.498611148808</v>
      </c>
    </row>
    <row r="222" customFormat="false" ht="15" hidden="false" customHeight="false" outlineLevel="0" collapsed="false">
      <c r="A222" s="17" t="n">
        <v>45322</v>
      </c>
      <c r="B222" s="3" t="n">
        <v>23427.15</v>
      </c>
      <c r="C222" s="25" t="n">
        <f aca="false">(B222/B221-1)/(A222-A221)*30</f>
        <v>0.00711989547499661</v>
      </c>
      <c r="D222" s="19" t="n">
        <f aca="false">+D221*(1+C222)</f>
        <v>109.718285662503</v>
      </c>
      <c r="F222" s="17" t="n">
        <v>45322</v>
      </c>
      <c r="G222" s="4" t="n">
        <v>1104.8758</v>
      </c>
      <c r="H222" s="4" t="n">
        <f aca="false">+G222+$S$148+$S$150+$S$152+$S$154+$S$156+$S$158</f>
        <v>1134.3258</v>
      </c>
      <c r="I222" s="25" t="n">
        <f aca="false">+(H222/H221-1)/(F222-F221)*30</f>
        <v>0.00843435687182624</v>
      </c>
      <c r="J222" s="18" t="n">
        <f aca="false">+J221*(1+I222)</f>
        <v>113.236514298528</v>
      </c>
      <c r="K222" s="3" t="n">
        <v>5816.8769</v>
      </c>
      <c r="L222" s="25" t="n">
        <f aca="false">+(K222/K221-1)/(F222-F221)*30</f>
        <v>0.00568251266298558</v>
      </c>
      <c r="M222" s="19" t="n">
        <f aca="false">+M221*(1+L222)</f>
        <v>108.109473367914</v>
      </c>
    </row>
    <row r="223" customFormat="false" ht="15" hidden="false" customHeight="false" outlineLevel="0" collapsed="false">
      <c r="A223" s="17" t="n">
        <v>45351</v>
      </c>
      <c r="B223" s="3" t="n">
        <v>23570.34</v>
      </c>
      <c r="C223" s="25" t="n">
        <f aca="false">(B223/B222-1)/(A223-A222)*30</f>
        <v>0.00632290253858852</v>
      </c>
      <c r="D223" s="19" t="n">
        <f aca="false">+D222*(1+C223)</f>
        <v>110.412023689448</v>
      </c>
      <c r="F223" s="17" t="n">
        <v>45351</v>
      </c>
      <c r="G223" s="4" t="n">
        <v>1112.5842</v>
      </c>
      <c r="H223" s="4" t="n">
        <f aca="false">+G223+$S$148+$S$150+$S$152+$S$154+$S$156+$S$158</f>
        <v>1142.0342</v>
      </c>
      <c r="I223" s="25" t="n">
        <f aca="false">+(H223/H222-1)/(F223-F222)*30</f>
        <v>0.00702990877625441</v>
      </c>
      <c r="J223" s="18" t="n">
        <f aca="false">+J222*(1+I223)</f>
        <v>114.032556664188</v>
      </c>
      <c r="K223" s="3" t="n">
        <v>5846.4552</v>
      </c>
      <c r="L223" s="25" t="n">
        <f aca="false">+(K223/K222-1)/(F223-F222)*30</f>
        <v>0.005260252521299</v>
      </c>
      <c r="M223" s="19" t="n">
        <f aca="false">+M222*(1+L223)</f>
        <v>108.678156497774</v>
      </c>
    </row>
    <row r="224" customFormat="false" ht="15" hidden="false" customHeight="false" outlineLevel="0" collapsed="false">
      <c r="A224" s="17" t="n">
        <v>45379</v>
      </c>
      <c r="B224" s="3" t="n">
        <v>23703.45</v>
      </c>
      <c r="C224" s="25" t="n">
        <f aca="false">(B224/B223-1)/(A224-A223)*30</f>
        <v>0.00605073397935101</v>
      </c>
      <c r="D224" s="19" t="n">
        <f aca="false">+D223*(1+C224)</f>
        <v>111.080097472914</v>
      </c>
      <c r="F224" s="17" t="n">
        <v>45379</v>
      </c>
      <c r="G224" s="4" t="n">
        <v>1119.7529</v>
      </c>
      <c r="H224" s="4" t="n">
        <f aca="false">+G224+$S$148+$S$150+$S$152+$S$154+$S$156+$S$158</f>
        <v>1149.2029</v>
      </c>
      <c r="I224" s="25" t="n">
        <f aca="false">+(H224/H223-1)/(F224-F223)*30</f>
        <v>0.0067254991137744</v>
      </c>
      <c r="J224" s="18" t="n">
        <f aca="false">+J223*(1+I224)</f>
        <v>114.799482522974</v>
      </c>
      <c r="K224" s="3" t="n">
        <v>5872.4728</v>
      </c>
      <c r="L224" s="25" t="n">
        <f aca="false">+(K224/K223-1)/(F224-F223)*30</f>
        <v>0.00476801737914621</v>
      </c>
      <c r="M224" s="19" t="n">
        <f aca="false">+M223*(1+L224)</f>
        <v>109.196335836689</v>
      </c>
    </row>
    <row r="225" customFormat="false" ht="15" hidden="false" customHeight="false" outlineLevel="0" collapsed="false">
      <c r="A225" s="17" t="n">
        <v>45412</v>
      </c>
      <c r="B225" s="3" t="n">
        <v>23847.87</v>
      </c>
      <c r="C225" s="25" t="n">
        <f aca="false">(B225/B224-1)/(A225-A224)*30</f>
        <v>0.00553889451075303</v>
      </c>
      <c r="D225" s="19" t="n">
        <f aca="false">+D224*(1+C225)</f>
        <v>111.695358415061</v>
      </c>
      <c r="F225" s="17" t="n">
        <v>45412</v>
      </c>
      <c r="G225" s="4" t="n">
        <v>1127.4795</v>
      </c>
      <c r="H225" s="4" t="n">
        <f aca="false">+G225+$S$148+$S$150+$S$152+$S$154+$S$156+$S$158</f>
        <v>1156.9295</v>
      </c>
      <c r="I225" s="25" t="n">
        <f aca="false">+(H225/H224-1)/(F225-F224)*30</f>
        <v>0.00611222075595325</v>
      </c>
      <c r="J225" s="18" t="n">
        <f aca="false">+J224*(1+I225)</f>
        <v>115.501162302824</v>
      </c>
      <c r="K225" s="3" t="n">
        <v>5900.1916</v>
      </c>
      <c r="L225" s="25" t="n">
        <f aca="false">+(K225/K224-1)/(F225-F224)*30</f>
        <v>0.00429102184873626</v>
      </c>
      <c r="M225" s="19" t="n">
        <f aca="false">+M224*(1+L225)</f>
        <v>109.664899699566</v>
      </c>
    </row>
    <row r="226" customFormat="false" ht="15" hidden="false" customHeight="false" outlineLevel="0" collapsed="false">
      <c r="A226" s="17" t="n">
        <v>45443</v>
      </c>
      <c r="B226" s="3" t="n">
        <v>23979.37</v>
      </c>
      <c r="C226" s="25" t="n">
        <f aca="false">(B226/B225-1)/(A226-A225)*30</f>
        <v>0.00533624447450137</v>
      </c>
      <c r="D226" s="19" t="n">
        <f aca="false">+D225*(1+C226)</f>
        <v>112.291392154231</v>
      </c>
      <c r="F226" s="17" t="n">
        <v>45443</v>
      </c>
      <c r="G226" s="4" t="n">
        <v>1135.0306</v>
      </c>
      <c r="H226" s="4" t="n">
        <f aca="false">+G226+$S$148+$S$150+$S$152+$S$154+$S$156+$S$158</f>
        <v>1164.4806</v>
      </c>
      <c r="I226" s="25" t="n">
        <f aca="false">+(H226/H225-1)/(F226-F225)*30</f>
        <v>0.00631630201238045</v>
      </c>
      <c r="J226" s="18" t="n">
        <f aca="false">+J225*(1+I226)</f>
        <v>116.230702526709</v>
      </c>
      <c r="K226" s="3" t="n">
        <v>5924.7824</v>
      </c>
      <c r="L226" s="25" t="n">
        <f aca="false">+(K226/K225-1)/(F226-F225)*30</f>
        <v>0.00403335179608358</v>
      </c>
      <c r="M226" s="19" t="n">
        <f aca="false">+M225*(1+L226)</f>
        <v>110.107216819737</v>
      </c>
    </row>
    <row r="227" customFormat="false" ht="15" hidden="false" customHeight="false" outlineLevel="0" collapsed="false">
      <c r="A227" s="17" t="n">
        <v>45473</v>
      </c>
      <c r="B227" s="19" t="n">
        <v>24090</v>
      </c>
      <c r="C227" s="25" t="n">
        <f aca="false">(B227/B226-1)/(A227-A226)*30</f>
        <v>0.00461354906321554</v>
      </c>
      <c r="D227" s="19" t="n">
        <f aca="false">+D226*(1+C227)</f>
        <v>112.809454001311</v>
      </c>
      <c r="F227" s="17" t="n">
        <v>45473</v>
      </c>
      <c r="G227" s="4" t="n">
        <v>1141.9199</v>
      </c>
      <c r="H227" s="4" t="n">
        <f aca="false">+G227+$S$148+$S$150+$S$152+$S$154+$S$156+$S$158</f>
        <v>1171.3699</v>
      </c>
      <c r="I227" s="25" t="n">
        <f aca="false">+(H227/H226-1)/(F227-F226)*30</f>
        <v>0.00591619989203784</v>
      </c>
      <c r="J227" s="18" t="n">
        <f aca="false">+J226*(1+I227)</f>
        <v>116.918346596449</v>
      </c>
      <c r="K227" s="3" t="n">
        <v>5946.409</v>
      </c>
      <c r="L227" s="25" t="n">
        <f aca="false">+(K227/K226-1)/(F227-F226)*30</f>
        <v>0.00365019312776771</v>
      </c>
      <c r="M227" s="19" t="n">
        <f aca="false">+M226*(1+L227)</f>
        <v>110.50912942589</v>
      </c>
    </row>
    <row r="228" customFormat="false" ht="15" hidden="false" customHeight="false" outlineLevel="0" collapsed="false">
      <c r="A228" s="17" t="n">
        <v>45504</v>
      </c>
      <c r="B228" s="3" t="n">
        <v>24217.3</v>
      </c>
      <c r="C228" s="25" t="n">
        <f aca="false">(B228/B227-1)/(A228-A227)*30</f>
        <v>0.00511388743823562</v>
      </c>
      <c r="D228" s="19" t="n">
        <f aca="false">+D227*(1+C228)</f>
        <v>113.386348851043</v>
      </c>
      <c r="F228" s="17" t="n">
        <v>45504</v>
      </c>
      <c r="G228" s="4" t="n">
        <v>1148.2776</v>
      </c>
      <c r="H228" s="4" t="n">
        <f aca="false">+G228+$S$148+$S$150+$S$152+$S$154+$S$156+$S$158</f>
        <v>1177.7276</v>
      </c>
      <c r="I228" s="25" t="n">
        <f aca="false">+(H228/H227-1)/(F228-F227)*30</f>
        <v>0.00525249360020741</v>
      </c>
      <c r="J228" s="18" t="n">
        <f aca="false">+J227*(1+I228)</f>
        <v>117.532459463694</v>
      </c>
      <c r="K228" s="3" t="n">
        <v>5968.019</v>
      </c>
      <c r="L228" s="25" t="n">
        <f aca="false">+(K228/K227-1)/(F228-F227)*30</f>
        <v>0.00351689620169189</v>
      </c>
      <c r="M228" s="19" t="n">
        <f aca="false">+M227*(1+L228)</f>
        <v>110.89777856342</v>
      </c>
    </row>
    <row r="229" customFormat="false" ht="15" hidden="false" customHeight="false" outlineLevel="0" collapsed="false">
      <c r="A229" s="17" t="n">
        <v>45535</v>
      </c>
      <c r="B229" s="3" t="n">
        <v>24333.6</v>
      </c>
      <c r="C229" s="25" t="n">
        <f aca="false">(B229/B228-1)/(A229-A228)*30</f>
        <v>0.004647437455735</v>
      </c>
      <c r="D229" s="19" t="n">
        <f aca="false">+D228*(1+C229)</f>
        <v>113.913304815662</v>
      </c>
      <c r="F229" s="17" t="n">
        <v>45535</v>
      </c>
      <c r="G229" s="4" t="n">
        <v>1154.7073</v>
      </c>
      <c r="H229" s="4" t="n">
        <f aca="false">+G229+$S$148+$S$150+$S$152+$S$154+$S$156+$S$158</f>
        <v>1184.1573</v>
      </c>
      <c r="I229" s="25" t="n">
        <f aca="false">+(H229/H228-1)/(F229-F228)*30</f>
        <v>0.00528330177757642</v>
      </c>
      <c r="J229" s="18" t="n">
        <f aca="false">+J228*(1+I229)</f>
        <v>118.153418915701</v>
      </c>
      <c r="K229" s="3" t="n">
        <v>5989.669</v>
      </c>
      <c r="L229" s="25" t="n">
        <f aca="false">+(K229/K228-1)/(F229-F228)*30</f>
        <v>0.00351064782186953</v>
      </c>
      <c r="M229" s="19" t="n">
        <f aca="false">+M228*(1+L229)</f>
        <v>111.287101608184</v>
      </c>
    </row>
    <row r="230" customFormat="false" ht="15" hidden="false" customHeight="false" outlineLevel="0" collapsed="false">
      <c r="A230" s="17" t="n">
        <v>45565</v>
      </c>
      <c r="B230" s="3" t="n">
        <v>24449.94</v>
      </c>
      <c r="C230" s="25" t="n">
        <f aca="false">(B230/B229-1)/(A230-A229)*30</f>
        <v>0.00478104349541386</v>
      </c>
      <c r="D230" s="19" t="n">
        <f aca="false">+D229*(1+C230)</f>
        <v>114.457929280692</v>
      </c>
      <c r="F230" s="17" t="n">
        <v>45565</v>
      </c>
      <c r="G230" s="4" t="n">
        <v>1160.594</v>
      </c>
      <c r="H230" s="4" t="n">
        <f aca="false">+G230+$S$148+$S$150+$S$152+$S$154+$S$156+$S$158</f>
        <v>1190.044</v>
      </c>
      <c r="I230" s="25" t="n">
        <f aca="false">+(H230/H229-1)/(F230-F229)*30</f>
        <v>0.00497121455063443</v>
      </c>
      <c r="J230" s="18" t="n">
        <f aca="false">+J229*(1+I230)</f>
        <v>118.740784911022</v>
      </c>
      <c r="K230" s="3" t="n">
        <v>6009.8868</v>
      </c>
      <c r="L230" s="25" t="n">
        <f aca="false">+(K230/K229-1)/(F230-F229)*30</f>
        <v>0.0033754452875443</v>
      </c>
      <c r="M230" s="19" t="n">
        <f aca="false">+M229*(1+L230)</f>
        <v>111.662745130872</v>
      </c>
    </row>
    <row r="231" customFormat="false" ht="15" hidden="false" customHeight="false" outlineLevel="0" collapsed="false">
      <c r="A231" s="17" t="n">
        <v>45596</v>
      </c>
      <c r="B231" s="3" t="n">
        <v>24560.22</v>
      </c>
      <c r="C231" s="25" t="n">
        <f aca="false">(B231/B230-1)/(A231-A230)*30</f>
        <v>0.00436494243524368</v>
      </c>
      <c r="D231" s="19" t="n">
        <f aca="false">+D230*(1+C231)</f>
        <v>114.957531553259</v>
      </c>
      <c r="F231" s="17" t="n">
        <v>45596</v>
      </c>
      <c r="G231" s="4" t="n">
        <v>1166.1141</v>
      </c>
      <c r="H231" s="4" t="n">
        <f aca="false">+G231+$S$148+$S$150+$S$152+$S$154+$S$156+$S$158</f>
        <v>1195.5641</v>
      </c>
      <c r="I231" s="25" t="n">
        <f aca="false">+(H231/H230-1)/(F231-F230)*30</f>
        <v>0.00448893676037563</v>
      </c>
      <c r="J231" s="18" t="n">
        <f aca="false">+J230*(1+I231)</f>
        <v>119.273804785365</v>
      </c>
      <c r="K231" s="3" t="n">
        <v>6030.3854</v>
      </c>
      <c r="L231" s="25" t="n">
        <f aca="false">+(K231/K230-1)/(F231-F230)*30</f>
        <v>0.00330078677001207</v>
      </c>
      <c r="M231" s="19" t="n">
        <f aca="false">+M230*(1+L231)</f>
        <v>112.031320042703</v>
      </c>
    </row>
    <row r="232" customFormat="false" ht="15" hidden="false" customHeight="false" outlineLevel="0" collapsed="false">
      <c r="A232" s="17" t="n">
        <v>45626</v>
      </c>
      <c r="B232" s="3" t="n">
        <v>24667.9</v>
      </c>
      <c r="C232" s="25" t="n">
        <f aca="false">(B232/B231-1)/(A232-A231)*30</f>
        <v>0.0043843255475724</v>
      </c>
      <c r="D232" s="19" t="n">
        <f aca="false">+D231*(1+C232)</f>
        <v>115.461542795734</v>
      </c>
      <c r="F232" s="17" t="n">
        <v>45626</v>
      </c>
      <c r="G232" s="4" t="n">
        <v>1142.0238</v>
      </c>
      <c r="H232" s="4" t="n">
        <f aca="false">+G232+$S$148+$S$150+$S$152+$S$154+$S$156+$S$158+$S$160</f>
        <v>1200.91884808201</v>
      </c>
      <c r="I232" s="25" t="n">
        <f aca="false">+(H232/H231-1)/(F232-F231)*30</f>
        <v>0.00447884649765395</v>
      </c>
      <c r="J232" s="18" t="n">
        <f aca="false">+J231*(1+I232)</f>
        <v>119.80801384819</v>
      </c>
      <c r="K232" s="3" t="n">
        <v>6049.8055</v>
      </c>
      <c r="L232" s="25" t="n">
        <f aca="false">+(K232/K231-1)/(F232-F231)*30</f>
        <v>0.00322037460491331</v>
      </c>
      <c r="M232" s="19" t="n">
        <f aca="false">+M231*(1+L232)</f>
        <v>112.392102860724</v>
      </c>
    </row>
    <row r="233" customFormat="false" ht="15" hidden="false" customHeight="false" outlineLevel="0" collapsed="false">
      <c r="A233" s="17" t="n">
        <v>45657</v>
      </c>
      <c r="B233" s="3" t="n">
        <v>24777.58</v>
      </c>
      <c r="C233" s="25" t="n">
        <f aca="false">(B233/B232-1)/(A233-A232)*30</f>
        <v>0.00430283629672052</v>
      </c>
      <c r="D233" s="19" t="n">
        <f aca="false">+D232*(1+C233)</f>
        <v>115.958354912951</v>
      </c>
      <c r="F233" s="17" t="n">
        <v>45657</v>
      </c>
      <c r="G233" s="4" t="n">
        <v>1146.7136</v>
      </c>
      <c r="H233" s="4" t="n">
        <f aca="false">+G233+$S$148+$S$150+$S$152+$S$154+$S$156+$S$158+$S$160</f>
        <v>1205.60864808201</v>
      </c>
      <c r="I233" s="25" t="n">
        <f aca="false">+(H233/H232-1)/(F233-F232)*30</f>
        <v>0.00377920301299368</v>
      </c>
      <c r="J233" s="18" t="n">
        <f aca="false">+J232*(1+I233)</f>
        <v>120.260792655106</v>
      </c>
      <c r="K233" s="3" t="n">
        <v>6069.3455</v>
      </c>
      <c r="L233" s="25" t="n">
        <f aca="false">+(K233/K232-1)/(F233-F232)*30</f>
        <v>0.00312566700191516</v>
      </c>
      <c r="M233" s="19" t="n">
        <f aca="false">+M232*(1+L233)</f>
        <v>112.743403147911</v>
      </c>
    </row>
    <row r="234" customFormat="false" ht="15" hidden="false" customHeight="false" outlineLevel="0" collapsed="false">
      <c r="A234" s="17" t="n">
        <v>45688</v>
      </c>
      <c r="B234" s="3" t="n">
        <v>24887.95</v>
      </c>
      <c r="C234" s="25" t="n">
        <f aca="false">(B234/B233-1)/(A234-A233)*30</f>
        <v>0.00431073887842782</v>
      </c>
      <c r="D234" s="19" t="n">
        <f aca="false">+D233*(1+C234)</f>
        <v>116.458221101753</v>
      </c>
      <c r="F234" s="17" t="n">
        <v>45688</v>
      </c>
      <c r="G234" s="4" t="n">
        <v>1151.8456</v>
      </c>
      <c r="H234" s="4" t="n">
        <f aca="false">+G234+$S$148+$S$150+$S$152+$S$154+$S$156+$S$158+$S$160</f>
        <v>1210.74064808201</v>
      </c>
      <c r="I234" s="25" t="n">
        <f aca="false">+(H234/H233-1)/(F234-F233)*30</f>
        <v>0.00411945586223548</v>
      </c>
      <c r="J234" s="18" t="n">
        <f aca="false">+J233*(1+I234)</f>
        <v>120.756201682406</v>
      </c>
      <c r="K234" s="3" t="n">
        <v>6087.6762</v>
      </c>
      <c r="L234" s="25" t="n">
        <f aca="false">+(K234/K233-1)/(F234-F233)*30</f>
        <v>0.00292278419423869</v>
      </c>
      <c r="M234" s="19" t="n">
        <f aca="false">+M233*(1+L234)</f>
        <v>113.072927784637</v>
      </c>
    </row>
    <row r="235" customFormat="false" ht="15" hidden="false" customHeight="false" outlineLevel="0" collapsed="false">
      <c r="A235" s="17" t="n">
        <v>45716</v>
      </c>
      <c r="B235" s="3" t="n">
        <v>24984.92</v>
      </c>
      <c r="C235" s="25" t="n">
        <f aca="false">(B235/B234-1)/(A235-A234)*30</f>
        <v>0.0041745675546369</v>
      </c>
      <c r="D235" s="19" t="n">
        <f aca="false">+D234*(1+C235)</f>
        <v>116.944383813035</v>
      </c>
      <c r="F235" s="17" t="n">
        <v>45716</v>
      </c>
      <c r="G235" s="4" t="n">
        <v>1157.7357</v>
      </c>
      <c r="H235" s="4" t="n">
        <f aca="false">+G235+$S$148+$S$150+$S$152+$S$154+$S$156+$S$158+$S$160</f>
        <v>1216.63074808201</v>
      </c>
      <c r="I235" s="25" t="n">
        <f aca="false">+(H235/H234-1)/(F235-F234)*30</f>
        <v>0.00521236438090061</v>
      </c>
      <c r="J235" s="18" t="n">
        <f aca="false">+J234*(1+I235)</f>
        <v>121.385627006828</v>
      </c>
      <c r="K235" s="3" t="n">
        <v>6104.4912</v>
      </c>
      <c r="L235" s="25" t="n">
        <f aca="false">+(K235/K234-1)/(F235-F234)*30</f>
        <v>0.00295943326101547</v>
      </c>
      <c r="M235" s="19" t="n">
        <f aca="false">+M234*(1+L235)</f>
        <v>113.407559568043</v>
      </c>
    </row>
    <row r="236" customFormat="false" ht="15" hidden="false" customHeight="false" outlineLevel="0" collapsed="false">
      <c r="A236" s="17" t="n">
        <v>45747</v>
      </c>
      <c r="B236" s="3" t="n">
        <v>25092.7</v>
      </c>
      <c r="C236" s="25" t="n">
        <f aca="false">(B236/B235-1)/(A236-A235)*30</f>
        <v>0.00417464717943687</v>
      </c>
      <c r="D236" s="19" t="n">
        <f aca="false">+D235*(1+C236)</f>
        <v>117.432585355071</v>
      </c>
      <c r="F236" s="17" t="n">
        <v>45747</v>
      </c>
      <c r="G236" s="4" t="n">
        <v>1163.827</v>
      </c>
      <c r="H236" s="4" t="n">
        <f aca="false">+G236+$S$148+$S$150+$S$152+$S$154+$S$156+$S$158+$S$160</f>
        <v>1222.72204808201</v>
      </c>
      <c r="I236" s="25" t="n">
        <f aca="false">+(H236/H235-1)/(F236-F235)*30</f>
        <v>0.00484518943887117</v>
      </c>
      <c r="J236" s="18" t="n">
        <f aca="false">+J235*(1+I236)</f>
        <v>121.973763364833</v>
      </c>
      <c r="K236" s="3" t="n">
        <v>6123.1882</v>
      </c>
      <c r="L236" s="25" t="n">
        <f aca="false">+(K236/K235-1)/(F236-F235)*30</f>
        <v>0.00296402605474173</v>
      </c>
      <c r="M236" s="19" t="n">
        <f aca="false">+M235*(1+L236)</f>
        <v>113.743702529407</v>
      </c>
    </row>
    <row r="237" customFormat="false" ht="15" hidden="false" customHeight="false" outlineLevel="0" collapsed="false">
      <c r="A237" s="17" t="n">
        <v>45777</v>
      </c>
      <c r="B237" s="3" t="n">
        <v>25197.48</v>
      </c>
      <c r="C237" s="25" t="n">
        <f aca="false">(B237/B236-1)/(A237-A236)*30</f>
        <v>0.00417571644342774</v>
      </c>
      <c r="D237" s="19" t="n">
        <f aca="false">+D236*(1+C237)</f>
        <v>117.922950532732</v>
      </c>
      <c r="F237" s="17" t="n">
        <v>45777</v>
      </c>
      <c r="G237" s="4" t="n">
        <v>1172.2012</v>
      </c>
      <c r="H237" s="4" t="n">
        <f aca="false">+G237+$S$148+$S$150+$S$152+$S$154+$S$156+$S$158+$S$160</f>
        <v>1231.09624808201</v>
      </c>
      <c r="I237" s="25" t="n">
        <f aca="false">+(H237/H236-1)/(F237-F236)*30</f>
        <v>0.00684881736870291</v>
      </c>
      <c r="J237" s="18" t="n">
        <f aca="false">+J236*(1+I237)</f>
        <v>122.809139393892</v>
      </c>
      <c r="K237" s="3" t="n">
        <v>6141.4105</v>
      </c>
      <c r="L237" s="25" t="n">
        <f aca="false">+(K237/K236-1)/(F237-F236)*30</f>
        <v>0.00297594968581905</v>
      </c>
      <c r="M237" s="19" t="n">
        <f aca="false">+M236*(1+L237)</f>
        <v>114.082198065213</v>
      </c>
    </row>
    <row r="238" customFormat="false" ht="15" hidden="false" customHeight="false" outlineLevel="0" collapsed="false">
      <c r="A238" s="17" t="n">
        <v>45808</v>
      </c>
      <c r="B238" s="3" t="n">
        <v>25302.66</v>
      </c>
      <c r="C238" s="25" t="n">
        <f aca="false">(B238/B237-1)/(A238-A237)*30</f>
        <v>0.00403957446435886</v>
      </c>
      <c r="D238" s="19" t="n">
        <f aca="false">+D237*(1+C238)</f>
        <v>118.399309072466</v>
      </c>
      <c r="F238" s="17" t="n">
        <v>45808</v>
      </c>
      <c r="G238" s="4" t="n">
        <v>1179.4588</v>
      </c>
      <c r="H238" s="4" t="n">
        <f aca="false">+G238+$S$148+$S$150+$S$152+$S$154+$S$156+$S$158+$S$160</f>
        <v>1238.35384808201</v>
      </c>
      <c r="I238" s="25" t="n">
        <f aca="false">+(H238/H237-1)/(F238-F237)*30</f>
        <v>0.00570506480050626</v>
      </c>
      <c r="J238" s="18" t="n">
        <f aca="false">+J237*(1+I238)</f>
        <v>123.509773492228</v>
      </c>
      <c r="K238" s="3" t="n">
        <v>6160.386</v>
      </c>
      <c r="L238" s="25" t="n">
        <f aca="false">+(K238/K237-1)/(F238-F237)*30</f>
        <v>0.00299009276399519</v>
      </c>
      <c r="M238" s="19" t="n">
        <f aca="false">+M237*(1+L238)</f>
        <v>114.423314420149</v>
      </c>
    </row>
    <row r="239" customFormat="false" ht="15" hidden="false" customHeight="false" outlineLevel="0" collapsed="false">
      <c r="A239" s="17" t="n">
        <v>45838</v>
      </c>
      <c r="B239" s="3" t="n">
        <v>25411.83</v>
      </c>
      <c r="C239" s="25" t="n">
        <f aca="false">(B239/B238-1)/(A239-A238)*30</f>
        <v>0.00431456613652492</v>
      </c>
      <c r="D239" s="19" t="n">
        <f aca="false">+D238*(1+C239)</f>
        <v>118.910150721978</v>
      </c>
      <c r="F239" s="17" t="n">
        <v>45838</v>
      </c>
      <c r="G239" s="4" t="n">
        <v>1186.9406</v>
      </c>
      <c r="H239" s="4" t="n">
        <f aca="false">+G239+$S$148+$S$150+$S$152+$S$154+$S$156+$S$158+$S$160</f>
        <v>1245.83564808201</v>
      </c>
      <c r="I239" s="25" t="n">
        <f aca="false">+(H239/H238-1)/(F239-F238)*30</f>
        <v>0.00604173032739208</v>
      </c>
      <c r="J239" s="18" t="n">
        <f aca="false">+J238*(1+I239)</f>
        <v>124.255986236466</v>
      </c>
      <c r="K239" s="3" t="n">
        <v>6178.849</v>
      </c>
      <c r="L239" s="25" t="n">
        <f aca="false">+(K239/K238-1)/(F239-F238)*30</f>
        <v>0.00299705245742721</v>
      </c>
      <c r="M239" s="19" t="n">
        <f aca="false">+M238*(1+L239)</f>
        <v>114.766247095819</v>
      </c>
    </row>
    <row r="240" customFormat="false" ht="15" hidden="false" customHeight="false" outlineLevel="0" collapsed="false">
      <c r="A240" s="17" t="n">
        <v>45869</v>
      </c>
      <c r="B240" s="3" t="n">
        <v>25521.26</v>
      </c>
      <c r="C240" s="25" t="n">
        <f aca="false">(B240/B239-1)/(A240-A239)*30</f>
        <v>0.00416735040333568</v>
      </c>
      <c r="D240" s="19" t="n">
        <f aca="false">+D239*(1+C240)</f>
        <v>119.40569098655</v>
      </c>
      <c r="F240" s="17" t="n">
        <v>45869</v>
      </c>
      <c r="G240" s="4" t="n">
        <v>1194.1629</v>
      </c>
      <c r="H240" s="4" t="n">
        <f aca="false">+G240+$S$148+$S$150+$S$152+$S$154+$S$156+$S$158+$S$160</f>
        <v>1253.05794808201</v>
      </c>
      <c r="I240" s="25" t="n">
        <f aca="false">+(H240/H239-1)/(F240-F239)*30</f>
        <v>0.00561014816954829</v>
      </c>
      <c r="J240" s="18" t="n">
        <f aca="false">+J239*(1+I240)</f>
        <v>124.953080730206</v>
      </c>
      <c r="K240" s="3" t="n">
        <v>6197.08</v>
      </c>
      <c r="L240" s="25" t="n">
        <f aca="false">+(K240/K239-1)/(F240-F239)*30</f>
        <v>0.00285537051088415</v>
      </c>
      <c r="M240" s="19" t="n">
        <f aca="false">+M239*(1+L240)</f>
        <v>115.093947253421</v>
      </c>
    </row>
    <row r="241" customFormat="false" ht="15" hidden="false" customHeight="false" outlineLevel="0" collapsed="false">
      <c r="A241" s="17" t="n">
        <v>45900</v>
      </c>
      <c r="B241" s="3" t="n">
        <v>25619.09</v>
      </c>
      <c r="C241" s="25" t="n">
        <f aca="false">(B241/B240-1)/(A241-A240)*30</f>
        <v>0.00370962066717663</v>
      </c>
      <c r="D241" s="19" t="n">
        <f aca="false">+D240*(1+C241)</f>
        <v>119.848640805612</v>
      </c>
      <c r="F241" s="17" t="n">
        <v>45900</v>
      </c>
      <c r="G241" s="4" t="n">
        <v>1201.8372</v>
      </c>
      <c r="H241" s="4" t="n">
        <f aca="false">+G241+$S$148+$S$150+$S$152+$S$154+$S$156+$S$158+$S$160</f>
        <v>1260.73224808201</v>
      </c>
      <c r="I241" s="25" t="n">
        <f aca="false">+(H241/H240-1)/(F241-F240)*30</f>
        <v>0.00592689424048708</v>
      </c>
      <c r="J241" s="18" t="n">
        <f aca="false">+J240*(1+I241)</f>
        <v>125.693664424716</v>
      </c>
      <c r="K241" s="3" t="n">
        <v>6215.6746</v>
      </c>
      <c r="L241" s="25" t="n">
        <f aca="false">+(K241/K240-1)/(F241-F240)*30</f>
        <v>0.00290375050726291</v>
      </c>
      <c r="M241" s="19" t="n">
        <f aca="false">+M240*(1+L241)</f>
        <v>115.428151361141</v>
      </c>
    </row>
    <row r="242" customFormat="false" ht="15" hidden="false" customHeight="false" outlineLevel="0" collapsed="false">
      <c r="A242" s="17" t="n">
        <v>45930</v>
      </c>
      <c r="B242" s="3" t="n">
        <v>25727.46</v>
      </c>
      <c r="C242" s="25" t="n">
        <f aca="false">(B242/B241-1)/(A242-A241)*30</f>
        <v>0.00423004876441735</v>
      </c>
      <c r="D242" s="19" t="n">
        <f aca="false">+D241*(1+C242)</f>
        <v>120.355606400569</v>
      </c>
      <c r="F242" s="17" t="n">
        <v>45930</v>
      </c>
      <c r="G242" s="4" t="n">
        <v>1209.1829</v>
      </c>
      <c r="H242" s="4" t="n">
        <f aca="false">+G242+$S$148+$S$150+$S$152+$S$154+$S$156+$S$158+$S$160</f>
        <v>1268.07794808201</v>
      </c>
      <c r="I242" s="25" t="n">
        <f aca="false">+(H242/H241-1)/(F242-F241)*30</f>
        <v>0.00582653454861282</v>
      </c>
      <c r="J242" s="18" t="n">
        <f aca="false">+J241*(1+I242)</f>
        <v>126.426022903029</v>
      </c>
      <c r="K242" s="3" t="n">
        <v>6232.8399</v>
      </c>
      <c r="L242" s="25" t="n">
        <f aca="false">+(K242/K241-1)/(F242-F241)*30</f>
        <v>0.00276161496613736</v>
      </c>
      <c r="M242" s="19" t="n">
        <f aca="false">+M241*(1+L242)</f>
        <v>115.746919471454</v>
      </c>
    </row>
    <row r="243" customFormat="false" ht="15" hidden="false" customHeight="false" outlineLevel="0" collapsed="false">
      <c r="A243" s="17" t="n">
        <v>45961</v>
      </c>
      <c r="B243" s="3" t="n">
        <v>25829.5</v>
      </c>
      <c r="C243" s="25" t="n">
        <f aca="false">(B243/B242-1)/(A243-A242)*30</f>
        <v>0.00383824859106876</v>
      </c>
      <c r="D243" s="19" t="n">
        <f aca="false">+D242*(1+C243)</f>
        <v>120.817561137264</v>
      </c>
      <c r="F243" s="17" t="n">
        <v>45961</v>
      </c>
      <c r="G243" s="4" t="n">
        <v>1216.7155</v>
      </c>
      <c r="H243" s="4" t="n">
        <f aca="false">+G243+$S$148+$S$150+$S$152+$S$154+$S$156+$S$158+$S$160</f>
        <v>1275.61054808201</v>
      </c>
      <c r="I243" s="25" t="n">
        <f aca="false">+(H243/H242-1)/(F243-F242)*30</f>
        <v>0.00574855269287774</v>
      </c>
      <c r="J243" s="18" t="n">
        <f aca="false">+J242*(1+I243)</f>
        <v>127.152789557438</v>
      </c>
      <c r="K243" s="3" t="n">
        <v>6250.6982</v>
      </c>
      <c r="L243" s="25" t="n">
        <f aca="false">+(K243/K242-1)/(F243-F242)*30</f>
        <v>0.00277276908820515</v>
      </c>
      <c r="M243" s="19" t="n">
        <f aca="false">+M242*(1+L243)</f>
        <v>116.067858951819</v>
      </c>
    </row>
    <row r="244" customFormat="false" ht="15" hidden="false" customHeight="false" outlineLevel="0" collapsed="false">
      <c r="A244" s="17" t="n">
        <v>45991</v>
      </c>
      <c r="B244" s="3" t="n">
        <v>25928.49</v>
      </c>
      <c r="C244" s="25" t="n">
        <f aca="false">(B244/B243-1)/(A244-A243)*30</f>
        <v>0.00383243965233548</v>
      </c>
      <c r="D244" s="19" t="n">
        <f aca="false">+D243*(1+C244)</f>
        <v>121.280587149264</v>
      </c>
      <c r="F244" s="17" t="n">
        <v>45991</v>
      </c>
      <c r="G244" s="4" t="n">
        <v>1224.1524</v>
      </c>
      <c r="H244" s="4" t="n">
        <f aca="false">+G244+$S$148+$S$150+$S$152+$S$154+$S$156+$S$158+$S$160</f>
        <v>1283.04744808201</v>
      </c>
      <c r="I244" s="25" t="n">
        <f aca="false">+(H244/H243-1)/(F244-F243)*30</f>
        <v>0.00583007095008892</v>
      </c>
      <c r="J244" s="18" t="n">
        <f aca="false">+J243*(1+I244)</f>
        <v>127.894099342059</v>
      </c>
      <c r="K244" s="3" t="n">
        <v>6268.169</v>
      </c>
      <c r="L244" s="25" t="n">
        <f aca="false">+(K244/K243-1)/(F244-F243)*30</f>
        <v>0.00279501576319907</v>
      </c>
      <c r="M244" s="19" t="n">
        <f aca="false">+M243*(1+L244)</f>
        <v>116.39227044719</v>
      </c>
    </row>
    <row r="245" customFormat="false" ht="15" hidden="false" customHeight="false" outlineLevel="0" collapsed="false">
      <c r="A245" s="17" t="n">
        <v>46022</v>
      </c>
      <c r="B245" s="3" t="n">
        <v>26035.82</v>
      </c>
      <c r="C245" s="25" t="n">
        <f aca="false">(B245/B244-1)/(A245-A244)*30</f>
        <v>0.00400593100236385</v>
      </c>
      <c r="D245" s="19" t="n">
        <f aca="false">+D244*(1+C245)</f>
        <v>121.766428813311</v>
      </c>
      <c r="F245" s="17" t="n">
        <v>46022</v>
      </c>
      <c r="G245" s="69" t="n">
        <v>1231.8688</v>
      </c>
      <c r="H245" s="4" t="n">
        <f aca="false">+G245+$S$148+$S$150+$S$152+$S$154+$S$156+$S$158+$S$160</f>
        <v>1290.76384808201</v>
      </c>
      <c r="I245" s="25" t="n">
        <f aca="false">+(H245/H244-1)/(F245-F244)*30</f>
        <v>0.00582011513458119</v>
      </c>
      <c r="J245" s="18" t="n">
        <f aca="false">+J244*(1+I245)</f>
        <v>128.638457725264</v>
      </c>
      <c r="K245" s="3" t="n">
        <v>6285.9566</v>
      </c>
      <c r="L245" s="25" t="n">
        <f aca="false">+(K245/K244-1)/(F245-F244)*30</f>
        <v>0.00274622564446067</v>
      </c>
      <c r="M245" s="19" t="n">
        <f aca="false">+M244*(1+L245)</f>
        <v>116.711909885109</v>
      </c>
    </row>
    <row r="246" customFormat="false" ht="15" hidden="false" customHeight="false" outlineLevel="0" collapsed="false">
      <c r="A246" s="17" t="n">
        <v>46053</v>
      </c>
      <c r="B246" s="3" t="n">
        <v>26136.9</v>
      </c>
      <c r="C246" s="25" t="n">
        <f aca="false">(B246/B245-1)/(A246-A245)*30</f>
        <v>0.00375710674135526</v>
      </c>
      <c r="D246" s="19" t="n">
        <f aca="false">+D245*(1+C246)</f>
        <v>122.223918283876</v>
      </c>
      <c r="F246" s="17" t="n">
        <v>46053</v>
      </c>
      <c r="G246" s="69" t="n">
        <v>1239.5818</v>
      </c>
      <c r="H246" s="4" t="n">
        <f aca="false">+G246+$S$148+$S$150+$S$152+$S$154+$S$156+$S$158+$S$160</f>
        <v>1298.47684808201</v>
      </c>
      <c r="I246" s="25" t="n">
        <f aca="false">+(H246/H245-1)/(F246-F245)*30</f>
        <v>0.00578277239440691</v>
      </c>
      <c r="J246" s="18" t="n">
        <f aca="false">+J245*(1+I246)</f>
        <v>129.382344647457</v>
      </c>
      <c r="K246" s="3" t="n">
        <v>6303.0823</v>
      </c>
      <c r="L246" s="25" t="n">
        <f aca="false">+(K246/K245-1)/(F246-F245)*30</f>
        <v>0.00263655305296194</v>
      </c>
      <c r="M246" s="19" t="n">
        <f aca="false">+M245*(1+L246)</f>
        <v>117.019627027434</v>
      </c>
    </row>
    <row r="247" customFormat="false" ht="15" hidden="false" customHeight="false" outlineLevel="0" collapsed="false">
      <c r="A247" s="70" t="n">
        <v>46081</v>
      </c>
      <c r="B247" s="71" t="n">
        <v>26231.81</v>
      </c>
      <c r="C247" s="25" t="n">
        <f aca="false">(B247/B246-1)/(A247-A246)*30</f>
        <v>0.00389064065418173</v>
      </c>
      <c r="D247" s="19" t="n">
        <f aca="false">+D246*(1+C247)</f>
        <v>122.699447629264</v>
      </c>
      <c r="F247" s="70" t="n">
        <v>46081</v>
      </c>
      <c r="G247" s="69" t="n">
        <v>1246.9941</v>
      </c>
      <c r="H247" s="4" t="n">
        <f aca="false">+G247+$S$148+$S$150+$S$152+$S$154+$S$156+$S$158+$S$160</f>
        <v>1305.88914808201</v>
      </c>
      <c r="I247" s="25" t="n">
        <f aca="false">+(H247/H246-1)/(F247-F246)*30</f>
        <v>0.00611620454514144</v>
      </c>
      <c r="J247" s="18" t="n">
        <f aca="false">+J246*(1+I247)</f>
        <v>130.17367353185</v>
      </c>
      <c r="K247" s="72" t="n">
        <v>6318.4947</v>
      </c>
      <c r="L247" s="25" t="n">
        <f aca="false">+(K247/K246-1)/(F247-F246)*30</f>
        <v>0.00261987467850238</v>
      </c>
      <c r="M247" s="19" t="n">
        <f aca="false">+M246*(1+L247)</f>
        <v>117.326203785171</v>
      </c>
    </row>
    <row r="248" customFormat="false" ht="15" hidden="false" customHeight="false" outlineLevel="0" collapsed="false">
      <c r="A248" s="70" t="n">
        <v>46112</v>
      </c>
      <c r="B248" s="71" t="n">
        <v>26333.64</v>
      </c>
      <c r="C248" s="25" t="n">
        <f aca="false">(B248/B247-1)/(A248-A247)*30</f>
        <v>0.00375670459988545</v>
      </c>
      <c r="D248" s="19" t="n">
        <f aca="false">+D247*(1+C248)</f>
        <v>123.160393208577</v>
      </c>
      <c r="F248" s="70" t="n">
        <v>46112</v>
      </c>
      <c r="G248" s="73" t="n">
        <v>1254.9658</v>
      </c>
      <c r="H248" s="4" t="n">
        <f aca="false">+G248+$S$148+$S$150+$S$152+$S$154+$S$156+$S$158+$S$160</f>
        <v>1313.86084808201</v>
      </c>
      <c r="I248" s="25" t="n">
        <f aca="false">+(H248/H247-1)/(F248-F247)*30</f>
        <v>0.00590750631355457</v>
      </c>
      <c r="J248" s="18" t="n">
        <f aca="false">+J247*(1+I248)</f>
        <v>130.942675330098</v>
      </c>
      <c r="K248" s="74" t="n">
        <v>6335.4774</v>
      </c>
      <c r="L248" s="25" t="n">
        <f aca="false">+(K248/K247-1)/(F248-F247)*30</f>
        <v>0.00260107379179124</v>
      </c>
      <c r="M248" s="19" t="n">
        <f aca="false">+M247*(1+L248)</f>
        <v>117.631377898927</v>
      </c>
    </row>
    <row r="249" customFormat="false" ht="15" hidden="false" customHeight="false" outlineLevel="0" collapsed="false">
      <c r="A249" s="70" t="n">
        <v>46142</v>
      </c>
      <c r="B249" s="71" t="n">
        <v>19916.8502383877</v>
      </c>
      <c r="C249" s="25" t="n">
        <f aca="false">(B249/B248-1)/(A249-A248)*30</f>
        <v>-0.243672722859896</v>
      </c>
      <c r="D249" s="19" t="n">
        <f aca="false">+D248*(1+C249)</f>
        <v>93.1495648469474</v>
      </c>
      <c r="F249" s="70" t="n">
        <v>46142</v>
      </c>
      <c r="G249" s="69" t="n">
        <v>1262.8696</v>
      </c>
      <c r="H249" s="4" t="n">
        <f aca="false">+G249+$S$148+$S$150+$S$152+$S$154+$S$156+$S$158+$S$160</f>
        <v>1321.76464808201</v>
      </c>
      <c r="I249" s="25" t="n">
        <f aca="false">+(H249/H248-1)/(F249-F248)*30</f>
        <v>0.00601570555324638</v>
      </c>
      <c r="J249" s="18" t="n">
        <f aca="false">+J248*(1+I249)</f>
        <v>131.730387909239</v>
      </c>
      <c r="L249" s="25" t="n">
        <f aca="false">+(K249/K248-1)/(F249-F248)*30</f>
        <v>-1</v>
      </c>
      <c r="M249" s="19" t="n">
        <f aca="false">+M248*(1+L249)</f>
        <v>0</v>
      </c>
    </row>
    <row r="250" customFormat="false" ht="15" hidden="false" customHeight="false" outlineLevel="0" collapsed="false">
      <c r="A250" s="70"/>
      <c r="B250" s="71"/>
      <c r="C250" s="25"/>
      <c r="D250" s="19"/>
      <c r="F250" s="70"/>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1.43"/>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9.57"/>
    <col collapsed="false" customWidth="true" hidden="false" outlineLevel="0" max="24" min="24" style="0" width="13.29"/>
  </cols>
  <sheetData>
    <row r="1" customFormat="false" ht="15" hidden="false" customHeight="fals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tr">
        <f aca="false">+'Datos ICP (2)'!BB28</f>
        <v>Acum. 2026</v>
      </c>
    </row>
    <row r="2" customFormat="false" ht="15" hidden="false" customHeight="false" outlineLevel="0" collapsed="false">
      <c r="C2" s="76"/>
      <c r="D2" s="77"/>
      <c r="E2" s="77"/>
      <c r="F2" s="77"/>
      <c r="G2" s="77"/>
      <c r="H2" s="77"/>
      <c r="I2" s="77"/>
      <c r="J2" s="77"/>
      <c r="K2" s="77"/>
      <c r="L2" s="77"/>
      <c r="M2" s="77"/>
      <c r="N2" s="77"/>
      <c r="O2" s="77"/>
      <c r="P2" s="77"/>
      <c r="Q2" s="77"/>
      <c r="R2" s="77"/>
      <c r="S2" s="76" t="s">
        <v>48</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0.00601570555324638</v>
      </c>
      <c r="U4" s="81" t="n">
        <f aca="false">+'Datos ICP (2)'!AY31</f>
        <v>0.0179347056009498</v>
      </c>
      <c r="V4" s="81" t="n">
        <f aca="false">+'Datos ICP (2)'!AZ31</f>
        <v>0.0361819679755682</v>
      </c>
      <c r="W4" s="81" t="n">
        <f aca="false">+'Datos ICP (2)'!BA31</f>
        <v>0.0736485064764494</v>
      </c>
      <c r="X4" s="81" t="n">
        <f aca="false">+'Datos ICP (2)'!BB31</f>
        <v>0.0538041168028494</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49</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t="n">
        <f aca="false">+'Datos ICP (2)'!AH77</f>
        <v>0.00878524391320701</v>
      </c>
      <c r="I30" s="81" t="n">
        <f aca="false">+'Datos ICP (2)'!AI77</f>
        <v>0.0103616631363057</v>
      </c>
      <c r="J30" s="81" t="n">
        <f aca="false">+'Datos ICP (2)'!AJ77</f>
        <v>0.00941507013085063</v>
      </c>
      <c r="K30" s="81" t="n">
        <f aca="false">+'Datos ICP (2)'!AK77</f>
        <v>0.00973152922417442</v>
      </c>
      <c r="L30" s="81" t="n">
        <f aca="false">+'Datos ICP (2)'!AL77</f>
        <v>0.00886337395135217</v>
      </c>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0.111942792636216</v>
      </c>
      <c r="R30" s="77"/>
      <c r="S30" s="77"/>
      <c r="T30" s="77"/>
      <c r="U30" s="77"/>
      <c r="V30" s="77"/>
      <c r="W30" s="77"/>
      <c r="X30" s="77"/>
    </row>
    <row r="31" customFormat="false" ht="15" hidden="false" customHeight="true" outlineLevel="0" collapsed="false">
      <c r="C31" s="76"/>
      <c r="D31" s="77" t="s">
        <v>26</v>
      </c>
      <c r="E31" s="87"/>
      <c r="F31" s="87"/>
      <c r="G31" s="87"/>
      <c r="H31" s="87" t="n">
        <f aca="false">+'Datos ICP (2)'!AH78</f>
        <v>0.00745817908130753</v>
      </c>
      <c r="I31" s="87" t="n">
        <f aca="false">+'Datos ICP (2)'!AI78</f>
        <v>0.00882507642095476</v>
      </c>
      <c r="J31" s="87" t="n">
        <f aca="false">+'Datos ICP (2)'!AJ78</f>
        <v>0.00800289135407151</v>
      </c>
      <c r="K31" s="87" t="n">
        <f aca="false">+'Datos ICP (2)'!AK78</f>
        <v>0.00820447209350883</v>
      </c>
      <c r="L31" s="87" t="n">
        <f aca="false">+'Datos ICP (2)'!AL78</f>
        <v>0.00759628558108139</v>
      </c>
      <c r="M31" s="87" t="n">
        <f aca="false">+'Datos ICP (2)'!AM78</f>
        <v>0.00678482261305935</v>
      </c>
      <c r="N31" s="87" t="n">
        <f aca="false">+'Datos ICP (2)'!AN78</f>
        <v>0.00667608269659126</v>
      </c>
      <c r="O31" s="87" t="n">
        <f aca="false">+'Datos ICP (2)'!AO78</f>
        <v>0.00616956723192952</v>
      </c>
      <c r="P31" s="87" t="n">
        <f aca="false">+'Datos ICP (2)'!AP78</f>
        <v>0.00610155186395645</v>
      </c>
      <c r="Q31" s="81" t="n">
        <f aca="false">+'Datos ICP (2)'!AQ78</f>
        <v>0.093648405763658</v>
      </c>
      <c r="R31" s="77"/>
      <c r="S31" s="77"/>
      <c r="T31" s="77"/>
      <c r="U31" s="77"/>
      <c r="V31" s="77"/>
      <c r="W31" s="77"/>
      <c r="X31" s="77"/>
    </row>
    <row r="32" customFormat="false" ht="15" hidden="false" customHeight="true" outlineLevel="0" collapsed="false">
      <c r="C32" s="76"/>
      <c r="D32" s="77" t="s">
        <v>38</v>
      </c>
      <c r="E32" s="87"/>
      <c r="F32" s="87"/>
      <c r="G32" s="87"/>
      <c r="H32" s="87" t="n">
        <f aca="false">+'Datos ICP (2)'!AH79</f>
        <v>0.0109510238650075</v>
      </c>
      <c r="I32" s="87" t="n">
        <f aca="false">+'Datos ICP (2)'!AI79</f>
        <v>0.0112258267476995</v>
      </c>
      <c r="J32" s="87" t="n">
        <f aca="false">+'Datos ICP (2)'!AJ79</f>
        <v>0.010260503868913</v>
      </c>
      <c r="K32" s="87" t="n">
        <f aca="false">+'Datos ICP (2)'!AK79</f>
        <v>0.0107010135333612</v>
      </c>
      <c r="L32" s="87" t="n">
        <f aca="false">+'Datos ICP (2)'!AL79</f>
        <v>0.00971283720944061</v>
      </c>
      <c r="M32" s="87" t="n">
        <f aca="false">+'Datos ICP (2)'!AM79</f>
        <v>0.00925088083012282</v>
      </c>
      <c r="N32" s="87" t="n">
        <f aca="false">+'Datos ICP (2)'!AN79</f>
        <v>0.00901486222943571</v>
      </c>
      <c r="O32" s="87" t="n">
        <f aca="false">+'Datos ICP (2)'!AO79</f>
        <v>0.00845376775379436</v>
      </c>
      <c r="P32" s="87" t="n">
        <f aca="false">+'Datos ICP (2)'!AP79</f>
        <v>0.00858945733981198</v>
      </c>
      <c r="Q32" s="81" t="n">
        <f aca="false">+'Datos ICP (2)'!AQ79</f>
        <v>0.122253361204384</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0.00871550210088712</v>
      </c>
      <c r="F35" s="87" t="n">
        <f aca="false">+'Datos ICP (2)'!AF82</f>
        <v>0.00679557848371259</v>
      </c>
      <c r="G35" s="87" t="n">
        <f aca="false">+'Datos ICP (2)'!AG82</f>
        <v>0.00627713250618944</v>
      </c>
      <c r="H35" s="87" t="n">
        <f aca="false">+'Datos ICP (2)'!AH82</f>
        <v>0.00672344283154858</v>
      </c>
      <c r="I35" s="87" t="n">
        <f aca="false">+'Datos ICP (2)'!AI82</f>
        <v>0.00652684541279314</v>
      </c>
      <c r="J35" s="87" t="n">
        <f aca="false">+'Datos ICP (2)'!AJ82</f>
        <v>0.00591619989203784</v>
      </c>
      <c r="K35" s="87" t="n">
        <f aca="false">+'Datos ICP (2)'!AK82</f>
        <v>0.00542757672021432</v>
      </c>
      <c r="L35" s="87" t="n">
        <f aca="false">+'Datos ICP (2)'!AL82</f>
        <v>0.00545941183682897</v>
      </c>
      <c r="M35" s="87" t="n">
        <f aca="false">+'Datos ICP (2)'!AM82</f>
        <v>0.00497121455063443</v>
      </c>
      <c r="N35" s="87" t="n">
        <f aca="false">+'Datos ICP (2)'!AN82</f>
        <v>0.00463856798572149</v>
      </c>
      <c r="O35" s="87" t="n">
        <f aca="false">+'Datos ICP (2)'!AO82</f>
        <v>0.00447884649765395</v>
      </c>
      <c r="P35" s="87" t="n">
        <f aca="false">+'Datos ICP (2)'!AP82</f>
        <v>0.00390517644676014</v>
      </c>
      <c r="Q35" s="81" t="n">
        <f aca="false">+'Datos ICP (2)'!AQ82</f>
        <v>0.0721047980987579</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0.00425677105764333</v>
      </c>
      <c r="F38" s="87" t="n">
        <f aca="false">+'Datos ICP (2)'!AF85</f>
        <v>0.0048648734221739</v>
      </c>
      <c r="G38" s="87" t="n">
        <f aca="false">+'Datos ICP (2)'!AG85</f>
        <v>0.00500669575350021</v>
      </c>
      <c r="H38" s="87" t="n">
        <f aca="false">+'Datos ICP (2)'!AH85</f>
        <v>0.00684881736870291</v>
      </c>
      <c r="I38" s="87" t="n">
        <f aca="false">+'Datos ICP (2)'!AI85</f>
        <v>0.0058952336271898</v>
      </c>
      <c r="J38" s="87" t="n">
        <f aca="false">+'Datos ICP (2)'!AJ85</f>
        <v>0.00604173032739208</v>
      </c>
      <c r="K38" s="87" t="n">
        <f aca="false">+'Datos ICP (2)'!AK85</f>
        <v>0.00579715310853324</v>
      </c>
      <c r="L38" s="87" t="n">
        <f aca="false">+'Datos ICP (2)'!AL85</f>
        <v>0.00612445738183665</v>
      </c>
      <c r="M38" s="87" t="n">
        <f aca="false">+'Datos ICP (2)'!AM85</f>
        <v>0.00582653454861282</v>
      </c>
      <c r="N38" s="87" t="n">
        <f aca="false">+'Datos ICP (2)'!AN85</f>
        <v>0.00594017111597367</v>
      </c>
      <c r="O38" s="87" t="n">
        <f aca="false">+'Datos ICP (2)'!AO85</f>
        <v>0.00583007095008892</v>
      </c>
      <c r="P38" s="87" t="n">
        <f aca="false">+'Datos ICP (2)'!AP85</f>
        <v>0.00601411897240056</v>
      </c>
      <c r="Q38" s="81" t="n">
        <f aca="false">+'Datos ICP (2)'!AQ85</f>
        <v>0.0660944192521895</v>
      </c>
      <c r="R38" s="77"/>
      <c r="S38" s="77"/>
      <c r="T38" s="77"/>
      <c r="U38" s="77"/>
      <c r="V38" s="77"/>
      <c r="W38" s="77"/>
      <c r="X38" s="77"/>
    </row>
    <row r="39" customFormat="false" ht="15" hidden="false" customHeight="false" outlineLevel="0" collapsed="false">
      <c r="C39" s="76" t="n">
        <v>2026</v>
      </c>
      <c r="D39" s="77" t="s">
        <v>3</v>
      </c>
      <c r="E39" s="81" t="n">
        <f aca="false">+'Datos ICP (2)'!AE86</f>
        <v>0.00388234363273376</v>
      </c>
      <c r="F39" s="81" t="n">
        <f aca="false">+'Datos ICP (2)'!AF86</f>
        <v>0.00363126461056962</v>
      </c>
      <c r="G39" s="81" t="n">
        <f aca="false">+'Datos ICP (2)'!AG86</f>
        <v>0.0038819280865483</v>
      </c>
      <c r="H39" s="81" t="n">
        <f aca="false">+'Datos ICP (2)'!AH86</f>
        <v>-0.243672722859896</v>
      </c>
      <c r="I39" s="81"/>
      <c r="J39" s="81"/>
      <c r="K39" s="81"/>
      <c r="L39" s="81"/>
      <c r="M39" s="81"/>
      <c r="N39" s="81"/>
      <c r="O39" s="81"/>
      <c r="P39" s="81"/>
      <c r="Q39" s="81"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0.00597553147422048</v>
      </c>
      <c r="F41" s="87" t="n">
        <f aca="false">+'Datos ICP (2)'!AF88</f>
        <v>0.00570845757546534</v>
      </c>
      <c r="G41" s="87" t="n">
        <f aca="false">+'Datos ICP (2)'!AG88</f>
        <v>0.00610442319067306</v>
      </c>
      <c r="H41" s="87" t="n">
        <f aca="false">+'Datos ICP (2)'!AH88</f>
        <v>0.00601570555324638</v>
      </c>
      <c r="I41" s="87"/>
      <c r="J41" s="87"/>
      <c r="K41" s="87"/>
      <c r="L41" s="87"/>
      <c r="M41" s="87"/>
      <c r="N41" s="87"/>
      <c r="O41" s="87"/>
      <c r="P41" s="87"/>
      <c r="Q41" s="87" t="n">
        <f aca="false">+'Datos ICP (2)'!AQ88</f>
        <v>0.0538041168028494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50</v>
      </c>
      <c r="K1" s="88"/>
      <c r="L1" s="91"/>
      <c r="N1" s="90" t="s">
        <v>51</v>
      </c>
      <c r="O1" s="88"/>
      <c r="P1" s="91"/>
      <c r="R1" s="90" t="s">
        <v>52</v>
      </c>
      <c r="S1" s="88"/>
      <c r="T1" s="91"/>
    </row>
    <row r="2" customFormat="false" ht="15" hidden="false" customHeight="false" outlineLevel="0" collapsed="false">
      <c r="C2" s="89"/>
      <c r="O2" s="92" t="s">
        <v>53</v>
      </c>
      <c r="P2" s="93" t="n">
        <v>0</v>
      </c>
    </row>
    <row r="3" customFormat="false" ht="15" hidden="false" customHeight="false" outlineLevel="0" collapsed="false">
      <c r="C3" s="89"/>
      <c r="K3" s="92" t="s">
        <v>54</v>
      </c>
      <c r="L3" s="93" t="n">
        <v>0.614</v>
      </c>
      <c r="O3" s="92" t="s">
        <v>55</v>
      </c>
      <c r="P3" s="93" t="n">
        <v>0</v>
      </c>
      <c r="S3" s="92" t="s">
        <v>56</v>
      </c>
      <c r="T3" s="93" t="n">
        <v>1</v>
      </c>
    </row>
    <row r="4" customFormat="false" ht="15" hidden="false" customHeight="false" outlineLevel="0" collapsed="false">
      <c r="C4" s="89"/>
      <c r="K4" s="92" t="s">
        <v>57</v>
      </c>
      <c r="L4" s="93" t="n">
        <v>0.3658</v>
      </c>
      <c r="O4" s="92" t="s">
        <v>58</v>
      </c>
      <c r="P4" s="93" t="n">
        <v>0</v>
      </c>
      <c r="S4" s="92" t="s">
        <v>59</v>
      </c>
      <c r="T4" s="93" t="n">
        <v>0</v>
      </c>
    </row>
    <row r="5" customFormat="false" ht="15" hidden="false" customHeight="false" outlineLevel="0" collapsed="false">
      <c r="A5" s="88"/>
      <c r="B5" s="88"/>
      <c r="C5" s="89"/>
      <c r="K5" s="92" t="s">
        <v>60</v>
      </c>
      <c r="L5" s="93" t="n">
        <v>0.0202</v>
      </c>
      <c r="O5" s="92" t="s">
        <v>61</v>
      </c>
      <c r="P5" s="93" t="n">
        <v>0.0811</v>
      </c>
    </row>
    <row r="6" customFormat="false" ht="15" hidden="false" customHeight="false" outlineLevel="0" collapsed="false">
      <c r="A6" s="88"/>
      <c r="B6" s="88"/>
      <c r="C6" s="89"/>
      <c r="K6" s="92" t="s">
        <v>62</v>
      </c>
      <c r="L6" s="93" t="n">
        <v>0</v>
      </c>
      <c r="O6" s="92" t="s">
        <v>63</v>
      </c>
      <c r="P6" s="93" t="n">
        <v>0.8618</v>
      </c>
    </row>
    <row r="7" customFormat="false" ht="15" hidden="false" customHeight="false" outlineLevel="0" collapsed="false">
      <c r="B7" s="88"/>
      <c r="C7" s="89"/>
      <c r="L7" s="94" t="n">
        <f aca="false">SUM(L3:L6)</f>
        <v>1</v>
      </c>
      <c r="O7" s="92" t="s">
        <v>64</v>
      </c>
      <c r="P7" s="93" t="n">
        <v>0.0202</v>
      </c>
      <c r="Q7" s="94"/>
    </row>
    <row r="8" customFormat="false" ht="15" hidden="false" customHeight="false" outlineLevel="0" collapsed="false">
      <c r="C8" s="89"/>
      <c r="O8" s="92" t="s">
        <v>65</v>
      </c>
      <c r="P8" s="93" t="n">
        <v>0.037</v>
      </c>
    </row>
    <row r="9" customFormat="false" ht="15" hidden="false" customHeight="false" outlineLevel="0" collapsed="false">
      <c r="C9" s="89"/>
      <c r="O9" s="92" t="s">
        <v>66</v>
      </c>
      <c r="P9" s="93" t="n">
        <v>0</v>
      </c>
    </row>
    <row r="10" customFormat="false" ht="15" hidden="false" customHeight="false" outlineLevel="0" collapsed="false">
      <c r="C10" s="89"/>
      <c r="O10" s="92" t="s">
        <v>67</v>
      </c>
      <c r="P10" s="93" t="n">
        <v>0</v>
      </c>
    </row>
    <row r="11" customFormat="false" ht="15" hidden="false" customHeight="false" outlineLevel="0" collapsed="false">
      <c r="C11" s="89"/>
      <c r="O11" s="92" t="s">
        <v>68</v>
      </c>
      <c r="P11" s="93" t="n">
        <v>0</v>
      </c>
    </row>
    <row r="12" customFormat="false" ht="15" hidden="true" customHeight="false" outlineLevel="0" collapsed="false">
      <c r="C12" s="89"/>
      <c r="O12" s="92"/>
      <c r="P12" s="93" t="n">
        <v>0</v>
      </c>
    </row>
    <row r="13" customFormat="false" ht="15" hidden="false" customHeight="false" outlineLevel="0" collapsed="false">
      <c r="C13" s="89"/>
      <c r="O13" s="92" t="s">
        <v>69</v>
      </c>
      <c r="P13" s="93" t="n">
        <v>0</v>
      </c>
    </row>
    <row r="14" customFormat="false" ht="15" hidden="true" customHeight="false" outlineLevel="0" collapsed="false">
      <c r="A14" s="88" t="s">
        <v>70</v>
      </c>
      <c r="B14" s="95" t="n">
        <v>0</v>
      </c>
      <c r="C14" s="89"/>
    </row>
    <row r="15" customFormat="false" ht="15" hidden="false" customHeight="false" outlineLevel="0" collapsed="false">
      <c r="A15" s="88"/>
      <c r="B15" s="95"/>
      <c r="C15" s="89"/>
      <c r="P15" s="94" t="n">
        <f aca="false">SUM(P2:P14)</f>
        <v>1.0001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2026-05-19T14:23:01Z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