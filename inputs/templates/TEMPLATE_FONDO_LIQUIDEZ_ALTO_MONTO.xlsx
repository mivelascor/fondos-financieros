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<sst xmlns="http://schemas.openxmlformats.org/spreadsheetml/2006/main" count="244" uniqueCount="67">
  <si>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</si>
  <si>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</si>
  <si>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</si>
  <si>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</si>
  <si>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</si>
  <si>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</si>
  <si>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</si>
  <si>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</si>
  <si>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</si>
  <si>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</si>
  <si>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</si>
  <si>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</si>
  <si>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</si>
  <si>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</si>
  <si>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</si>
  <si>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</si>
  <si>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</si>
  <si>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</si>
  <si>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</si>
  <si>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FIP Liquidez Alto Monto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</si>
  <si>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</si>
  <si>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</si>
  <si>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</si>
  <si>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</si>
  <si>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</si>
  <si>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</si>
  <si>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</si>
  <si>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 Acum a Mar</t>
  </si>
  <si>
    <t xml:space="preserve">Alto Monto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</si>
  <si>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</si>
  <si>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</si>
  <si>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</si>
  <si>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</si>
  <si>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</si>
  <si>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</si>
  <si>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</si>
  <si>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</si>
  <si>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</si>
  <si>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</si>
  <si>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</si>
  <si>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</si>
  <si>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</si>
  <si>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</si>
  <si>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ICP (Benchmark)</t>
  </si>
  <si>
    <t xml:space="preserve">Total
Año</t>
  </si>
  <si>
    <t xml:space="preserve">FIP LIQUIDEZ Presente</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</si>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</sst>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0">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b val="true"/>
      <sz val="9"/>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10" fillId="2"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1"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75" fontId="7" fillId="2" borderId="0" xfId="23" applyFont="true" applyBorder="false" applyAlignment="false" applyProtection="false">
      <alignment horizontal="general" vertical="bottom" textRotation="0" wrapText="false" indent="0" shrinkToFit="false"/>
      <protection locked="true" hidden="false"/>
    </xf>
    <xf numFmtId="172" fontId="7" fillId="2"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0"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4" fillId="2" borderId="0" xfId="25" applyFont="true" applyBorder="false" applyAlignment="true" applyProtection="false">
      <alignment horizontal="center" vertical="bottom" textRotation="0" wrapText="false" indent="0" shrinkToFit="false"/>
      <protection locked="true" hidden="false"/>
    </xf>
    <xf numFmtId="169" fontId="14" fillId="4" borderId="0" xfId="25" applyFont="true" applyBorder="false" applyAlignment="true" applyProtection="false">
      <alignment horizontal="center"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9" fontId="12" fillId="0" borderId="0" xfId="25" applyFont="true" applyBorder="false" applyAlignment="true" applyProtection="false">
      <alignment horizontal="center" vertical="bottom" textRotation="0" wrapText="false" indent="0" shrinkToFit="false"/>
      <protection locked="true" hidden="false"/>
    </xf>
    <xf numFmtId="178" fontId="7" fillId="0" borderId="0" xfId="27" applyFont="true" applyBorder="false" applyAlignment="false" applyProtection="false">
      <alignment horizontal="general" vertical="bottom" textRotation="0" wrapText="false" indent="0" shrinkToFit="false"/>
      <protection locked="true" hidden="false"/>
    </xf>
    <xf numFmtId="164" fontId="11" fillId="0" borderId="0" xfId="23" applyFont="true" applyBorder="false" applyAlignment="true" applyProtection="false">
      <alignment horizontal="left" vertical="bottom" textRotation="0" wrapText="false" indent="0" shrinkToFit="false"/>
      <protection locked="true" hidden="false"/>
    </xf>
    <xf numFmtId="164" fontId="16" fillId="3" borderId="0" xfId="23" applyFont="true" applyBorder="false" applyAlignment="true" applyProtection="false">
      <alignment horizontal="center"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4" borderId="0" xfId="23" applyFont="true" applyBorder="false" applyAlignment="true" applyProtection="false">
      <alignment horizontal="left" vertical="bottom" textRotation="0" wrapText="false" indent="0" shrinkToFit="false"/>
      <protection locked="true" hidden="false"/>
    </xf>
    <xf numFmtId="164" fontId="17" fillId="6" borderId="0" xfId="23" applyFont="true" applyBorder="false" applyAlignment="true" applyProtection="false">
      <alignment horizontal="center" vertical="bottom" textRotation="0" wrapText="false" indent="0" shrinkToFit="false"/>
      <protection locked="true" hidden="false"/>
    </xf>
    <xf numFmtId="169" fontId="19" fillId="6" borderId="0" xfId="25" applyFont="true" applyBorder="false" applyAlignment="true" applyProtection="false">
      <alignment horizontal="center" vertical="bottom" textRotation="0" wrapText="false" indent="0" shrinkToFit="false"/>
      <protection locked="true" hidden="false"/>
    </xf>
    <xf numFmtId="169" fontId="17" fillId="2" borderId="0" xfId="25" applyFont="true" applyBorder="false" applyAlignment="true" applyProtection="false">
      <alignment horizontal="center" vertical="bottom" textRotation="0" wrapText="false" indent="0" shrinkToFit="false"/>
      <protection locked="true" hidden="false"/>
    </xf>
    <xf numFmtId="164" fontId="17" fillId="2" borderId="0" xfId="23" applyFont="true" applyBorder="false" applyAlignment="true" applyProtection="false">
      <alignment horizontal="center" vertical="bottom" textRotation="0" wrapText="false" indent="0" shrinkToFit="false"/>
      <protection locked="true" hidden="false"/>
    </xf>
    <xf numFmtId="169" fontId="19" fillId="2" borderId="0" xfId="25" applyFont="true" applyBorder="false" applyAlignment="true" applyProtection="false">
      <alignment horizontal="center" vertical="bottom" textRotation="0" wrapText="false" indent="0" shrinkToFit="false"/>
      <protection locked="true" hidden="false"/>
    </xf>
    <xf numFmtId="164" fontId="16" fillId="6" borderId="0" xfId="23" applyFont="true" applyBorder="false" applyAlignment="true" applyProtection="false">
      <alignment horizontal="center" vertical="center" textRotation="0" wrapText="false" indent="0" shrinkToFit="false"/>
      <protection locked="true" hidden="false"/>
    </xf>
    <xf numFmtId="164" fontId="16" fillId="2" borderId="0" xfId="23" applyFont="true" applyBorder="false" applyAlignment="true" applyProtection="false">
      <alignment horizontal="center" vertical="center"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6" fillId="2" borderId="0" xfId="23"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3" fontId="7" fillId="5" borderId="0" xfId="23" applyFont="true" applyBorder="false" applyAlignment="false" applyProtection="false">
      <alignment horizontal="general" vertical="bottom" textRotation="0" wrapText="false" indent="0" shrinkToFit="false"/>
      <protection locked="true" hidden="false"/>
    </xf>
    <xf numFmtId="164" fontId="20" fillId="0" borderId="0" xfId="23" applyFont="true" applyBorder="false" applyAlignment="false" applyProtection="false">
      <alignment horizontal="general" vertical="bottom" textRotation="0" wrapText="false" indent="0" shrinkToFit="false"/>
      <protection locked="true" hidden="false"/>
    </xf>
    <xf numFmtId="165" fontId="7" fillId="0" borderId="0" xfId="27" applyFont="true" applyBorder="false" applyAlignment="false" applyProtection="false">
      <alignment horizontal="general" vertical="bottom" textRotation="0" wrapText="false" indent="0" shrinkToFit="false"/>
      <protection locked="true" hidden="false"/>
    </xf>
    <xf numFmtId="165" fontId="7" fillId="0" borderId="0" xfId="23" applyFont="true" applyBorder="false" applyAlignment="false" applyProtection="false">
      <alignment horizontal="general" vertical="bottom" textRotation="0" wrapText="false" indent="0" shrinkToFit="false"/>
      <protection locked="true" hidden="false"/>
    </xf>
    <xf numFmtId="169" fontId="21" fillId="0" borderId="0" xfId="25"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24" fillId="0" borderId="0" xfId="0" applyFont="true" applyBorder="false" applyAlignment="false" applyProtection="false">
      <alignment horizontal="general" vertical="bottom" textRotation="0" wrapText="false" indent="0" shrinkToFit="false"/>
      <protection locked="true" hidden="false"/>
    </xf>
    <xf numFmtId="172" fontId="24" fillId="0" borderId="0" xfId="0" applyFont="true" applyBorder="false" applyAlignment="false" applyProtection="false">
      <alignment horizontal="general" vertical="bottom" textRotation="0" wrapText="false" indent="0" shrinkToFit="false"/>
      <protection locked="true" hidden="false"/>
    </xf>
    <xf numFmtId="164" fontId="25" fillId="8" borderId="3" xfId="0" applyFont="true" applyBorder="true" applyAlignment="true" applyProtection="false">
      <alignment horizontal="general" vertical="bottom" textRotation="0" wrapText="true" indent="0" shrinkToFit="false"/>
      <protection locked="true" hidden="false"/>
    </xf>
    <xf numFmtId="167" fontId="7" fillId="0" borderId="0" xfId="23" applyFont="true" applyBorder="false" applyAlignment="true" applyProtection="false">
      <alignment horizontal="general" vertical="bottom" textRotation="0" wrapText="true" indent="0" shrinkToFit="false"/>
      <protection locked="true" hidden="false"/>
    </xf>
    <xf numFmtId="164" fontId="25"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(2)'!$D$3:$D$158</c:f>
              <c:numCache>
                <c:formatCode>General</c:formatCode>
                <c:ptCount val="156"/>
              </c:numCache>
            </c:numRef>
          </c:val>
          <c:smooth val="0"/>
        </c:ser>
        <c:ser>
          <c:idx val="1"/>
          <c:order val="1"/>
          <c:tx>
            <c:strRef>
              <c:f>'Datos ICP (2)'!$J$2</c:f>
              <c:strCache>
                <c:ptCount val="1"/>
                <c:pt idx="0">
                  <c:v>FIP Liquidez Alto Monto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(2)'!$J$3:$J$158</c:f>
              <c:numCache>
                <c:formatCode>General</c:formatCode>
                <c:ptCount val="156"/>
              </c:numCache>
            </c:numRef>
          </c:val>
          <c:smooth val="0"/>
        </c:ser>
        <c:hiLowLines>
          <c:spPr>
            <a:ln w="0">
              <a:noFill/>
            </a:ln>
          </c:spPr>
        </c:hiLowLines>
        <c:marker val="0"/>
        <c:axId val="2793448"/>
        <c:axId val="66524442"/>
      </c:lineChart>
      <c:dateAx>
        <c:axId val="2793448"/>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6524442"/>
        <c:crosses val="autoZero"/>
        <c:auto val="1"/>
        <c:lblOffset val="100"/>
        <c:baseTimeUnit val="months"/>
        <c:majorUnit val="6"/>
        <c:majorTimeUnit val="months"/>
        <c:minorUnit val="6"/>
        <c:minorTimeUnit val="months"/>
        <c:noMultiLvlLbl val="0"/>
      </c:dateAx>
      <c:valAx>
        <c:axId val="6652444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79344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Alto Monto</a:t>
            </a:r>
          </a:p>
        </c:rich>
      </c:tx>
      <c:layout>
        <c:manualLayout>
          <c:xMode val="edge"/>
          <c:yMode val="edge"/>
          <c:x val="0.319612805825674"/>
          <c:y val="0.0364431486880467"/>
        </c:manualLayout>
      </c:layout>
      <c:overlay val="0"/>
      <c:spPr>
        <a:noFill/>
        <a:ln w="0">
          <a:noFill/>
        </a:ln>
      </c:spPr>
    </c:title>
    <c:autoTitleDeleted val="0"/>
    <c:plotArea>
      <c:layout>
        <c:manualLayout>
          <c:layoutTarget val="inner"/>
          <c:xMode val="edge"/>
          <c:yMode val="edge"/>
          <c:x val="0.0797033879490254"/>
          <c:y val="0.160714285714286"/>
          <c:w val="0.864215620975978"/>
          <c:h val="0.692201166180758"/>
        </c:manualLayout>
      </c:layout>
      <c:lineChart>
        <c:grouping val="standard"/>
        <c:varyColors val="0"/>
        <c:ser>
          <c:idx val="0"/>
          <c:order val="0"/>
          <c:tx>
            <c:strRef>
              <c:f>"FIP Liquidez Alto Monto"</c:f>
              <c:strCache>
                <c:ptCount val="1"/>
                <c:pt idx="0">
                  <c:v>FIP Liquidez Alto Monto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(2)'!$J$238:$J$247</c:f>
              <c:numCache>
                <c:formatCode>#,##0.00</c:formatCode>
                <c:ptCount val="10"/>
                <c:pt idx="0">
                  <c:v>100</c:v>
                </c:pt>
                <c:pt idx="1">
                  <c:v>100.056360792737</c:v>
                </c:pt>
                <c:pt idx="2">
                  <c:v>100.682226549516</c:v>
                </c:pt>
                <c:pt idx="3">
                  <c:v>101.377479801331</c:v>
                </c:pt>
                <c:pt idx="4">
                  <c:v>102.021946351745</c:v>
                </c:pt>
                <c:pt idx="5">
                  <c:v>102.685157059303</c:v>
                </c:pt>
                <c:pt idx="6">
                  <c:v>103.341494292353</c:v>
                </c:pt>
                <c:pt idx="7">
                  <c:v>103.984438686978</c:v>
                </c:pt>
                <c:pt idx="8">
                  <c:v>104.657590583486</c:v>
                </c:pt>
                <c:pt idx="9">
                  <c:v>105.33218539611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(2)'!$M$238:$M$247</c:f>
              <c:numCache>
                <c:formatCode>0.00</c:formatCode>
                <c:ptCount val="10"/>
                <c:pt idx="0">
                  <c:v>100</c:v>
                </c:pt>
                <c:pt idx="1">
                  <c:v>100.278438811203</c:v>
                </c:pt>
                <c:pt idx="2">
                  <c:v>100.377913340695</c:v>
                </c:pt>
                <c:pt idx="3">
                  <c:v>100.47795976481</c:v>
                </c:pt>
                <c:pt idx="4">
                  <c:v>100.578339003553</c:v>
                </c:pt>
                <c:pt idx="5">
                  <c:v>100.674068477961</c:v>
                </c:pt>
                <c:pt idx="6">
                  <c:v>100.771512603765</c:v>
                </c:pt>
                <c:pt idx="7">
                  <c:v>100.864276642887</c:v>
                </c:pt>
                <c:pt idx="8">
                  <c:v>100.957501092347</c:v>
                </c:pt>
                <c:pt idx="9">
                  <c:v>101.051560361336</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(2)'!$D$238:$D$2234</c:f>
              <c:numCache>
                <c:formatCode>0.00</c:formatCode>
                <c:ptCount val="1997"/>
                <c:pt idx="0">
                  <c:v>100</c:v>
                </c:pt>
                <c:pt idx="1">
                  <c:v>100.417464717944</c:v>
                </c:pt>
                <c:pt idx="2">
                  <c:v>100.836779576574</c:v>
                </c:pt>
                <c:pt idx="3">
                  <c:v>101.244117256419</c:v>
                </c:pt>
                <c:pt idx="4">
                  <c:v>101.680941696256</c:v>
                </c:pt>
                <c:pt idx="5">
                  <c:v>102.104681809646</c:v>
                </c:pt>
                <c:pt idx="6">
                  <c:v>102.483451447502</c:v>
                </c:pt>
                <c:pt idx="7">
                  <c:v>102.916961444671</c:v>
                </c:pt>
                <c:pt idx="8">
                  <c:v>103.311982326933</c:v>
                </c:pt>
                <c:pt idx="9">
                  <c:v>103.707919264564</c:v>
                </c:pt>
                <c:pt idx="10">
                  <c:v>101</c:v>
                </c:pt>
                <c:pt idx="11">
                  <c:v>101.379467780877</c:v>
                </c:pt>
                <c:pt idx="12">
                  <c:v>101.773898859724</c:v>
                </c:pt>
                <c:pt idx="13">
                  <c:v>102.156233333719</c:v>
                </c:pt>
                <c:pt idx="14">
                  <c:v>76.171481911528</c:v>
                </c:pt>
              </c:numCache>
            </c:numRef>
          </c:val>
          <c:smooth val="0"/>
        </c:ser>
        <c:hiLowLines>
          <c:spPr>
            <a:ln w="0">
              <a:noFill/>
            </a:ln>
          </c:spPr>
        </c:hiLowLines>
        <c:marker val="1"/>
        <c:axId val="50904043"/>
        <c:axId val="74430782"/>
      </c:lineChart>
      <c:dateAx>
        <c:axId val="5090404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4430782"/>
        <c:auto val="1"/>
        <c:lblOffset val="100"/>
        <c:baseTimeUnit val="days"/>
        <c:noMultiLvlLbl val="0"/>
      </c:dateAx>
      <c:valAx>
        <c:axId val="74430782"/>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50904043"/>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0.3261</c:v>
                </c:pt>
                <c:pt idx="1">
                  <c:v>0.5373</c:v>
                </c:pt>
                <c:pt idx="2">
                  <c:v>0.1366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0.1563</c:v>
                </c:pt>
                <c:pt idx="3">
                  <c:v>0.805</c:v>
                </c:pt>
                <c:pt idx="4">
                  <c:v>0.0238</c:v>
                </c:pt>
                <c:pt idx="5">
                  <c:v>0.0148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342360</xdr:colOff>
      <xdr:row>262</xdr:row>
      <xdr:rowOff>149400</xdr:rowOff>
    </xdr:from>
    <xdr:to>
      <xdr:col>10</xdr:col>
      <xdr:colOff>866880</xdr:colOff>
      <xdr:row>288</xdr:row>
      <xdr:rowOff>135360</xdr:rowOff>
    </xdr:to>
    <xdr:graphicFrame>
      <xdr:nvGraphicFramePr>
        <xdr:cNvPr id="1" name="Chart 2"/>
        <xdr:cNvGraphicFramePr/>
      </xdr:nvGraphicFramePr>
      <xdr:xfrm>
        <a:off x="2920320" y="50116320"/>
        <a:ext cx="810720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2"/>
  <sheetViews>
    <sheetView showFormulas="false" showGridLines="false" showRowColHeaders="true" showZeros="true" rightToLeft="false" tabSelected="false" showOutlineSymbols="true" defaultGridColor="true" view="normal" topLeftCell="AP4"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12" t="s">
        <v>19</v>
      </c>
      <c r="K2" s="13" t="s">
        <v>20</v>
      </c>
      <c r="L2" s="14"/>
      <c r="M2" s="3" t="s">
        <v>21</v>
      </c>
      <c r="P2" s="3" t="s">
        <v>4</v>
      </c>
      <c r="Q2" s="3" t="s">
        <v>5</v>
      </c>
      <c r="R2" s="3" t="s">
        <v>6</v>
      </c>
      <c r="S2" s="3" t="s">
        <v>7</v>
      </c>
      <c r="T2" s="3" t="s">
        <v>8</v>
      </c>
      <c r="U2" s="3" t="s">
        <v>9</v>
      </c>
      <c r="V2" s="3" t="s">
        <v>10</v>
      </c>
      <c r="W2" s="3" t="s">
        <v>11</v>
      </c>
      <c r="X2" s="3" t="s">
        <v>12</v>
      </c>
      <c r="Y2" s="3" t="s">
        <v>13</v>
      </c>
      <c r="Z2" s="3" t="s">
        <v>14</v>
      </c>
      <c r="AA2" s="3" t="s">
        <v>15</v>
      </c>
      <c r="AC2" s="6"/>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9"/>
      <c r="AS2" s="9"/>
    </row>
    <row r="3" customFormat="false" ht="15" hidden="false" customHeight="false" outlineLevel="0" collapsed="false">
      <c r="A3" s="18" t="n">
        <v>38717</v>
      </c>
      <c r="B3" s="19" t="n">
        <v>10953.14</v>
      </c>
      <c r="D3" s="20"/>
      <c r="E3" s="20"/>
      <c r="F3" s="20"/>
      <c r="K3" s="13" t="s">
        <v>22</v>
      </c>
      <c r="L3" s="14"/>
      <c r="N3" s="19"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6"/>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9"/>
      <c r="AS3" s="9"/>
    </row>
    <row r="4" customFormat="false" ht="15" hidden="false" customHeight="false" outlineLevel="0" collapsed="false">
      <c r="A4" s="25" t="n">
        <v>38748</v>
      </c>
      <c r="B4" s="21" t="n">
        <v>10996.85</v>
      </c>
      <c r="C4" s="26" t="n">
        <f aca="false">(B4/B3-1)/(A4-A3)*30</f>
        <v>0.00386190626614835</v>
      </c>
      <c r="D4" s="20"/>
      <c r="E4" s="20"/>
      <c r="F4" s="20"/>
      <c r="K4" s="13" t="s">
        <v>23</v>
      </c>
      <c r="L4" s="14"/>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6"/>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9"/>
      <c r="AS4" s="9"/>
    </row>
    <row r="5" customFormat="false" ht="15" hidden="false" customHeight="false" outlineLevel="0" collapsed="false">
      <c r="A5" s="18" t="n">
        <v>38776</v>
      </c>
      <c r="B5" s="21" t="n">
        <v>11035.11</v>
      </c>
      <c r="C5" s="26" t="n">
        <f aca="false">(B5/B4-1)/(A5-A4)*30</f>
        <v>0.00372769085173086</v>
      </c>
      <c r="D5" s="20"/>
      <c r="E5" s="20"/>
      <c r="F5" s="20"/>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6"/>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9"/>
      <c r="AS5" s="9"/>
    </row>
    <row r="6" customFormat="false" ht="15" hidden="false" customHeight="false" outlineLevel="0" collapsed="false">
      <c r="A6" s="18" t="n">
        <v>38807</v>
      </c>
      <c r="B6" s="21" t="n">
        <v>11078.66</v>
      </c>
      <c r="C6" s="26" t="n">
        <f aca="false">(B6/B5-1)/(A6-A5)*30</f>
        <v>0.00381918814495936</v>
      </c>
      <c r="D6" s="20"/>
      <c r="E6" s="20"/>
      <c r="F6" s="20"/>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6"/>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9"/>
      <c r="AS6" s="9"/>
    </row>
    <row r="7" customFormat="false" ht="15" hidden="false" customHeight="false" outlineLevel="0" collapsed="false">
      <c r="A7" s="18" t="n">
        <v>38835</v>
      </c>
      <c r="B7" s="21" t="n">
        <v>11118.82</v>
      </c>
      <c r="C7" s="26" t="n">
        <f aca="false">(B7/B6-1)/(A7-A6)*30</f>
        <v>0.00388391479010748</v>
      </c>
      <c r="D7" s="20"/>
      <c r="E7" s="20"/>
      <c r="F7" s="20"/>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6"/>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9"/>
      <c r="AS7" s="9"/>
    </row>
    <row r="8" customFormat="false" ht="15" hidden="false" customHeight="false" outlineLevel="0" collapsed="false">
      <c r="A8" s="18" t="n">
        <v>38868</v>
      </c>
      <c r="B8" s="21" t="n">
        <v>11169.1</v>
      </c>
      <c r="C8" s="26" t="n">
        <f aca="false">(B8/B7-1)/(A8-A7)*30</f>
        <v>0.00411096599361197</v>
      </c>
      <c r="D8" s="20"/>
      <c r="E8" s="20"/>
      <c r="F8" s="20"/>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6"/>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9"/>
      <c r="AS8" s="9"/>
    </row>
    <row r="9" customFormat="false" ht="15" hidden="false" customHeight="false" outlineLevel="0" collapsed="false">
      <c r="A9" s="18" t="n">
        <v>38898</v>
      </c>
      <c r="B9" s="21" t="n">
        <v>11215.04</v>
      </c>
      <c r="C9" s="26" t="n">
        <f aca="false">(B9/B8-1)/(A9-A8)*30</f>
        <v>0.00411313355597143</v>
      </c>
      <c r="D9" s="20"/>
      <c r="E9" s="20"/>
      <c r="F9" s="20"/>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6"/>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9"/>
      <c r="AS9" s="9"/>
    </row>
    <row r="10" customFormat="false" ht="15" hidden="false" customHeight="false" outlineLevel="0" collapsed="false">
      <c r="A10" s="18" t="n">
        <v>38929</v>
      </c>
      <c r="B10" s="21" t="n">
        <v>11263.22</v>
      </c>
      <c r="C10" s="26" t="n">
        <f aca="false">(B10/B9-1)/(A10-A9)*30</f>
        <v>0.00415743559110015</v>
      </c>
      <c r="D10" s="20"/>
      <c r="E10" s="20"/>
      <c r="F10" s="20"/>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6"/>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9"/>
      <c r="AS10" s="9"/>
    </row>
    <row r="11" customFormat="false" ht="15" hidden="false" customHeight="false" outlineLevel="0" collapsed="false">
      <c r="A11" s="18" t="n">
        <v>38960</v>
      </c>
      <c r="B11" s="21" t="n">
        <v>11313.29</v>
      </c>
      <c r="C11" s="26" t="n">
        <f aca="false">(B11/B10-1)/(A11-A10)*30</f>
        <v>0.00430204139754694</v>
      </c>
      <c r="D11" s="20"/>
      <c r="E11" s="20"/>
      <c r="F11" s="20"/>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6"/>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9"/>
      <c r="AS11" s="9"/>
    </row>
    <row r="12" customFormat="false" ht="15" hidden="false" customHeight="false" outlineLevel="0" collapsed="false">
      <c r="A12" s="18" t="n">
        <v>38989</v>
      </c>
      <c r="B12" s="21" t="n">
        <v>11360.92</v>
      </c>
      <c r="C12" s="26" t="n">
        <f aca="false">(B12/B11-1)/(A12-A11)*30</f>
        <v>0.00435526834308157</v>
      </c>
      <c r="D12" s="20"/>
      <c r="E12" s="20"/>
      <c r="F12" s="20"/>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6"/>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9"/>
    </row>
    <row r="13" customFormat="false" ht="15" hidden="false" customHeight="false" outlineLevel="0" collapsed="false">
      <c r="A13" s="18" t="n">
        <v>39021</v>
      </c>
      <c r="B13" s="21" t="n">
        <v>11413.02</v>
      </c>
      <c r="C13" s="26" t="n">
        <f aca="false">(B13/B12-1)/(A13-A12)*30</f>
        <v>0.0042992776993412</v>
      </c>
      <c r="D13" s="20"/>
      <c r="E13" s="20"/>
      <c r="F13" s="20"/>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+B138</f>
        <v>17303.68</v>
      </c>
      <c r="Z13" s="21" t="n">
        <f aca="false">+B139</f>
        <v>17354.21</v>
      </c>
      <c r="AA13" s="21" t="n">
        <f aca="false">+B140</f>
        <v>17406.97</v>
      </c>
      <c r="AC13" s="6"/>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9"/>
    </row>
    <row r="14" customFormat="false" ht="15" hidden="false" customHeight="false" outlineLevel="0" collapsed="false">
      <c r="A14" s="18" t="n">
        <v>39051</v>
      </c>
      <c r="B14" s="21" t="n">
        <v>11463.01</v>
      </c>
      <c r="C14" s="26" t="n">
        <f aca="false">(B14/B13-1)/(A14-A13)*30</f>
        <v>0.00438008520093725</v>
      </c>
      <c r="D14" s="20"/>
      <c r="E14" s="20"/>
      <c r="F14" s="20"/>
      <c r="O14" s="3" t="n">
        <v>2017</v>
      </c>
      <c r="P14" s="21" t="n">
        <f aca="false">+B141</f>
        <v>17457.39</v>
      </c>
      <c r="Q14" s="21" t="n">
        <f aca="false">+B142</f>
        <v>17501.06</v>
      </c>
      <c r="R14" s="21" t="n">
        <f aca="false">+B143</f>
        <v>17548.35</v>
      </c>
      <c r="S14" s="21" t="n">
        <f aca="false">+B144</f>
        <v>17587.92</v>
      </c>
      <c r="T14" s="21" t="n">
        <f aca="false">+B145</f>
        <v>17630.79</v>
      </c>
      <c r="U14" s="21" t="n">
        <f aca="false">+$B146</f>
        <v>17667.59</v>
      </c>
      <c r="V14" s="21" t="n">
        <f aca="false">+$B147</f>
        <v>17705.69</v>
      </c>
      <c r="W14" s="21" t="n">
        <f aca="false">+$B148</f>
        <v>17743.83</v>
      </c>
      <c r="X14" s="21" t="n">
        <f aca="false">+$B149</f>
        <v>17780.7817</v>
      </c>
      <c r="Y14" s="21" t="n">
        <f aca="false">+$B150</f>
        <v>17819.15</v>
      </c>
      <c r="Z14" s="21" t="n">
        <f aca="false">+$B151</f>
        <v>17856.32</v>
      </c>
      <c r="AA14" s="21" t="n">
        <f aca="false">+$B152</f>
        <v>17872.44</v>
      </c>
      <c r="AC14" s="6"/>
      <c r="AD14" s="15" t="n">
        <v>2018</v>
      </c>
      <c r="AE14" s="16" t="n">
        <f aca="false">P15/AA14-1</f>
        <v>0.00340412389130984</v>
      </c>
      <c r="AF14" s="16" t="n">
        <f aca="false">+Q15/P15-1</f>
        <v>0.00194219908460713</v>
      </c>
      <c r="AG14" s="16" t="n">
        <f aca="false">+R15/Q15-1</f>
        <v>0.00215492892685987</v>
      </c>
      <c r="AH14" s="16" t="n">
        <f aca="false">+S15/R15-1</f>
        <v>-1</v>
      </c>
      <c r="AI14" s="16" t="e">
        <f aca="false">+T15/S15-1</f>
        <v>#DIV/0!</v>
      </c>
      <c r="AJ14" s="16" t="e">
        <f aca="false">+U15/T15-1</f>
        <v>#DIV/0!</v>
      </c>
      <c r="AK14" s="28" t="e">
        <f aca="false">+V15/U15-1</f>
        <v>#DIV/0!</v>
      </c>
      <c r="AL14" s="28" t="e">
        <f aca="false">+W15/V15-1</f>
        <v>#DIV/0!</v>
      </c>
      <c r="AM14" s="28" t="e">
        <f aca="false">+X15/W15-1</f>
        <v>#DIV/0!</v>
      </c>
      <c r="AN14" s="16" t="e">
        <f aca="false">+Y15/X15-1</f>
        <v>#DIV/0!</v>
      </c>
      <c r="AO14" s="16" t="e">
        <f aca="false">+Z15/Y15-1</f>
        <v>#DIV/0!</v>
      </c>
      <c r="AP14" s="16" t="e">
        <f aca="false">+AA15/Z15-1</f>
        <v>#DIV/0!</v>
      </c>
      <c r="AQ14" s="17" t="n">
        <f aca="false">+AA15/AA14-1</f>
        <v>-1</v>
      </c>
      <c r="AR14" s="27"/>
      <c r="AS14" s="9"/>
    </row>
    <row r="15" customFormat="false" ht="15" hidden="false" customHeight="false" outlineLevel="0" collapsed="false">
      <c r="A15" s="18" t="n">
        <v>39080</v>
      </c>
      <c r="B15" s="21" t="n">
        <v>11512.49</v>
      </c>
      <c r="C15" s="26" t="n">
        <f aca="false">(B15/B14-1)/(A15-A14)*30</f>
        <v>0.00446533736745858</v>
      </c>
      <c r="D15" s="20"/>
      <c r="E15" s="20"/>
      <c r="F15" s="20"/>
      <c r="O15" s="3" t="n">
        <v>2018</v>
      </c>
      <c r="P15" s="3" t="n">
        <f aca="false">+B153</f>
        <v>17933.28</v>
      </c>
      <c r="Q15" s="3" t="n">
        <f aca="false">+B154</f>
        <v>17968.11</v>
      </c>
      <c r="R15" s="3" t="n">
        <f aca="false">+B155</f>
        <v>18006.83</v>
      </c>
      <c r="S15" s="3" t="n">
        <f aca="false">+B156</f>
        <v>0</v>
      </c>
      <c r="T15" s="19" t="n">
        <f aca="false">+B157</f>
        <v>0</v>
      </c>
      <c r="U15" s="20" t="n">
        <f aca="false">+B158</f>
        <v>0</v>
      </c>
      <c r="V15" s="19" t="n">
        <f aca="false">+B159</f>
        <v>0</v>
      </c>
      <c r="W15" s="19" t="n">
        <f aca="false">+B160</f>
        <v>0</v>
      </c>
      <c r="X15" s="19" t="n">
        <f aca="false">+B161</f>
        <v>0</v>
      </c>
      <c r="Y15" s="29" t="n">
        <f aca="false">+B162</f>
        <v>0</v>
      </c>
      <c r="Z15" s="30" t="n">
        <f aca="false">+B163</f>
        <v>0</v>
      </c>
      <c r="AA15" s="3" t="n">
        <f aca="false">+B164</f>
        <v>0</v>
      </c>
      <c r="AC15" s="6"/>
      <c r="AD15" s="22" t="n">
        <v>2019</v>
      </c>
      <c r="AE15" s="23"/>
      <c r="AF15" s="23"/>
      <c r="AG15" s="23"/>
      <c r="AH15" s="23"/>
      <c r="AI15" s="23"/>
      <c r="AJ15" s="23"/>
      <c r="AK15" s="23"/>
      <c r="AL15" s="23"/>
      <c r="AM15" s="23"/>
      <c r="AN15" s="23"/>
      <c r="AO15" s="23"/>
      <c r="AP15" s="23"/>
      <c r="AQ15" s="24"/>
      <c r="AR15" s="27" t="s">
        <v>24</v>
      </c>
      <c r="AS15" s="9"/>
    </row>
    <row r="16" customFormat="false" ht="15" hidden="false" customHeight="false" outlineLevel="0" collapsed="false">
      <c r="A16" s="18" t="n">
        <v>39113</v>
      </c>
      <c r="B16" s="21" t="n">
        <v>11567.23</v>
      </c>
      <c r="C16" s="26" t="n">
        <f aca="false">(B16/B15-1)/(A16-A15)*30</f>
        <v>0.00432257803165389</v>
      </c>
      <c r="D16" s="20"/>
      <c r="E16" s="20"/>
      <c r="F16" s="20"/>
      <c r="O16" s="3" t="n">
        <v>2019</v>
      </c>
      <c r="P16" s="3" t="n">
        <f aca="false">+B165</f>
        <v>0</v>
      </c>
      <c r="Q16" s="3" t="n">
        <f aca="false">+B166</f>
        <v>0</v>
      </c>
      <c r="R16" s="3" t="n">
        <f aca="false">+B167</f>
        <v>0</v>
      </c>
      <c r="S16" s="3" t="n">
        <f aca="false">+B168</f>
        <v>0</v>
      </c>
      <c r="T16" s="3" t="n">
        <f aca="false">+B169</f>
        <v>0</v>
      </c>
      <c r="U16" s="20" t="n">
        <f aca="false">+B170</f>
        <v>0</v>
      </c>
      <c r="V16" s="20" t="n">
        <f aca="false">+B171</f>
        <v>0</v>
      </c>
      <c r="W16" s="20" t="n">
        <f aca="false">+B172</f>
        <v>0</v>
      </c>
      <c r="X16" s="3" t="n">
        <f aca="false">+B173</f>
        <v>0</v>
      </c>
      <c r="Y16" s="20" t="n">
        <f aca="false">+B174</f>
        <v>0</v>
      </c>
      <c r="Z16" s="3" t="n">
        <f aca="false">+B175</f>
        <v>0</v>
      </c>
      <c r="AA16" s="20" t="n">
        <f aca="false">+B176</f>
        <v>0</v>
      </c>
      <c r="AD16" s="22" t="n">
        <v>2020</v>
      </c>
      <c r="AE16" s="23"/>
      <c r="AF16" s="23"/>
      <c r="AG16" s="23"/>
      <c r="AH16" s="23"/>
      <c r="AI16" s="23"/>
      <c r="AJ16" s="23"/>
      <c r="AK16" s="23"/>
      <c r="AL16" s="23"/>
      <c r="AM16" s="23"/>
      <c r="AN16" s="23"/>
      <c r="AO16" s="23"/>
      <c r="AP16" s="23"/>
      <c r="AQ16" s="24"/>
      <c r="AR16" s="27"/>
      <c r="AS16" s="9"/>
    </row>
    <row r="17" customFormat="false" ht="15" hidden="false" customHeight="false" outlineLevel="0" collapsed="false">
      <c r="A17" s="18" t="n">
        <v>39141</v>
      </c>
      <c r="B17" s="21" t="n">
        <v>11612.68</v>
      </c>
      <c r="C17" s="26" t="n">
        <f aca="false">(B17/B16-1)/(A17-A16)*30</f>
        <v>0.00420986083716054</v>
      </c>
      <c r="D17" s="20"/>
      <c r="E17" s="20"/>
      <c r="F17" s="20"/>
      <c r="O17" s="3" t="n">
        <v>2020</v>
      </c>
      <c r="P17" s="3" t="n">
        <f aca="false">+B177</f>
        <v>0</v>
      </c>
      <c r="Q17" s="20" t="n">
        <f aca="false">+B178</f>
        <v>0</v>
      </c>
      <c r="R17" s="20" t="n">
        <f aca="false">+B179</f>
        <v>0</v>
      </c>
      <c r="S17" s="20" t="n">
        <f aca="false">+B180</f>
        <v>0</v>
      </c>
      <c r="T17" s="20" t="n">
        <f aca="false">+B181</f>
        <v>0</v>
      </c>
      <c r="U17" s="20" t="n">
        <f aca="false">+B182</f>
        <v>0</v>
      </c>
      <c r="V17" s="20" t="n">
        <f aca="false">+B183</f>
        <v>0</v>
      </c>
      <c r="W17" s="20" t="n">
        <f aca="false">+B184</f>
        <v>0</v>
      </c>
      <c r="X17" s="20" t="n">
        <f aca="false">+B185</f>
        <v>0</v>
      </c>
      <c r="Y17" s="20" t="n">
        <f aca="false">+B186</f>
        <v>0</v>
      </c>
      <c r="Z17" s="20" t="n">
        <f aca="false">+B187</f>
        <v>0</v>
      </c>
      <c r="AA17" s="20" t="n">
        <f aca="false">+B188</f>
        <v>0</v>
      </c>
      <c r="AD17" s="22" t="n">
        <v>2021</v>
      </c>
      <c r="AE17" s="23"/>
      <c r="AF17" s="23"/>
      <c r="AG17" s="23"/>
      <c r="AH17" s="23"/>
      <c r="AI17" s="23"/>
      <c r="AJ17" s="23"/>
      <c r="AK17" s="23"/>
      <c r="AL17" s="23"/>
      <c r="AM17" s="23"/>
      <c r="AN17" s="23"/>
      <c r="AO17" s="23"/>
      <c r="AP17" s="23"/>
      <c r="AQ17" s="24"/>
      <c r="AR17" s="27"/>
      <c r="AS17" s="9"/>
    </row>
    <row r="18" customFormat="false" ht="15" hidden="false" customHeight="false" outlineLevel="0" collapsed="false">
      <c r="A18" s="18" t="n">
        <v>39171</v>
      </c>
      <c r="B18" s="21" t="n">
        <v>11661.5</v>
      </c>
      <c r="C18" s="26" t="n">
        <f aca="false">(B18/B17-1)/(A18-A17)*30</f>
        <v>0.00420402525515207</v>
      </c>
      <c r="D18" s="20"/>
      <c r="E18" s="20"/>
      <c r="F18" s="20"/>
      <c r="O18" s="3" t="n">
        <v>2021</v>
      </c>
      <c r="Q18" s="3" t="n">
        <f aca="false">+B190</f>
        <v>0</v>
      </c>
      <c r="R18" s="20" t="n">
        <f aca="false">+B191</f>
        <v>0</v>
      </c>
      <c r="S18" s="3" t="n">
        <f aca="false">+B192</f>
        <v>0</v>
      </c>
      <c r="T18" s="3" t="n">
        <f aca="false">+B193</f>
        <v>0</v>
      </c>
      <c r="U18" s="3" t="n">
        <f aca="false">+B194</f>
        <v>0</v>
      </c>
      <c r="V18" s="3" t="n">
        <f aca="false">+B195</f>
        <v>0</v>
      </c>
      <c r="W18" s="3" t="n">
        <f aca="false">+B196</f>
        <v>0</v>
      </c>
      <c r="X18" s="3" t="n">
        <f aca="false">+B197</f>
        <v>0</v>
      </c>
      <c r="Y18" s="3" t="n">
        <f aca="false">+B198</f>
        <v>0</v>
      </c>
      <c r="Z18" s="3" t="n">
        <f aca="false">+B199</f>
        <v>0</v>
      </c>
      <c r="AA18" s="3" t="n">
        <f aca="false">+B200</f>
        <v>0</v>
      </c>
      <c r="AD18" s="22" t="n">
        <v>2022</v>
      </c>
      <c r="AE18" s="23"/>
      <c r="AF18" s="23"/>
      <c r="AG18" s="23"/>
      <c r="AH18" s="23"/>
      <c r="AI18" s="23"/>
      <c r="AJ18" s="23"/>
      <c r="AK18" s="23"/>
      <c r="AL18" s="23"/>
      <c r="AM18" s="23"/>
      <c r="AN18" s="23"/>
      <c r="AO18" s="23"/>
      <c r="AP18" s="23"/>
      <c r="AQ18" s="24"/>
      <c r="AR18" s="27"/>
      <c r="AS18" s="9"/>
      <c r="AV18" s="29"/>
      <c r="AW18" s="29"/>
      <c r="AX18" s="29" t="n">
        <v>-1</v>
      </c>
      <c r="AY18" s="29" t="n">
        <v>-3</v>
      </c>
      <c r="AZ18" s="29" t="n">
        <v>-6</v>
      </c>
      <c r="BA18" s="29" t="n">
        <v>-12</v>
      </c>
      <c r="BB18" s="29"/>
    </row>
    <row r="19" customFormat="false" ht="15" hidden="false" customHeight="false" outlineLevel="0" collapsed="false">
      <c r="A19" s="18" t="n">
        <v>39202</v>
      </c>
      <c r="B19" s="21" t="n">
        <v>11712.58</v>
      </c>
      <c r="C19" s="26" t="n">
        <f aca="false">(B19/B18-1)/(A19-A18)*30</f>
        <v>0.00423892793075653</v>
      </c>
      <c r="D19" s="20"/>
      <c r="E19" s="20"/>
      <c r="F19" s="20"/>
      <c r="O19" s="3" t="n">
        <v>2022</v>
      </c>
      <c r="P19" s="3" t="n">
        <f aca="false">+B201</f>
        <v>0</v>
      </c>
      <c r="Q19" s="20" t="n">
        <f aca="false">+B202</f>
        <v>0</v>
      </c>
      <c r="R19" s="3" t="n">
        <f aca="false">+B203</f>
        <v>0</v>
      </c>
      <c r="S19" s="3" t="n">
        <f aca="false">+B204</f>
        <v>0</v>
      </c>
      <c r="T19" s="3" t="n">
        <f aca="false">+B205</f>
        <v>0</v>
      </c>
      <c r="U19" s="3" t="n">
        <f aca="false">+B206</f>
        <v>0</v>
      </c>
      <c r="V19" s="3" t="n">
        <f aca="false">+B207</f>
        <v>0</v>
      </c>
      <c r="W19" s="3" t="n">
        <f aca="false">+B208</f>
        <v>0</v>
      </c>
      <c r="X19" s="3" t="n">
        <f aca="false">+B209</f>
        <v>0</v>
      </c>
      <c r="Y19" s="3" t="n">
        <f aca="false">+B210</f>
        <v>0</v>
      </c>
      <c r="Z19" s="3" t="n">
        <f aca="false">+B211</f>
        <v>0</v>
      </c>
      <c r="AA19" s="3" t="n">
        <f aca="false">+B212</f>
        <v>0</v>
      </c>
      <c r="AD19" s="22" t="n">
        <v>2023</v>
      </c>
      <c r="AE19" s="23"/>
      <c r="AF19" s="23"/>
      <c r="AG19" s="23"/>
      <c r="AH19" s="23"/>
      <c r="AI19" s="23"/>
      <c r="AJ19" s="23"/>
      <c r="AK19" s="23"/>
      <c r="AL19" s="23"/>
      <c r="AM19" s="23"/>
      <c r="AN19" s="23"/>
      <c r="AO19" s="23"/>
      <c r="AP19" s="23"/>
      <c r="AQ19" s="24"/>
      <c r="AR19" s="27"/>
      <c r="AS19" s="9"/>
      <c r="AV19" s="31" t="s">
        <v>25</v>
      </c>
      <c r="AW19" s="32" t="n">
        <v>46142</v>
      </c>
      <c r="AX19" s="33" t="n">
        <f aca="false">EOMONTH($AW19,AX18)+6</f>
        <v>46118</v>
      </c>
      <c r="AY19" s="33" t="n">
        <f aca="false">EOMONTH($AW19,AY18)</f>
        <v>46053</v>
      </c>
      <c r="AZ19" s="33" t="n">
        <f aca="false">EOMONTH($AW19,AZ18)</f>
        <v>45961</v>
      </c>
      <c r="BA19" s="33" t="n">
        <f aca="false">EOMONTH($AW19,BA18)</f>
        <v>45777</v>
      </c>
      <c r="BB19" s="33" t="n">
        <v>43100</v>
      </c>
    </row>
    <row r="20" customFormat="false" ht="15" hidden="false" customHeight="false" outlineLevel="0" collapsed="false">
      <c r="A20" s="18" t="n">
        <v>39233</v>
      </c>
      <c r="B20" s="21" t="n">
        <v>11763.78</v>
      </c>
      <c r="C20" s="26" t="n">
        <f aca="false">(B20/B19-1)/(A20-A19)*30</f>
        <v>0.00423035634307517</v>
      </c>
      <c r="D20" s="20"/>
      <c r="E20" s="20"/>
      <c r="F20" s="20"/>
      <c r="O20" s="3" t="n">
        <v>2023</v>
      </c>
      <c r="P20" s="3" t="n">
        <f aca="false">+B213</f>
        <v>0</v>
      </c>
      <c r="Q20" s="20" t="n">
        <f aca="false">+B214</f>
        <v>0</v>
      </c>
      <c r="R20" s="3" t="n">
        <f aca="false">+B215</f>
        <v>0</v>
      </c>
      <c r="S20" s="3" t="n">
        <f aca="false">+B216</f>
        <v>0</v>
      </c>
      <c r="T20" s="3" t="n">
        <f aca="false">+B217</f>
        <v>0</v>
      </c>
      <c r="U20" s="3" t="n">
        <f aca="false">+B218</f>
        <v>0</v>
      </c>
      <c r="V20" s="3" t="n">
        <f aca="false">+B219</f>
        <v>0</v>
      </c>
      <c r="W20" s="3" t="n">
        <f aca="false">+B220</f>
        <v>0</v>
      </c>
      <c r="X20" s="3" t="n">
        <f aca="false">+B221</f>
        <v>0</v>
      </c>
      <c r="Y20" s="20" t="n">
        <f aca="false">+B222</f>
        <v>0</v>
      </c>
      <c r="Z20" s="3" t="n">
        <f aca="false">+B223</f>
        <v>0</v>
      </c>
      <c r="AA20" s="3" t="n">
        <f aca="false">+B224</f>
        <v>0</v>
      </c>
      <c r="AD20" s="22" t="n">
        <v>2024</v>
      </c>
      <c r="AE20" s="23"/>
      <c r="AF20" s="23"/>
      <c r="AG20" s="23"/>
      <c r="AH20" s="23"/>
      <c r="AI20" s="23"/>
      <c r="AJ20" s="23"/>
      <c r="AK20" s="23"/>
      <c r="AL20" s="23"/>
      <c r="AM20" s="23"/>
      <c r="AN20" s="23"/>
      <c r="AO20" s="23"/>
      <c r="AP20" s="23"/>
      <c r="AQ20" s="24"/>
      <c r="AR20" s="9"/>
      <c r="AS20" s="9"/>
      <c r="AV20" s="29" t="s">
        <v>3</v>
      </c>
      <c r="AW20" s="34" t="n">
        <f aca="false">LOOKUP(AW19,$A$3:$A$2976,$B$3:$B$2976)</f>
        <v>19635.3400812264</v>
      </c>
      <c r="AX20" s="34" t="n">
        <f aca="false">LOOKUP(AX19,$A$3:$A$2976,$B$3:$B$2976)</f>
        <v>26333.64</v>
      </c>
      <c r="AY20" s="34" t="n">
        <f aca="false">LOOKUP(AY19,$A$3:$A$2976,$B$3:$B$2976)</f>
        <v>26136.9</v>
      </c>
      <c r="AZ20" s="34" t="n">
        <f aca="false">LOOKUP(AZ19,$A$3:$A$2976,$B$3:$B$2976)</f>
        <v>25829.5</v>
      </c>
      <c r="BA20" s="34" t="n">
        <f aca="false">LOOKUP(BA19,$A$3:$A$2976,$B$3:$B$2976)</f>
        <v>25197.48</v>
      </c>
      <c r="BB20" s="34" t="n">
        <f aca="false">LOOKUP(BB19,$A$3:$A$2976,$B$3:$B$2976)</f>
        <v>17872.44</v>
      </c>
    </row>
    <row r="21" customFormat="false" ht="15" hidden="false" customHeight="false" outlineLevel="0" collapsed="false">
      <c r="A21" s="18" t="n">
        <v>39262</v>
      </c>
      <c r="B21" s="21" t="n">
        <v>11812.23</v>
      </c>
      <c r="C21" s="26" t="n">
        <f aca="false">(B21/B20-1)/(A21-A20)*30</f>
        <v>0.00426059392943191</v>
      </c>
      <c r="D21" s="20"/>
      <c r="E21" s="20"/>
      <c r="F21" s="20"/>
      <c r="O21" s="3" t="n">
        <v>2024</v>
      </c>
      <c r="P21" s="3" t="n">
        <f aca="false">+B225</f>
        <v>0</v>
      </c>
      <c r="Q21" s="20" t="n">
        <f aca="false">+B226</f>
        <v>0</v>
      </c>
      <c r="R21" s="3" t="n">
        <f aca="false">+B227</f>
        <v>0</v>
      </c>
      <c r="S21" s="3" t="n">
        <f aca="false">+B228</f>
        <v>0</v>
      </c>
      <c r="T21" s="3" t="n">
        <f aca="false">+B229</f>
        <v>0</v>
      </c>
      <c r="U21" s="20" t="n">
        <f aca="false">+B230</f>
        <v>0</v>
      </c>
      <c r="V21" s="3" t="n">
        <f aca="false">+B231</f>
        <v>0</v>
      </c>
      <c r="W21" s="3" t="n">
        <f aca="false">+B232</f>
        <v>0</v>
      </c>
      <c r="X21" s="3" t="n">
        <f aca="false">+B233</f>
        <v>0</v>
      </c>
      <c r="Y21" s="20" t="n">
        <f aca="false">+B234</f>
        <v>0</v>
      </c>
      <c r="Z21" s="3" t="n">
        <f aca="false">+B235</f>
        <v>0</v>
      </c>
      <c r="AA21" s="3" t="n">
        <f aca="false">+B236</f>
        <v>0</v>
      </c>
      <c r="AD21" s="22" t="n">
        <v>2025</v>
      </c>
      <c r="AE21" s="23"/>
      <c r="AF21" s="23"/>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+(AA22/Q22-1)/COUNTA(AE21:AP21)*12</f>
        <v>0.0504736457030882</v>
      </c>
      <c r="AV21" s="29" t="s">
        <v>26</v>
      </c>
      <c r="AW21" s="34" t="n">
        <f aca="false">LOOKUP(AW19,$F$2:$F$2977,$K$2:$K$2977)</f>
        <v>0</v>
      </c>
      <c r="AX21" s="34" t="n">
        <f aca="false">LOOKUP(AX19,$F$2:$F$2977,$K$2:$K$2977)</f>
        <v>6335.4774</v>
      </c>
      <c r="AY21" s="34" t="n">
        <f aca="false">LOOKUP(AY19,$F$2:$F$2977,$K$2:$K$2977)</f>
        <v>6303.0823</v>
      </c>
      <c r="AZ21" s="34" t="n">
        <f aca="false">LOOKUP(AZ19,$F$2:$F$2977,$K$2:$K$2977)</f>
        <v>6250.6982</v>
      </c>
      <c r="BA21" s="34" t="n">
        <f aca="false">LOOKUP(BA19,$F$2:$F$2977,$K$2:$K$2977)</f>
        <v>6141.4105</v>
      </c>
      <c r="BB21" s="34" t="n">
        <f aca="false">LOOKUP(BB19,$F$2:$F$2977,$K$2:$K$2977)</f>
        <v>0</v>
      </c>
    </row>
    <row r="22" customFormat="false" ht="15" hidden="false" customHeight="false" outlineLevel="0" collapsed="false">
      <c r="A22" s="18" t="n">
        <v>39294</v>
      </c>
      <c r="B22" s="21" t="n">
        <v>11866.53</v>
      </c>
      <c r="C22" s="26" t="n">
        <f aca="false">(B22/B21-1)/(A22-A21)*30</f>
        <v>0.0043096223151768</v>
      </c>
      <c r="D22" s="20"/>
      <c r="E22" s="20"/>
      <c r="F22" s="20"/>
      <c r="O22" s="3" t="n">
        <v>2025</v>
      </c>
      <c r="P22" s="3" t="n">
        <f aca="false">+B237</f>
        <v>0</v>
      </c>
      <c r="Q22" s="20" t="n">
        <f aca="false">+B238</f>
        <v>24984.92</v>
      </c>
      <c r="R22" s="3" t="n">
        <f aca="false">+B239</f>
        <v>25092.7</v>
      </c>
      <c r="S22" s="3" t="n">
        <f aca="false">+B240</f>
        <v>25197.48</v>
      </c>
      <c r="T22" s="3" t="n">
        <f aca="false">+B241</f>
        <v>25302.66</v>
      </c>
      <c r="U22" s="20" t="n">
        <f aca="false">+B242</f>
        <v>25411.83</v>
      </c>
      <c r="V22" s="3" t="n">
        <f aca="false">+B243</f>
        <v>25521.26</v>
      </c>
      <c r="W22" s="3" t="n">
        <f aca="false">+B244</f>
        <v>25619.09</v>
      </c>
      <c r="X22" s="3" t="n">
        <f aca="false">+B245</f>
        <v>25727.46</v>
      </c>
      <c r="Y22" s="20" t="n">
        <f aca="false">+B246</f>
        <v>25829.5</v>
      </c>
      <c r="Z22" s="3" t="n">
        <f aca="false">+B247</f>
        <v>25928.49</v>
      </c>
      <c r="AA22" s="3" t="n">
        <f aca="false">B248</f>
        <v>26035.82</v>
      </c>
      <c r="AD22" s="22" t="n">
        <v>2026</v>
      </c>
      <c r="AE22" s="23" t="n">
        <f aca="false">+P23/AA22-1</f>
        <v>0.00388234363273376</v>
      </c>
      <c r="AF22" s="23" t="n">
        <f aca="false">+Q23/P23-1</f>
        <v>0.00363126461056962</v>
      </c>
      <c r="AG22" s="23" t="n">
        <f aca="false">+R23/Q23-1</f>
        <v>0.0038819280865483</v>
      </c>
      <c r="AH22" s="23" t="n">
        <f aca="false">+S23/R23-1</f>
        <v>-0.254362857499898</v>
      </c>
      <c r="AI22" s="9"/>
      <c r="AJ22" s="9"/>
      <c r="AK22" s="9"/>
      <c r="AL22" s="9"/>
      <c r="AM22" s="9"/>
      <c r="AN22" s="9"/>
      <c r="AO22" s="9"/>
      <c r="AP22" s="9"/>
      <c r="AQ22" s="24" t="n">
        <f aca="false">+(S23/P23-1)/COUNTA(AE22:AP22)*12</f>
        <v>-0.746250693705866</v>
      </c>
      <c r="AV22" s="29" t="s">
        <v>19</v>
      </c>
      <c r="AW22" s="34" t="n">
        <f aca="false">LOOKUP(AW19,$F$2:$F$2975,$H$2:$H$2975)</f>
        <v>1089.9631</v>
      </c>
      <c r="AX22" s="34" t="n">
        <f aca="false">LOOKUP(AX19,$F$2:$F$2975,$H$2:$H$2975)</f>
        <v>1083.409</v>
      </c>
      <c r="AY22" s="34" t="n">
        <f aca="false">LOOKUP(AY19,$F$2:$F$2975,$H$2:$H$2975)</f>
        <v>1070.2717</v>
      </c>
      <c r="AZ22" s="34" t="n">
        <f aca="false">LOOKUP(AZ19,$F$2:$F$2975,$H$2:$H$2975)</f>
        <v>1049.2679</v>
      </c>
      <c r="BA22" s="34" t="n">
        <f aca="false">LOOKUP(BA19,$F$2:$F$2975,$H$2:$H$2975)</f>
        <v>1008.5343</v>
      </c>
      <c r="BB22" s="34" t="n">
        <f aca="false">LOOKUP(BB19,$F$2:$F$2975,$H$2:$H$2975)</f>
        <v>0</v>
      </c>
    </row>
    <row r="23" customFormat="false" ht="15" hidden="false" customHeight="false" outlineLevel="0" collapsed="false">
      <c r="A23" s="18"/>
      <c r="B23" s="21"/>
      <c r="C23" s="26"/>
      <c r="D23" s="20"/>
      <c r="E23" s="20"/>
      <c r="F23" s="20"/>
      <c r="O23" s="3" t="n">
        <v>2026</v>
      </c>
      <c r="P23" s="3" t="n">
        <f aca="false">B249</f>
        <v>26136.9</v>
      </c>
      <c r="Q23" s="20" t="n">
        <f aca="false">B250</f>
        <v>26231.81</v>
      </c>
      <c r="R23" s="20" t="n">
        <f aca="false">B251</f>
        <v>26333.64</v>
      </c>
      <c r="S23" s="3" t="n">
        <f aca="false">+B252</f>
        <v>19635.3400812264</v>
      </c>
      <c r="U23" s="20"/>
      <c r="Y23" s="20"/>
      <c r="AD23" s="27" t="s">
        <v>27</v>
      </c>
      <c r="AE23" s="9"/>
      <c r="AF23" s="9"/>
      <c r="AG23" s="9"/>
      <c r="AH23" s="9"/>
      <c r="AI23" s="9"/>
      <c r="AJ23" s="9"/>
      <c r="AK23" s="9"/>
      <c r="AL23" s="9"/>
      <c r="AM23" s="9"/>
      <c r="AN23" s="9"/>
      <c r="AO23" s="9"/>
      <c r="AP23" s="9"/>
      <c r="AQ23" s="9"/>
      <c r="AV23" s="29"/>
      <c r="AW23" s="34"/>
      <c r="AX23" s="34"/>
      <c r="AY23" s="34"/>
      <c r="AZ23" s="34"/>
      <c r="BA23" s="34"/>
      <c r="BB23" s="34"/>
    </row>
    <row r="24" customFormat="false" ht="15" hidden="false" customHeight="false" outlineLevel="0" collapsed="false">
      <c r="A24" s="18" t="n">
        <v>39325</v>
      </c>
      <c r="B24" s="21" t="n">
        <v>11922.48</v>
      </c>
      <c r="C24" s="26" t="n">
        <f aca="false">(B24/B22-1)/(A24-A22)*30</f>
        <v>0.00456284704040026</v>
      </c>
      <c r="D24" s="20"/>
      <c r="E24" s="20"/>
      <c r="F24" s="20"/>
      <c r="P24" s="10" t="n">
        <v>31</v>
      </c>
      <c r="Q24" s="10" t="n">
        <v>28</v>
      </c>
      <c r="R24" s="10" t="n">
        <v>31</v>
      </c>
      <c r="S24" s="10" t="n">
        <v>30</v>
      </c>
      <c r="T24" s="10" t="n">
        <v>31</v>
      </c>
      <c r="U24" s="10" t="n">
        <v>30</v>
      </c>
      <c r="V24" s="10" t="n">
        <v>31</v>
      </c>
      <c r="W24" s="10" t="n">
        <v>31</v>
      </c>
      <c r="X24" s="10" t="n">
        <v>30</v>
      </c>
      <c r="Y24" s="10" t="n">
        <v>31</v>
      </c>
      <c r="Z24" s="10" t="n">
        <v>30</v>
      </c>
      <c r="AA24" s="10" t="n">
        <v>31</v>
      </c>
      <c r="AV24" s="29"/>
      <c r="AW24" s="29"/>
      <c r="AX24" s="29"/>
      <c r="AY24" s="29"/>
      <c r="AZ24" s="29"/>
      <c r="BA24" s="29"/>
      <c r="BB24" s="29"/>
    </row>
    <row r="25" customFormat="false" ht="15" hidden="false" customHeight="false" outlineLevel="0" collapsed="false">
      <c r="A25" s="18" t="n">
        <v>39353</v>
      </c>
      <c r="B25" s="21" t="n">
        <v>11975.61</v>
      </c>
      <c r="C25" s="26" t="n">
        <f aca="false">(B25/B24-1)/(A25-A24)*30</f>
        <v>0.004774593876442</v>
      </c>
      <c r="D25" s="20"/>
      <c r="E25" s="20"/>
      <c r="F25" s="20"/>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8" t="n">
        <v>39386</v>
      </c>
      <c r="B26" s="21" t="n">
        <v>12038.9</v>
      </c>
      <c r="C26" s="26" t="n">
        <f aca="false">(B26/B25-1)/(A26-A25)*30</f>
        <v>0.00480446203879073</v>
      </c>
      <c r="D26" s="20"/>
      <c r="E26" s="20"/>
      <c r="F26" s="20"/>
      <c r="O26" s="12" t="s">
        <v>19</v>
      </c>
      <c r="P26" s="3" t="s">
        <v>4</v>
      </c>
      <c r="Q26" s="3" t="s">
        <v>5</v>
      </c>
      <c r="R26" s="3" t="s">
        <v>6</v>
      </c>
      <c r="S26" s="3" t="s">
        <v>7</v>
      </c>
      <c r="T26" s="3" t="s">
        <v>8</v>
      </c>
      <c r="U26" s="3" t="s">
        <v>9</v>
      </c>
      <c r="V26" s="3" t="s">
        <v>10</v>
      </c>
      <c r="W26" s="3" t="s">
        <v>11</v>
      </c>
      <c r="X26" s="3" t="s">
        <v>12</v>
      </c>
      <c r="Y26" s="3" t="s">
        <v>13</v>
      </c>
      <c r="Z26" s="3" t="s">
        <v>14</v>
      </c>
      <c r="AA26" s="3" t="s">
        <v>15</v>
      </c>
      <c r="AR26" s="27"/>
      <c r="AS26" s="9"/>
    </row>
    <row r="27" customFormat="false" ht="15.75" hidden="false" customHeight="true" outlineLevel="0" collapsed="false">
      <c r="A27" s="18" t="n">
        <v>39416</v>
      </c>
      <c r="B27" s="21" t="n">
        <v>12096.85</v>
      </c>
      <c r="C27" s="26" t="n">
        <f aca="false">(B27/B26-1)/(A27-A26)*30</f>
        <v>0.00481356270091138</v>
      </c>
      <c r="D27" s="20"/>
      <c r="E27" s="20"/>
      <c r="F27" s="20"/>
      <c r="O27" s="3" t="n">
        <v>2016</v>
      </c>
      <c r="P27" s="21"/>
      <c r="Q27" s="21"/>
      <c r="R27" s="21"/>
      <c r="S27" s="21"/>
      <c r="T27" s="21" t="n">
        <f aca="false">'[1]Cuota Liquidez '!B2</f>
        <v>999.9484</v>
      </c>
      <c r="U27" s="35" t="n">
        <f aca="false">LOOKUP(DATE($O27,U$25,U$24),$A$2:$A$2946,$H$2:$H$2946)</f>
        <v>0</v>
      </c>
      <c r="V27" s="35" t="n">
        <f aca="false">LOOKUP(DATE($O27,V$25,V$24),$A$2:$A$2946,$H$2:$H$2946)</f>
        <v>0</v>
      </c>
      <c r="W27" s="35" t="n">
        <f aca="false">LOOKUP(DATE($O27,W$25,W$24),$A$2:$A$2946,$H$2:$H$2946)</f>
        <v>0</v>
      </c>
      <c r="X27" s="35" t="n">
        <f aca="false">LOOKUP(DATE($O27,X$25,X$24),$A$2:$A$2946,$H$2:$H$2946)</f>
        <v>0</v>
      </c>
      <c r="Y27" s="35" t="n">
        <f aca="false">LOOKUP(DATE($O27,Y$25,Y$24),$A$2:$A$2946,$H$2:$H$2946)</f>
        <v>0</v>
      </c>
      <c r="Z27" s="35" t="n">
        <f aca="false">LOOKUP(DATE($O27,Z$25,Z$24),$A$2:$A$2946,$H$2:$H$2946)</f>
        <v>0</v>
      </c>
      <c r="AA27" s="35" t="n">
        <f aca="false">LOOKUP(DATE($O27,AA$25,AA$24),$A$2:$A$2946,$H$2:$H$2946)</f>
        <v>0</v>
      </c>
      <c r="AD27" s="36" t="s">
        <v>28</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7"/>
      <c r="AS27" s="27"/>
      <c r="AV27" s="9"/>
      <c r="AW27" s="9"/>
      <c r="AX27" s="9"/>
      <c r="AY27" s="9"/>
      <c r="AZ27" s="9"/>
      <c r="BA27" s="9"/>
      <c r="BB27" s="9"/>
      <c r="BC27" s="9"/>
    </row>
    <row r="28" customFormat="false" ht="15" hidden="false" customHeight="false" outlineLevel="0" collapsed="false">
      <c r="A28" s="18" t="n">
        <v>39447</v>
      </c>
      <c r="B28" s="21" t="n">
        <v>12152.6</v>
      </c>
      <c r="C28" s="26" t="n">
        <f aca="false">(B28/B27-1)/(A28-A27)*30</f>
        <v>0.00445997205084178</v>
      </c>
      <c r="D28" s="20"/>
      <c r="E28" s="20"/>
      <c r="F28" s="20"/>
      <c r="O28" s="3" t="n">
        <v>2017</v>
      </c>
      <c r="P28" s="35" t="n">
        <f aca="false">LOOKUP(DATE($O28,P$25,P$24),$A$2:$A$2946,$H$2:$H$2946)</f>
        <v>0</v>
      </c>
      <c r="Q28" s="35" t="n">
        <f aca="false">LOOKUP(DATE($O28,Q$25,Q$24),$A$2:$A$2946,$H$2:$H$2946)</f>
        <v>0</v>
      </c>
      <c r="R28" s="35" t="n">
        <f aca="false">LOOKUP(DATE($O28,R$25,R$24),$A$2:$A$2946,$H$2:$H$2946)</f>
        <v>0</v>
      </c>
      <c r="S28" s="35" t="n">
        <f aca="false">LOOKUP(DATE($O28,S$25,S$24),$A$2:$A$2946,$H$2:$H$2946)</f>
        <v>0</v>
      </c>
      <c r="T28" s="35" t="n">
        <f aca="false">LOOKUP(DATE($O28,T$25,T$24),$A$2:$A$2946,$H$2:$H$2946)</f>
        <v>0</v>
      </c>
      <c r="U28" s="35" t="n">
        <f aca="false">LOOKUP(DATE($O28,U$25,U$24),$A$2:$A$2946,$H$2:$H$2946)</f>
        <v>0</v>
      </c>
      <c r="V28" s="35" t="n">
        <f aca="false">LOOKUP(DATE($O28,V$25,V$24),$A$2:$A$2946,$H$2:$H$2946)</f>
        <v>0</v>
      </c>
      <c r="W28" s="35" t="n">
        <f aca="false">LOOKUP(DATE($O28,W$25,W$24),$A$2:$A$2946,$H$2:$H$2946)</f>
        <v>0</v>
      </c>
      <c r="X28" s="35" t="n">
        <f aca="false">LOOKUP(DATE($O28,X$25,X$24),$A$2:$A$2946,$H$2:$H$2946)</f>
        <v>0</v>
      </c>
      <c r="Y28" s="35" t="n">
        <f aca="false">LOOKUP(DATE($O28,Y$25,Y$24),$A$2:$A$2946,$H$2:$H$2946)</f>
        <v>0</v>
      </c>
      <c r="Z28" s="35" t="n">
        <f aca="false">LOOKUP(DATE($O28,Z$25,Z$24),$A$2:$A$2946,$H$2:$H$2946)</f>
        <v>0</v>
      </c>
      <c r="AA28" s="35" t="n">
        <f aca="false">LOOKUP(DATE($O28,AA$25,AA$24),$A$2:$A$2946,$H$2:$H$2946)</f>
        <v>0</v>
      </c>
      <c r="AD28" s="15" t="n">
        <v>2016</v>
      </c>
      <c r="AE28" s="16"/>
      <c r="AF28" s="16"/>
      <c r="AG28" s="16"/>
      <c r="AH28" s="16"/>
      <c r="AI28" s="16"/>
      <c r="AJ28" s="16"/>
      <c r="AK28" s="16"/>
      <c r="AL28" s="16"/>
      <c r="AM28" s="16"/>
      <c r="AN28" s="16"/>
      <c r="AO28" s="16"/>
      <c r="AP28" s="16"/>
      <c r="AQ28" s="17"/>
      <c r="AR28" s="9"/>
      <c r="AS28" s="9"/>
      <c r="AV28" s="37"/>
      <c r="AW28" s="12" t="s">
        <v>29</v>
      </c>
      <c r="AX28" s="12" t="s">
        <v>30</v>
      </c>
      <c r="AY28" s="12" t="s">
        <v>31</v>
      </c>
      <c r="AZ28" s="12" t="s">
        <v>32</v>
      </c>
      <c r="BA28" s="12" t="s">
        <v>33</v>
      </c>
      <c r="BB28" s="12" t="s">
        <v>34</v>
      </c>
      <c r="BC28" s="38"/>
      <c r="BD28" s="39"/>
    </row>
    <row r="29" customFormat="false" ht="15" hidden="false" customHeight="false" outlineLevel="0" collapsed="false">
      <c r="A29" s="18" t="n">
        <v>39478</v>
      </c>
      <c r="B29" s="21" t="n">
        <v>12223.14</v>
      </c>
      <c r="C29" s="26" t="n">
        <f aca="false">(B29/B28-1)/(A29-A28)*30</f>
        <v>0.0056172766427787</v>
      </c>
      <c r="D29" s="20"/>
      <c r="E29" s="20"/>
      <c r="F29" s="20"/>
      <c r="O29" s="3" t="n">
        <v>2018</v>
      </c>
      <c r="P29" s="35" t="n">
        <f aca="false">LOOKUP(DATE($O29,P$25,P$24),$A$2:$A$2946,$H$2:$H$2946)</f>
        <v>0</v>
      </c>
      <c r="Q29" s="35" t="n">
        <f aca="false">LOOKUP(DATE($O29,Q$25,Q$24),$A$2:$A$2946,$H$2:$H$2946)</f>
        <v>0</v>
      </c>
      <c r="R29" s="35" t="n">
        <f aca="false">LOOKUP(DATE($O29,R$25,R$24),$A$2:$A$2946,$H$2:$H$2946)</f>
        <v>0</v>
      </c>
      <c r="S29" s="35" t="n">
        <f aca="false">LOOKUP(DATE($O29,S$25,S$24),$A$2:$A$2946,$H$2:$H$2946)</f>
        <v>0</v>
      </c>
      <c r="T29" s="35" t="n">
        <f aca="false">LOOKUP(DATE($O29,T$25,T$24),$A$2:$A$2946,$H$2:$H$2946)</f>
        <v>0</v>
      </c>
      <c r="U29" s="35" t="n">
        <f aca="false">LOOKUP(DATE($O29,U$25,U$24),$A$2:$A$2946,$H$2:$H$2946)</f>
        <v>0</v>
      </c>
      <c r="V29" s="35" t="n">
        <f aca="false">LOOKUP(DATE($O29,V$25,V$24),$A$2:$A$2946,$H$2:$H$2946)</f>
        <v>0</v>
      </c>
      <c r="W29" s="35" t="n">
        <f aca="false">LOOKUP(DATE($O29,W$25,W$24),$A$2:$A$2946,$H$2:$H$2946)</f>
        <v>0</v>
      </c>
      <c r="X29" s="35" t="n">
        <f aca="false">LOOKUP(DATE($O29,X$25,X$24),$A$2:$A$2946,$H$2:$H$2946)</f>
        <v>0</v>
      </c>
      <c r="Y29" s="40" t="n">
        <f aca="false">LOOKUP(DATE($O29,Y$25,Y$24),$A$2:$A$2946,$H$2:$H$2946)</f>
        <v>0</v>
      </c>
      <c r="Z29" s="40" t="n">
        <f aca="false">LOOKUP(DATE($O29,Z$25,Z$24),$A$2:$A$2946,$H$2:$H$2946)</f>
        <v>0</v>
      </c>
      <c r="AA29" s="40" t="n">
        <f aca="false">LOOKUP(DATE($O29,AA$25,AA$24),$A$2:$A$2946,$H$2:$H$2946)</f>
        <v>0</v>
      </c>
      <c r="AD29" s="22" t="n">
        <v>2017</v>
      </c>
      <c r="AE29" s="23"/>
      <c r="AF29" s="23"/>
      <c r="AG29" s="23"/>
      <c r="AH29" s="23"/>
      <c r="AI29" s="23"/>
      <c r="AJ29" s="23"/>
      <c r="AK29" s="23"/>
      <c r="AL29" s="23"/>
      <c r="AM29" s="23"/>
      <c r="AN29" s="23"/>
      <c r="AO29" s="23"/>
      <c r="AP29" s="23"/>
      <c r="AQ29" s="24"/>
      <c r="AR29" s="27" t="s">
        <v>24</v>
      </c>
      <c r="AS29" s="9"/>
      <c r="AV29" s="41"/>
      <c r="AW29" s="12" t="s">
        <v>35</v>
      </c>
      <c r="AX29" s="42" t="n">
        <f aca="false">$AW20/AX20-1</f>
        <v>-0.254362857499898</v>
      </c>
      <c r="AY29" s="42" t="n">
        <f aca="false">$AW20/AY20-1</f>
        <v>-0.248750231235289</v>
      </c>
      <c r="AZ29" s="42" t="n">
        <f aca="false">$AW20/AZ20-1</f>
        <v>-0.239809516977627</v>
      </c>
      <c r="BA29" s="42" t="n">
        <f aca="false">$AW20/BA20-1</f>
        <v>-0.220741912237796</v>
      </c>
      <c r="BB29" s="42" t="n">
        <f aca="false">+AQ86</f>
        <v>-0.746250693705866</v>
      </c>
      <c r="BC29" s="43"/>
      <c r="BD29" s="28"/>
    </row>
    <row r="30" customFormat="false" ht="15" hidden="false" customHeight="false" outlineLevel="0" collapsed="false">
      <c r="A30" s="18" t="n">
        <v>39507</v>
      </c>
      <c r="B30" s="21" t="n">
        <v>12284.88</v>
      </c>
      <c r="C30" s="26" t="n">
        <f aca="false">(B30/B29-1)/(A30-A29)*30</f>
        <v>0.00522525026443619</v>
      </c>
      <c r="D30" s="20"/>
      <c r="E30" s="20"/>
      <c r="F30" s="20"/>
      <c r="O30" s="3" t="n">
        <v>2019</v>
      </c>
      <c r="P30" s="35" t="n">
        <f aca="false">LOOKUP(DATE($O30,P$25,P$24),$A$2:$A$2946,$H$2:$H$2946)</f>
        <v>0</v>
      </c>
      <c r="Q30" s="35" t="n">
        <f aca="false">LOOKUP(DATE($O30,Q$25,Q$24),$A$2:$A$2946,$H$2:$H$2946)</f>
        <v>0</v>
      </c>
      <c r="R30" s="35" t="n">
        <f aca="false">LOOKUP(DATE($O30,R$25,R$24),$A$2:$A$2946,$H$2:$H$2946)</f>
        <v>0</v>
      </c>
      <c r="S30" s="35" t="n">
        <f aca="false">LOOKUP(DATE($O30,S$25,S$24),$A$2:$A$2946,$H$2:$H$2946)</f>
        <v>0</v>
      </c>
      <c r="T30" s="35" t="n">
        <f aca="false">LOOKUP(DATE($O30,T$25,T$24),$A$2:$A$2946,$H$2:$H$2946)</f>
        <v>0</v>
      </c>
      <c r="U30" s="35" t="n">
        <f aca="false">LOOKUP(DATE($O30,U$25,U$24),$A$2:$A$2946,$H$2:$H$2946)</f>
        <v>0</v>
      </c>
      <c r="V30" s="35" t="n">
        <f aca="false">LOOKUP(DATE($O30,V$25,V$24),$A$2:$A$2946,$H$2:$H$2946)</f>
        <v>0</v>
      </c>
      <c r="W30" s="35" t="n">
        <f aca="false">LOOKUP(DATE($O30,W$25,W$24),$A$2:$A$2946,$H$2:$H$2946)</f>
        <v>0</v>
      </c>
      <c r="X30" s="35" t="n">
        <f aca="false">LOOKUP(DATE($O30,X$25,X$24),$A$2:$A$2946,$H$2:$H$2946)</f>
        <v>0</v>
      </c>
      <c r="Y30" s="35" t="n">
        <f aca="false">LOOKUP(DATE($O30,Y$25,Y$24),$A$2:$A$2946,$H$2:$H$2946)</f>
        <v>0</v>
      </c>
      <c r="Z30" s="35" t="n">
        <f aca="false">LOOKUP(DATE($O30,Z$25,Z$24),$A$2:$A$2946,$H$2:$H$2946)</f>
        <v>0</v>
      </c>
      <c r="AA30" s="35" t="n">
        <f aca="false">LOOKUP(DATE($O30,AA$25,AA$24),$A$2:$A$2946,$H$2:$H$2946)</f>
        <v>0</v>
      </c>
      <c r="AD30" s="15" t="n">
        <v>2018</v>
      </c>
      <c r="AE30" s="16"/>
      <c r="AF30" s="16"/>
      <c r="AG30" s="16"/>
      <c r="AH30" s="16"/>
      <c r="AI30" s="16"/>
      <c r="AJ30" s="16"/>
      <c r="AK30" s="16"/>
      <c r="AL30" s="16"/>
      <c r="AM30" s="16"/>
      <c r="AN30" s="16"/>
      <c r="AO30" s="16"/>
      <c r="AP30" s="16"/>
      <c r="AQ30" s="17"/>
      <c r="AR30" s="27"/>
      <c r="AS30" s="9"/>
      <c r="AV30" s="41"/>
      <c r="AW30" s="12" t="s">
        <v>26</v>
      </c>
      <c r="AX30" s="42" t="n">
        <f aca="false">$AW21/AX21-1</f>
        <v>-1</v>
      </c>
      <c r="AY30" s="42" t="n">
        <f aca="false">($AW21)/AY21-1</f>
        <v>-1</v>
      </c>
      <c r="AZ30" s="42" t="n">
        <f aca="false">($AW21)/AZ21-1</f>
        <v>-1</v>
      </c>
      <c r="BA30" s="42" t="n">
        <f aca="false">($AW21)/BA21-1</f>
        <v>-1</v>
      </c>
      <c r="BB30" s="42" t="n">
        <f aca="false">+AQ87</f>
        <v>-3</v>
      </c>
      <c r="BC30" s="43"/>
      <c r="BD30" s="28"/>
    </row>
    <row r="31" customFormat="false" ht="15" hidden="false" customHeight="false" outlineLevel="0" collapsed="false">
      <c r="A31" s="18" t="n">
        <v>39538</v>
      </c>
      <c r="B31" s="21" t="n">
        <v>12351.45</v>
      </c>
      <c r="C31" s="26" t="n">
        <f aca="false">(B31/B30-1)/(A31-A30)*30</f>
        <v>0.00524405453249546</v>
      </c>
      <c r="D31" s="20"/>
      <c r="E31" s="20"/>
      <c r="F31" s="20"/>
      <c r="O31" s="3" t="n">
        <v>2020</v>
      </c>
      <c r="P31" s="35" t="n">
        <f aca="false">LOOKUP(DATE($O31,P$25,P$24),$A$2:$A$2946,$H$2:$H$2946)</f>
        <v>0</v>
      </c>
      <c r="Q31" s="35" t="n">
        <f aca="false">LOOKUP(DATE($O31,Q$25,Q$24)+1,$A$2:$A$2946,$H$2:$H$2946)</f>
        <v>0</v>
      </c>
      <c r="R31" s="35" t="n">
        <f aca="false">LOOKUP(DATE($O31,R$25,R$24)+1,$A$2:$A$2946,$H$2:$H$2946)</f>
        <v>0</v>
      </c>
      <c r="S31" s="35" t="n">
        <f aca="false">LOOKUP(DATE($O31,S$25,S$24)+1,$A$2:$A$2946,$H$2:$H$2946)</f>
        <v>0</v>
      </c>
      <c r="T31" s="35" t="n">
        <f aca="false">LOOKUP(DATE($O31,T$25,T$24)+1,$A$2:$A$2946,$H$2:$H$2946)</f>
        <v>0</v>
      </c>
      <c r="U31" s="35" t="n">
        <f aca="false">LOOKUP(DATE($O31,U$25,U$24)+1,$A$2:$A$2946,$H$2:$H$2946)</f>
        <v>0</v>
      </c>
      <c r="V31" s="35" t="n">
        <f aca="false">LOOKUP(DATE($O31,V$25,V$24)+1,$A$2:$A$2946,$H$2:$H$2946)</f>
        <v>0</v>
      </c>
      <c r="W31" s="35" t="n">
        <f aca="false">LOOKUP(DATE($O31,W$25,W$24)+1,$A$2:$A$2946,$H$2:$H$2946)</f>
        <v>0</v>
      </c>
      <c r="X31" s="35" t="n">
        <f aca="false">LOOKUP(DATE($O31,X$25,X$24)+1,$A$2:$A$2946,$H$2:$H$2946)</f>
        <v>0</v>
      </c>
      <c r="Y31" s="35" t="n">
        <f aca="false">+H186</f>
        <v>0</v>
      </c>
      <c r="Z31" s="35" t="n">
        <f aca="false">+H187</f>
        <v>0</v>
      </c>
      <c r="AA31" s="35" t="n">
        <f aca="false">+H188</f>
        <v>0</v>
      </c>
      <c r="AD31" s="22" t="n">
        <v>2019</v>
      </c>
      <c r="AE31" s="23"/>
      <c r="AF31" s="23"/>
      <c r="AG31" s="23"/>
      <c r="AH31" s="23"/>
      <c r="AI31" s="23"/>
      <c r="AJ31" s="23"/>
      <c r="AK31" s="23"/>
      <c r="AL31" s="23"/>
      <c r="AM31" s="23"/>
      <c r="AN31" s="23"/>
      <c r="AO31" s="23"/>
      <c r="AP31" s="23"/>
      <c r="AQ31" s="24"/>
      <c r="AR31" s="9"/>
      <c r="AS31" s="9"/>
      <c r="AV31" s="9"/>
      <c r="AW31" s="12" t="s">
        <v>19</v>
      </c>
      <c r="AX31" s="42" t="n">
        <f aca="false">+AW22/AX22-1</f>
        <v>0.00604951592611824</v>
      </c>
      <c r="AY31" s="42" t="n">
        <f aca="false">+AW22/AY22-1</f>
        <v>0.0183985057252285</v>
      </c>
      <c r="AZ31" s="42" t="n">
        <f aca="false">($AW22)/AZ22-1</f>
        <v>0.0387843752772765</v>
      </c>
      <c r="BA31" s="42" t="n">
        <f aca="false">($AW22)/BA22-1</f>
        <v>0.0807397428129117</v>
      </c>
      <c r="BB31" s="42" t="n">
        <f aca="false">+AQ88</f>
        <v>0.0551955171756855</v>
      </c>
      <c r="BC31" s="9"/>
      <c r="BD31" s="28"/>
    </row>
    <row r="32" customFormat="false" ht="15" hidden="false" customHeight="false" outlineLevel="0" collapsed="false">
      <c r="A32" s="18" t="n">
        <v>39568</v>
      </c>
      <c r="B32" s="21" t="n">
        <v>12416.18</v>
      </c>
      <c r="C32" s="26" t="n">
        <f aca="false">(B32/B31-1)/(A32-A31)*30</f>
        <v>0.00524068024401991</v>
      </c>
      <c r="D32" s="20"/>
      <c r="E32" s="20"/>
      <c r="F32" s="20"/>
      <c r="O32" s="3" t="n">
        <v>2021</v>
      </c>
      <c r="P32" s="21"/>
      <c r="Q32" s="21"/>
      <c r="R32" s="21"/>
      <c r="S32" s="21"/>
      <c r="T32" s="21" t="n">
        <f aca="false">+G193</f>
        <v>0</v>
      </c>
      <c r="U32" s="21" t="n">
        <f aca="false">+G194</f>
        <v>0</v>
      </c>
      <c r="V32" s="21" t="n">
        <f aca="false">+G195</f>
        <v>0</v>
      </c>
      <c r="W32" s="21" t="n">
        <f aca="false">+G196</f>
        <v>0</v>
      </c>
      <c r="X32" s="21" t="n">
        <f aca="false">+G197</f>
        <v>0</v>
      </c>
      <c r="Y32" s="21" t="n">
        <f aca="false">+G198</f>
        <v>0</v>
      </c>
      <c r="Z32" s="21" t="n">
        <f aca="false">+G199</f>
        <v>0</v>
      </c>
      <c r="AA32" s="21" t="n">
        <f aca="false">+G200+S159</f>
        <v>0</v>
      </c>
      <c r="AD32" s="22" t="n">
        <v>2020</v>
      </c>
      <c r="AE32" s="23"/>
      <c r="AF32" s="23"/>
      <c r="AG32" s="23"/>
      <c r="AH32" s="23"/>
      <c r="AI32" s="23"/>
      <c r="AJ32" s="23"/>
      <c r="AK32" s="23"/>
      <c r="AL32" s="23"/>
      <c r="AM32" s="23"/>
      <c r="AN32" s="23"/>
      <c r="AO32" s="23"/>
      <c r="AP32" s="23"/>
      <c r="AQ32" s="24"/>
      <c r="AR32" s="9"/>
      <c r="AS32" s="9"/>
      <c r="AV32" s="9"/>
      <c r="AW32" s="44"/>
      <c r="AX32" s="9"/>
      <c r="AY32" s="9"/>
      <c r="AZ32" s="9"/>
      <c r="BA32" s="9"/>
      <c r="BB32" s="9"/>
      <c r="BC32" s="9"/>
      <c r="BD32" s="28"/>
    </row>
    <row r="33" customFormat="false" ht="15" hidden="false" customHeight="false" outlineLevel="0" collapsed="false">
      <c r="A33" s="18" t="n">
        <v>39598</v>
      </c>
      <c r="B33" s="21" t="n">
        <v>12481.48</v>
      </c>
      <c r="C33" s="26" t="n">
        <f aca="false">(B33/B32-1)/(A33-A32)*30</f>
        <v>0.00525926653769515</v>
      </c>
      <c r="D33" s="20"/>
      <c r="E33" s="20"/>
      <c r="F33" s="20"/>
      <c r="O33" s="3" t="n">
        <v>2022</v>
      </c>
      <c r="P33" s="21"/>
      <c r="Q33" s="21"/>
      <c r="R33" s="21"/>
      <c r="S33" s="21"/>
      <c r="T33" s="21" t="n">
        <f aca="false">+G205+S159</f>
        <v>0</v>
      </c>
      <c r="U33" s="21" t="n">
        <f aca="false">+G206+S159</f>
        <v>0</v>
      </c>
      <c r="V33" s="21" t="n">
        <f aca="false">+G207+S159</f>
        <v>0</v>
      </c>
      <c r="W33" s="21" t="n">
        <f aca="false">+G208+S159</f>
        <v>0</v>
      </c>
      <c r="X33" s="21" t="n">
        <f aca="false">+G209+S159</f>
        <v>0</v>
      </c>
      <c r="Y33" s="21" t="n">
        <f aca="false">+G210+S159</f>
        <v>0</v>
      </c>
      <c r="Z33" s="21" t="n">
        <f aca="false">+G211+S159</f>
        <v>0</v>
      </c>
      <c r="AA33" s="21" t="n">
        <f aca="false">+G212+S159</f>
        <v>0</v>
      </c>
      <c r="AD33" s="22" t="n">
        <v>2021</v>
      </c>
      <c r="AE33" s="23"/>
      <c r="AF33" s="23"/>
      <c r="AG33" s="23"/>
      <c r="AH33" s="23"/>
      <c r="AI33" s="23"/>
      <c r="AJ33" s="23"/>
      <c r="AK33" s="23"/>
      <c r="AL33" s="23"/>
      <c r="AM33" s="23"/>
      <c r="AN33" s="23"/>
      <c r="AO33" s="23"/>
      <c r="AP33" s="23"/>
      <c r="AQ33" s="24"/>
      <c r="AR33" s="9"/>
      <c r="AS33" s="9"/>
      <c r="AY33" s="45"/>
      <c r="BD33" s="28"/>
    </row>
    <row r="34" customFormat="false" ht="15" hidden="false" customHeight="false" outlineLevel="0" collapsed="false">
      <c r="A34" s="18" t="n">
        <v>39629</v>
      </c>
      <c r="B34" s="21" t="n">
        <v>12552.23</v>
      </c>
      <c r="C34" s="26" t="n">
        <f aca="false">(B34/B33-1)/(A34-A33)*30</f>
        <v>0.00548554674088997</v>
      </c>
      <c r="D34" s="20"/>
      <c r="E34" s="20"/>
      <c r="F34" s="20"/>
      <c r="O34" s="3" t="n">
        <v>2023</v>
      </c>
      <c r="P34" s="21"/>
      <c r="Q34" s="21"/>
      <c r="R34" s="21"/>
      <c r="S34" s="21"/>
      <c r="T34" s="21"/>
      <c r="U34" s="21"/>
      <c r="V34" s="21"/>
      <c r="W34" s="21" t="n">
        <f aca="false">+H220</f>
        <v>0</v>
      </c>
      <c r="X34" s="21" t="n">
        <f aca="false">+H221</f>
        <v>0</v>
      </c>
      <c r="Y34" s="21" t="n">
        <f aca="false">+H222</f>
        <v>0</v>
      </c>
      <c r="Z34" s="21" t="n">
        <f aca="false">+H223</f>
        <v>0</v>
      </c>
      <c r="AA34" s="21" t="n">
        <f aca="false">+H224</f>
        <v>0</v>
      </c>
      <c r="AD34" s="22" t="n">
        <v>2022</v>
      </c>
      <c r="AE34" s="23"/>
      <c r="AF34" s="23"/>
      <c r="AG34" s="23"/>
      <c r="AH34" s="23"/>
      <c r="AI34" s="23"/>
      <c r="AJ34" s="23"/>
      <c r="AK34" s="23"/>
      <c r="AL34" s="23"/>
      <c r="AM34" s="23"/>
      <c r="AN34" s="23"/>
      <c r="AO34" s="23"/>
      <c r="AP34" s="23"/>
      <c r="AQ34" s="24"/>
      <c r="AR34" s="27"/>
      <c r="AS34" s="9"/>
    </row>
    <row r="35" customFormat="false" ht="15" hidden="false" customHeight="false" outlineLevel="0" collapsed="false">
      <c r="A35" s="18" t="n">
        <v>39660</v>
      </c>
      <c r="B35" s="21" t="n">
        <v>12628.9</v>
      </c>
      <c r="C35" s="26" t="n">
        <f aca="false">(B35/B34-1)/(A35-A34)*30</f>
        <v>0.00591104323244138</v>
      </c>
      <c r="D35" s="20"/>
      <c r="E35" s="20"/>
      <c r="F35" s="20"/>
      <c r="O35" s="3" t="n">
        <v>2024</v>
      </c>
      <c r="P35" s="21" t="n">
        <f aca="false">+H225</f>
        <v>0</v>
      </c>
      <c r="Q35" s="21" t="n">
        <f aca="false">+H226</f>
        <v>0</v>
      </c>
      <c r="R35" s="21" t="n">
        <f aca="false">+H227</f>
        <v>0</v>
      </c>
      <c r="S35" s="21" t="n">
        <f aca="false">+H228</f>
        <v>0</v>
      </c>
      <c r="T35" s="21" t="n">
        <f aca="false">+H229</f>
        <v>0</v>
      </c>
      <c r="U35" s="21" t="n">
        <f aca="false">+H230</f>
        <v>0</v>
      </c>
      <c r="V35" s="21" t="n">
        <f aca="false">+H231</f>
        <v>0</v>
      </c>
      <c r="W35" s="21" t="n">
        <f aca="false">+H232</f>
        <v>0</v>
      </c>
      <c r="X35" s="21" t="n">
        <f aca="false">+H233</f>
        <v>0</v>
      </c>
      <c r="Y35" s="21" t="n">
        <f aca="false">+H234</f>
        <v>0</v>
      </c>
      <c r="Z35" s="21" t="n">
        <f aca="false">+H235</f>
        <v>0</v>
      </c>
      <c r="AA35" s="21" t="n">
        <f aca="false">+H236</f>
        <v>0</v>
      </c>
      <c r="AD35" s="22" t="n">
        <v>2023</v>
      </c>
      <c r="AE35" s="23"/>
      <c r="AF35" s="23"/>
      <c r="AG35" s="23"/>
      <c r="AH35" s="23"/>
      <c r="AI35" s="23"/>
      <c r="AJ35" s="23"/>
      <c r="AK35" s="23"/>
      <c r="AL35" s="23"/>
      <c r="AM35" s="23"/>
      <c r="AN35" s="23"/>
      <c r="AO35" s="23"/>
      <c r="AP35" s="23"/>
      <c r="AQ35" s="24"/>
      <c r="AR35" s="27"/>
      <c r="AS35" s="9"/>
    </row>
    <row r="36" customFormat="false" ht="15" hidden="false" customHeight="false" outlineLevel="0" collapsed="false">
      <c r="A36" s="18" t="n">
        <v>39689</v>
      </c>
      <c r="B36" s="21" t="n">
        <v>12704.63</v>
      </c>
      <c r="C36" s="26" t="n">
        <f aca="false">(B36/B35-1)/(A36-A35)*30</f>
        <v>0.00620334148740949</v>
      </c>
      <c r="D36" s="20"/>
      <c r="E36" s="20"/>
      <c r="F36" s="20"/>
      <c r="O36" s="3" t="n">
        <v>2025</v>
      </c>
      <c r="P36" s="21" t="n">
        <f aca="false">+H237</f>
        <v>0</v>
      </c>
      <c r="Q36" s="21" t="n">
        <v>999.9918</v>
      </c>
      <c r="R36" s="21" t="n">
        <f aca="false">+H239</f>
        <v>1002.265</v>
      </c>
      <c r="S36" s="21" t="n">
        <f aca="false">+H240</f>
        <v>1008.5343</v>
      </c>
      <c r="T36" s="21" t="n">
        <f aca="false">+H241</f>
        <v>1015.7308</v>
      </c>
      <c r="U36" s="21" t="n">
        <f aca="false">+H242</f>
        <v>1022.1879</v>
      </c>
      <c r="V36" s="21" t="n">
        <f aca="false">+H243</f>
        <v>1029.0543</v>
      </c>
      <c r="W36" s="21" t="n">
        <f aca="false">+H244</f>
        <v>1035.851</v>
      </c>
      <c r="X36" s="21" t="n">
        <f aca="false">+H245</f>
        <v>1042.2956</v>
      </c>
      <c r="Y36" s="21" t="n">
        <f aca="false">+H246</f>
        <v>1049.2679</v>
      </c>
      <c r="Z36" s="21" t="n">
        <f aca="false">+H247</f>
        <v>1056.0312</v>
      </c>
      <c r="AA36" s="21" t="n">
        <f aca="false">H248</f>
        <v>1063.3792</v>
      </c>
      <c r="AD36" s="22" t="n">
        <v>2024</v>
      </c>
      <c r="AE36" s="23"/>
      <c r="AF36" s="23"/>
      <c r="AG36" s="23"/>
      <c r="AH36" s="23"/>
      <c r="AI36" s="23"/>
      <c r="AJ36" s="23"/>
      <c r="AK36" s="23"/>
      <c r="AL36" s="23"/>
      <c r="AM36" s="23"/>
      <c r="AN36" s="23"/>
      <c r="AO36" s="23"/>
      <c r="AP36" s="23"/>
      <c r="AQ36" s="24"/>
      <c r="AR36" s="9"/>
      <c r="AS36" s="9"/>
    </row>
    <row r="37" customFormat="false" ht="15" hidden="false" customHeight="false" outlineLevel="0" collapsed="false">
      <c r="A37" s="18"/>
      <c r="B37" s="21"/>
      <c r="C37" s="26"/>
      <c r="D37" s="20"/>
      <c r="E37" s="20"/>
      <c r="F37" s="20"/>
      <c r="O37" s="3" t="n">
        <v>2026</v>
      </c>
      <c r="P37" s="21" t="n">
        <f aca="false">H249</f>
        <v>1070.2717</v>
      </c>
      <c r="Q37" s="21" t="n">
        <f aca="false">H250</f>
        <v>1076.6849</v>
      </c>
      <c r="R37" s="21" t="n">
        <f aca="false">H251</f>
        <v>1083.409</v>
      </c>
      <c r="S37" s="21" t="n">
        <f aca="false">+H252</f>
        <v>1089.9631</v>
      </c>
      <c r="T37" s="21"/>
      <c r="U37" s="21"/>
      <c r="V37" s="21"/>
      <c r="W37" s="21"/>
      <c r="X37" s="21"/>
      <c r="Y37" s="21"/>
      <c r="Z37" s="21"/>
      <c r="AA37" s="21"/>
      <c r="AD37" s="22" t="n">
        <v>2025</v>
      </c>
      <c r="AE37" s="23"/>
      <c r="AF37" s="23"/>
      <c r="AG37" s="23" t="n">
        <f aca="false">+(R36/Q36-1)/4.5</f>
        <v>0.000505159697865083</v>
      </c>
      <c r="AH37" s="23" t="n">
        <f aca="false">+(S36/R36-1)</f>
        <v>0.00625513212573536</v>
      </c>
      <c r="AI37" s="23" t="n">
        <f aca="false">+(T36/S36-1)</f>
        <v>0.00713560262650459</v>
      </c>
      <c r="AJ37" s="23" t="n">
        <f aca="false">+(U36/T36-1)</f>
        <v>0.00635709776645532</v>
      </c>
      <c r="AK37" s="23" t="n">
        <f aca="false">+(V36/U36-1)</f>
        <v>0.00671735597731105</v>
      </c>
      <c r="AL37" s="23" t="n">
        <f aca="false">+(W36/V36-1)</f>
        <v>0.00660480209839287</v>
      </c>
      <c r="AM37" s="23" t="n">
        <f aca="false">+(X36/W36-1)</f>
        <v>0.00622155116903866</v>
      </c>
      <c r="AN37" s="23" t="n">
        <f aca="false">+(Y36/X36-1)</f>
        <v>0.00668936911947071</v>
      </c>
      <c r="AO37" s="23" t="n">
        <f aca="false">+(Z36/Y36-1)</f>
        <v>0.00644573230535284</v>
      </c>
      <c r="AP37" s="23" t="n">
        <f aca="false">+(AA36/Z36-1)/4.5</f>
        <v>0.00154625061161918</v>
      </c>
      <c r="AQ37" s="24" t="n">
        <f aca="false">+(AA36/Q36-1)/COUNTA(AE37:AP37)*12</f>
        <v>0.0760655037371309</v>
      </c>
      <c r="AR37" s="9"/>
      <c r="AS37" s="9"/>
    </row>
    <row r="38" customFormat="false" ht="15" hidden="false" customHeight="false" outlineLevel="0" collapsed="false">
      <c r="A38" s="18" t="n">
        <v>39721</v>
      </c>
      <c r="B38" s="21" t="n">
        <v>12796.95</v>
      </c>
      <c r="C38" s="26" t="n">
        <f aca="false">(B38/B36-1)/(A38-A36)*30</f>
        <v>0.0068124770260921</v>
      </c>
      <c r="D38" s="20"/>
      <c r="E38" s="20"/>
      <c r="F38" s="20"/>
      <c r="P38" s="10" t="n">
        <v>31</v>
      </c>
      <c r="Q38" s="10" t="n">
        <v>28</v>
      </c>
      <c r="R38" s="10" t="n">
        <v>31</v>
      </c>
      <c r="S38" s="10" t="n">
        <v>30</v>
      </c>
      <c r="T38" s="10" t="n">
        <v>31</v>
      </c>
      <c r="U38" s="10" t="n">
        <v>30</v>
      </c>
      <c r="V38" s="10" t="n">
        <v>31</v>
      </c>
      <c r="W38" s="10" t="n">
        <v>31</v>
      </c>
      <c r="X38" s="10" t="n">
        <v>30</v>
      </c>
      <c r="Y38" s="10" t="n">
        <v>31</v>
      </c>
      <c r="Z38" s="10" t="n">
        <v>30</v>
      </c>
      <c r="AA38" s="10" t="n">
        <v>31</v>
      </c>
      <c r="AD38" s="22" t="n">
        <v>2026</v>
      </c>
      <c r="AE38" s="23" t="n">
        <f aca="false">+(P37/AA36-1)/4.5</f>
        <v>0.00144037674111609</v>
      </c>
      <c r="AF38" s="23" t="n">
        <f aca="false">+(Q37/P37-1)/4.5</f>
        <v>0.00133158295744486</v>
      </c>
      <c r="AG38" s="23" t="n">
        <f aca="false">+(R37/Q37-1)/4.5</f>
        <v>0.0013878196345509</v>
      </c>
      <c r="AH38" s="23" t="n">
        <f aca="false">+(S37/R37-1)</f>
        <v>0.00604951592611824</v>
      </c>
      <c r="AI38" s="23"/>
      <c r="AJ38" s="23"/>
      <c r="AK38" s="23"/>
      <c r="AL38" s="23"/>
      <c r="AM38" s="23"/>
      <c r="AN38" s="23"/>
      <c r="AO38" s="23"/>
      <c r="AP38" s="23"/>
      <c r="AQ38" s="24" t="n">
        <f aca="false">+(S37/P37-1)/COUNTA(AE38:AP38)*12</f>
        <v>0.0551955171756855</v>
      </c>
      <c r="AR38" s="27" t="s">
        <v>24</v>
      </c>
      <c r="AS38" s="9"/>
    </row>
    <row r="39" customFormat="false" ht="15" hidden="false" customHeight="false" outlineLevel="0" collapsed="false">
      <c r="A39" s="18" t="n">
        <v>39752</v>
      </c>
      <c r="B39" s="21" t="n">
        <v>12885.37</v>
      </c>
      <c r="C39" s="26" t="n">
        <f aca="false">(B39/B38-1)/(A39-A38)*30</f>
        <v>0.00668657312371183</v>
      </c>
      <c r="D39" s="20"/>
      <c r="E39" s="20"/>
      <c r="F39" s="20"/>
      <c r="P39" s="10" t="n">
        <v>1</v>
      </c>
      <c r="Q39" s="10" t="n">
        <v>2</v>
      </c>
      <c r="R39" s="10" t="n">
        <v>3</v>
      </c>
      <c r="S39" s="10" t="n">
        <v>4</v>
      </c>
      <c r="T39" s="10" t="n">
        <v>5</v>
      </c>
      <c r="U39" s="10" t="n">
        <v>6</v>
      </c>
      <c r="V39" s="10" t="n">
        <v>7</v>
      </c>
      <c r="W39" s="10" t="n">
        <v>8</v>
      </c>
      <c r="X39" s="10" t="n">
        <v>9</v>
      </c>
      <c r="Y39" s="10" t="n">
        <v>10</v>
      </c>
      <c r="Z39" s="10" t="n">
        <v>11</v>
      </c>
      <c r="AA39" s="10" t="n">
        <v>12</v>
      </c>
      <c r="AD39" s="27" t="s">
        <v>27</v>
      </c>
      <c r="AE39" s="23"/>
      <c r="AF39" s="23"/>
      <c r="AG39" s="23"/>
      <c r="AH39" s="23"/>
      <c r="AI39" s="23"/>
      <c r="AJ39" s="23"/>
      <c r="AK39" s="23"/>
      <c r="AL39" s="23"/>
      <c r="AM39" s="23"/>
      <c r="AN39" s="23"/>
      <c r="AO39" s="23"/>
      <c r="AP39" s="23"/>
      <c r="AQ39" s="24"/>
      <c r="AR39" s="9"/>
      <c r="AS39" s="9"/>
    </row>
    <row r="40" customFormat="false" ht="15.75" hidden="false" customHeight="true" outlineLevel="0" collapsed="false">
      <c r="A40" s="18" t="n">
        <v>39780</v>
      </c>
      <c r="B40" s="21" t="n">
        <v>12970.93</v>
      </c>
      <c r="C40" s="26" t="n">
        <f aca="false">(B40/B39-1)/(A40-A39)*30</f>
        <v>0.0071143807722579</v>
      </c>
      <c r="D40" s="20"/>
      <c r="E40" s="20"/>
      <c r="F40" s="20"/>
      <c r="O40" s="46"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c r="E41" s="20"/>
      <c r="F41" s="20"/>
      <c r="O41" s="3" t="n">
        <v>2016</v>
      </c>
      <c r="P41" s="21" t="n">
        <f aca="false">+K129</f>
        <v>999.91</v>
      </c>
      <c r="Q41" s="21" t="n">
        <f aca="false">+K130</f>
        <v>1003.0557</v>
      </c>
      <c r="R41" s="21" t="n">
        <f aca="false">+K131</f>
        <v>1006.748</v>
      </c>
      <c r="S41" s="21" t="n">
        <f aca="false">+K132</f>
        <v>1010.1901</v>
      </c>
      <c r="T41" s="21" t="n">
        <f aca="false">+K133</f>
        <v>1013.6123</v>
      </c>
      <c r="U41" s="35" t="n">
        <f aca="false">+K134</f>
        <v>1016.7787</v>
      </c>
      <c r="V41" s="35" t="n">
        <f aca="false">+K135</f>
        <v>1020.0427</v>
      </c>
      <c r="W41" s="35" t="n">
        <f aca="false">+K136</f>
        <v>1023.2554</v>
      </c>
      <c r="X41" s="35" t="n">
        <f aca="false">+K137</f>
        <v>1026.3402</v>
      </c>
      <c r="Y41" s="35" t="n">
        <f aca="false">+K138</f>
        <v>1029.5221</v>
      </c>
      <c r="Z41" s="35" t="n">
        <f aca="false">+K139</f>
        <v>1032.6171</v>
      </c>
      <c r="AA41" s="35" t="n">
        <f aca="false">+K140</f>
        <v>1035.8294</v>
      </c>
      <c r="AD41" s="15" t="n">
        <v>2016</v>
      </c>
      <c r="AE41" s="16"/>
      <c r="AF41" s="16" t="n">
        <f aca="false">+Q41/P41-1</f>
        <v>0.00314598313848258</v>
      </c>
      <c r="AG41" s="16" t="n">
        <f aca="false">+R41/Q41-1</f>
        <v>0.00368105180998435</v>
      </c>
      <c r="AH41" s="16" t="n">
        <f aca="false">+S41/R41-1</f>
        <v>0.00341902839638131</v>
      </c>
      <c r="AI41" s="16" t="n">
        <f aca="false">+T41/S41-1</f>
        <v>0.00338767921008132</v>
      </c>
      <c r="AJ41" s="16" t="n">
        <f aca="false">+U41/T41-1</f>
        <v>0.00312387685113924</v>
      </c>
      <c r="AK41" s="16" t="n">
        <f aca="false">+V41/U41-1</f>
        <v>0.00321013805658987</v>
      </c>
      <c r="AL41" s="16" t="n">
        <f aca="false">+W41/V41-1</f>
        <v>0.00314957403253802</v>
      </c>
      <c r="AM41" s="16" t="n">
        <f aca="false">+X41/W41-1</f>
        <v>0.00301469212867089</v>
      </c>
      <c r="AN41" s="16" t="n">
        <f aca="false">+Y41/X41-1</f>
        <v>0.00310023908251855</v>
      </c>
      <c r="AO41" s="16" t="n">
        <f aca="false">+Z41/Y41-1</f>
        <v>0.00300624921019188</v>
      </c>
      <c r="AP41" s="16" t="n">
        <f aca="false">+AA41/Z41-1</f>
        <v>0.00311083362845732</v>
      </c>
      <c r="AQ41" s="17" t="n">
        <f aca="false">+AA41/P41-1</f>
        <v>0.0359226330369735</v>
      </c>
      <c r="AR41" s="9"/>
      <c r="AS41" s="9"/>
      <c r="BE41" s="28"/>
      <c r="BF41" s="28"/>
      <c r="BG41" s="28"/>
      <c r="BH41" s="28"/>
      <c r="BI41" s="28"/>
      <c r="BJ41" s="47"/>
    </row>
    <row r="42" customFormat="false" ht="15" hidden="false" customHeight="true" outlineLevel="0" collapsed="false">
      <c r="A42" s="18" t="n">
        <v>39843</v>
      </c>
      <c r="B42" s="21" t="n">
        <v>13151.16</v>
      </c>
      <c r="C42" s="26" t="n">
        <f aca="false">(B42/B41-1)/(A42-A41)*30</f>
        <v>0.0064922591117782</v>
      </c>
      <c r="D42" s="20"/>
      <c r="E42" s="20"/>
      <c r="F42" s="20"/>
      <c r="O42" s="3" t="n">
        <v>2017</v>
      </c>
      <c r="P42" s="35" t="n">
        <f aca="false">+K141</f>
        <v>1039.2621</v>
      </c>
      <c r="Q42" s="35" t="n">
        <f aca="false">+K142</f>
        <v>1042.1611</v>
      </c>
      <c r="R42" s="35" t="n">
        <f aca="false">+K143</f>
        <v>1045.2075</v>
      </c>
      <c r="S42" s="35" t="n">
        <f aca="false">+K144</f>
        <v>1047.9294</v>
      </c>
      <c r="T42" s="35" t="n">
        <f aca="false">+K145</f>
        <v>1050.5427</v>
      </c>
      <c r="U42" s="4" t="n">
        <f aca="false">+$K146</f>
        <v>1052.9694</v>
      </c>
      <c r="V42" s="4" t="n">
        <f aca="false">+$K147</f>
        <v>1055.2846</v>
      </c>
      <c r="W42" s="4" t="n">
        <f aca="false">+$K148</f>
        <v>1057.4719</v>
      </c>
      <c r="X42" s="4" t="n">
        <f aca="false">+$K149</f>
        <v>1059.5996</v>
      </c>
      <c r="Y42" s="4" t="n">
        <f aca="false">+$K150</f>
        <v>1061.7911</v>
      </c>
      <c r="Z42" s="4" t="n">
        <f aca="false">+$K151</f>
        <v>0</v>
      </c>
      <c r="AA42" s="4" t="n">
        <f aca="false">+K152</f>
        <v>0</v>
      </c>
      <c r="AD42" s="22" t="n">
        <v>2017</v>
      </c>
      <c r="AE42" s="23" t="n">
        <f aca="false">+P42/AA41-1</f>
        <v>0.00331396270466922</v>
      </c>
      <c r="AF42" s="23" t="n">
        <f aca="false">+Q42/P42-1</f>
        <v>0.00278947918912853</v>
      </c>
      <c r="AG42" s="23" t="n">
        <f aca="false">+R42/Q42-1</f>
        <v>0.00292315650622532</v>
      </c>
      <c r="AH42" s="23" t="n">
        <f aca="false">+S42/R42-1</f>
        <v>0.0026041718988814</v>
      </c>
      <c r="AI42" s="23" t="n">
        <f aca="false">+T42/S42-1</f>
        <v>0.00249377486689473</v>
      </c>
      <c r="AJ42" s="23" t="n">
        <f aca="false">+U42/T42-1</f>
        <v>0.00230994894353165</v>
      </c>
      <c r="AK42" s="23" t="n">
        <f aca="false">+V42/U42-1</f>
        <v>0.0021987343601817</v>
      </c>
      <c r="AL42" s="23" t="n">
        <f aca="false">+W42/V42-1</f>
        <v>0.00207271100137341</v>
      </c>
      <c r="AM42" s="23" t="n">
        <f aca="false">+X42/W42-1</f>
        <v>0.00201206292101008</v>
      </c>
      <c r="AN42" s="23" t="n">
        <f aca="false">+Y42/X42-1</f>
        <v>0.00206823407634338</v>
      </c>
      <c r="AO42" s="23" t="n">
        <f aca="false">+Z42/Y42-1</f>
        <v>-1</v>
      </c>
      <c r="AP42" s="23" t="e">
        <f aca="false">+AA42/Z42-1</f>
        <v>#DIV/0!</v>
      </c>
      <c r="AQ42" s="24" t="e">
        <f aca="false">+AA35/Y35-1</f>
        <v>#DIV/0!</v>
      </c>
      <c r="AR42" s="9"/>
      <c r="AS42" s="9"/>
      <c r="BE42" s="28"/>
      <c r="BF42" s="28"/>
      <c r="BG42" s="28"/>
      <c r="BH42" s="28"/>
      <c r="BI42" s="28"/>
      <c r="BJ42" s="47"/>
    </row>
    <row r="43" customFormat="false" ht="15" hidden="false" customHeight="true" outlineLevel="0" collapsed="false">
      <c r="A43" s="18" t="n">
        <v>39871</v>
      </c>
      <c r="B43" s="21" t="n">
        <v>13212.09</v>
      </c>
      <c r="C43" s="26" t="n">
        <f aca="false">(B43/B42-1)/(A43-A42)*30</f>
        <v>0.00496398362252023</v>
      </c>
      <c r="D43" s="20"/>
      <c r="E43" s="20"/>
      <c r="F43" s="20"/>
      <c r="O43" s="3" t="n">
        <v>2018</v>
      </c>
      <c r="P43" s="35" t="n">
        <f aca="false">+K153</f>
        <v>0</v>
      </c>
      <c r="Q43" s="35" t="n">
        <f aca="false">+K154</f>
        <v>0</v>
      </c>
      <c r="R43" s="35" t="n">
        <f aca="false">+K155</f>
        <v>0</v>
      </c>
      <c r="S43" s="35" t="n">
        <f aca="false">+K156</f>
        <v>0</v>
      </c>
      <c r="T43" s="21" t="n">
        <f aca="false">+K157</f>
        <v>0</v>
      </c>
      <c r="U43" s="21" t="n">
        <f aca="false">+K158</f>
        <v>0</v>
      </c>
      <c r="V43" s="21" t="n">
        <f aca="false">+K159</f>
        <v>0</v>
      </c>
      <c r="W43" s="21" t="n">
        <f aca="false">+K160</f>
        <v>0</v>
      </c>
      <c r="X43" s="21" t="n">
        <f aca="false">+K161</f>
        <v>0</v>
      </c>
      <c r="Y43" s="21" t="n">
        <f aca="false">+K162</f>
        <v>0</v>
      </c>
      <c r="Z43" s="21" t="n">
        <f aca="false">+K163</f>
        <v>0</v>
      </c>
      <c r="AA43" s="21" t="n">
        <f aca="false">+K164</f>
        <v>0</v>
      </c>
      <c r="AD43" s="15" t="n">
        <v>2018</v>
      </c>
      <c r="AE43" s="16"/>
      <c r="AF43" s="16"/>
      <c r="AG43" s="16"/>
      <c r="AH43" s="16"/>
      <c r="AI43" s="16"/>
      <c r="AJ43" s="16"/>
      <c r="AK43" s="28"/>
      <c r="AL43" s="28"/>
      <c r="AM43" s="28"/>
      <c r="AN43" s="16"/>
      <c r="AO43" s="16"/>
      <c r="AP43" s="16"/>
      <c r="AQ43" s="17"/>
      <c r="AR43" s="9"/>
      <c r="AS43" s="9"/>
      <c r="BE43" s="28"/>
      <c r="BF43" s="28"/>
      <c r="BG43" s="28"/>
      <c r="BH43" s="28"/>
      <c r="BI43" s="28"/>
      <c r="BJ43" s="47"/>
    </row>
    <row r="44" customFormat="false" ht="15" hidden="false" customHeight="false" outlineLevel="0" collapsed="false">
      <c r="A44" s="18" t="n">
        <v>39903</v>
      </c>
      <c r="B44" s="21" t="n">
        <v>13251.18</v>
      </c>
      <c r="C44" s="26" t="n">
        <f aca="false">(B44/B43-1)/(A44-A43)*30</f>
        <v>0.00277373791731671</v>
      </c>
      <c r="D44" s="20"/>
      <c r="E44" s="20"/>
      <c r="F44" s="20"/>
      <c r="O44" s="3" t="n">
        <v>2019</v>
      </c>
      <c r="P44" s="3" t="n">
        <f aca="false">+K165</f>
        <v>0</v>
      </c>
      <c r="Q44" s="3" t="n">
        <f aca="false">+K166</f>
        <v>0</v>
      </c>
      <c r="R44" s="19" t="n">
        <f aca="false">+K167</f>
        <v>0</v>
      </c>
      <c r="S44" s="19" t="n">
        <f aca="false">+K168</f>
        <v>0</v>
      </c>
      <c r="T44" s="19" t="n">
        <f aca="false">+K169</f>
        <v>0</v>
      </c>
      <c r="U44" s="3" t="n">
        <f aca="false">+K170</f>
        <v>0</v>
      </c>
      <c r="V44" s="3" t="n">
        <f aca="false">+K171</f>
        <v>0</v>
      </c>
      <c r="W44" s="3" t="n">
        <f aca="false">+K172</f>
        <v>0</v>
      </c>
      <c r="X44" s="48" t="n">
        <f aca="false">+K173</f>
        <v>0</v>
      </c>
      <c r="Y44" s="48" t="n">
        <f aca="false">+K174</f>
        <v>0</v>
      </c>
      <c r="Z44" s="3" t="n">
        <f aca="false">+K175</f>
        <v>0</v>
      </c>
      <c r="AA44" s="3" t="n">
        <f aca="false">+K176</f>
        <v>0</v>
      </c>
      <c r="AD44" s="22" t="n">
        <v>2019</v>
      </c>
      <c r="AE44" s="23"/>
      <c r="AF44" s="23"/>
      <c r="AG44" s="23"/>
      <c r="AH44" s="23"/>
      <c r="AI44" s="23"/>
      <c r="AJ44" s="23"/>
      <c r="AK44" s="23"/>
      <c r="AL44" s="23"/>
      <c r="AM44" s="23"/>
      <c r="AN44" s="23"/>
      <c r="AO44" s="23"/>
      <c r="AP44" s="23"/>
      <c r="AQ44" s="24"/>
      <c r="AR44" s="9"/>
      <c r="AS44" s="9"/>
      <c r="BE44" s="28"/>
      <c r="BF44" s="28"/>
      <c r="BG44" s="28"/>
      <c r="BH44" s="28"/>
      <c r="BI44" s="28"/>
      <c r="BJ44" s="47"/>
    </row>
    <row r="45" customFormat="false" ht="15" hidden="false" customHeight="false" outlineLevel="0" collapsed="false">
      <c r="A45" s="18" t="n">
        <v>39933</v>
      </c>
      <c r="B45" s="21" t="n">
        <v>13272.62</v>
      </c>
      <c r="C45" s="26" t="n">
        <f aca="false">(B45/B44-1)/(A45-A44)*30</f>
        <v>0.00161796911671264</v>
      </c>
      <c r="D45" s="20"/>
      <c r="E45" s="20"/>
      <c r="F45" s="20"/>
      <c r="O45" s="3" t="n">
        <v>2020</v>
      </c>
      <c r="P45" s="3" t="n">
        <f aca="false">+K177</f>
        <v>0</v>
      </c>
      <c r="Q45" s="3" t="n">
        <f aca="false">+K178</f>
        <v>0</v>
      </c>
      <c r="R45" s="3" t="n">
        <f aca="false">+K179</f>
        <v>0</v>
      </c>
      <c r="S45" s="3" t="n">
        <f aca="false">+K180</f>
        <v>0</v>
      </c>
      <c r="T45" s="3" t="n">
        <f aca="false">+K181</f>
        <v>0</v>
      </c>
      <c r="U45" s="3" t="n">
        <f aca="false">+K182</f>
        <v>0</v>
      </c>
      <c r="V45" s="3" t="n">
        <f aca="false">+K183</f>
        <v>0</v>
      </c>
      <c r="W45" s="3" t="n">
        <f aca="false">+K184</f>
        <v>0</v>
      </c>
      <c r="X45" s="3" t="n">
        <f aca="false">+K185</f>
        <v>0</v>
      </c>
      <c r="Y45" s="3" t="n">
        <f aca="false">+K186</f>
        <v>0</v>
      </c>
      <c r="Z45" s="3" t="n">
        <f aca="false">+K187</f>
        <v>0</v>
      </c>
      <c r="AA45" s="3" t="n">
        <f aca="false">+K188</f>
        <v>0</v>
      </c>
      <c r="AD45" s="22" t="n">
        <v>2020</v>
      </c>
      <c r="AE45" s="23"/>
      <c r="AF45" s="23"/>
      <c r="AG45" s="23"/>
      <c r="AH45" s="23"/>
      <c r="AI45" s="23"/>
      <c r="AJ45" s="23"/>
      <c r="AK45" s="23"/>
      <c r="AL45" s="23"/>
      <c r="AM45" s="23"/>
      <c r="AN45" s="23"/>
      <c r="AO45" s="23"/>
      <c r="AP45" s="23"/>
      <c r="AQ45" s="24"/>
      <c r="AR45" s="9"/>
      <c r="AS45" s="9"/>
      <c r="BE45" s="28"/>
      <c r="BF45" s="28"/>
      <c r="BG45" s="28"/>
      <c r="BH45" s="28"/>
      <c r="BI45" s="28"/>
      <c r="BJ45" s="47"/>
    </row>
    <row r="46" customFormat="false" ht="15" hidden="false" customHeight="false" outlineLevel="0" collapsed="false">
      <c r="A46" s="18" t="n">
        <v>39962</v>
      </c>
      <c r="B46" s="21" t="n">
        <v>13286.96</v>
      </c>
      <c r="C46" s="26" t="n">
        <f aca="false">(B46/B45-1)/(A46-A45)*30</f>
        <v>0.00111767554247918</v>
      </c>
      <c r="D46" s="20"/>
      <c r="E46" s="20"/>
      <c r="F46" s="20"/>
      <c r="O46" s="3" t="n">
        <v>2021</v>
      </c>
      <c r="Q46" s="3" t="n">
        <f aca="false">+K190</f>
        <v>0</v>
      </c>
      <c r="R46" s="3" t="n">
        <f aca="false">+K191</f>
        <v>0</v>
      </c>
      <c r="S46" s="3" t="n">
        <f aca="false">+K192</f>
        <v>0</v>
      </c>
      <c r="T46" s="3" t="n">
        <f aca="false">+K193</f>
        <v>0</v>
      </c>
      <c r="U46" s="3" t="n">
        <f aca="false">+K194</f>
        <v>0</v>
      </c>
      <c r="V46" s="3" t="n">
        <f aca="false">+K195</f>
        <v>0</v>
      </c>
      <c r="W46" s="3" t="n">
        <f aca="false">+K196</f>
        <v>0</v>
      </c>
      <c r="X46" s="19" t="n">
        <f aca="false">+K197</f>
        <v>0</v>
      </c>
      <c r="Y46" s="3" t="n">
        <f aca="false">+K198</f>
        <v>0</v>
      </c>
      <c r="Z46" s="19" t="n">
        <f aca="false">+K199</f>
        <v>0</v>
      </c>
      <c r="AA46" s="3" t="n">
        <f aca="false">+K200</f>
        <v>0</v>
      </c>
      <c r="AD46" s="22" t="n">
        <v>2021</v>
      </c>
      <c r="AE46" s="23"/>
      <c r="AF46" s="23"/>
      <c r="AG46" s="23"/>
      <c r="AH46" s="23"/>
      <c r="AI46" s="23"/>
      <c r="AJ46" s="23"/>
      <c r="AK46" s="23"/>
      <c r="AL46" s="23"/>
      <c r="AM46" s="23"/>
      <c r="AN46" s="23"/>
      <c r="AO46" s="23"/>
      <c r="AP46" s="23"/>
      <c r="AQ46" s="24"/>
      <c r="AR46" s="9"/>
      <c r="AS46" s="9"/>
      <c r="BD46" s="28"/>
      <c r="BE46" s="28"/>
      <c r="BF46" s="28"/>
      <c r="BG46" s="28"/>
      <c r="BH46" s="28"/>
      <c r="BI46" s="28"/>
      <c r="BJ46" s="47"/>
    </row>
    <row r="47" customFormat="false" ht="15.75" hidden="false" customHeight="true" outlineLevel="0" collapsed="false">
      <c r="A47" s="18" t="n">
        <v>39994</v>
      </c>
      <c r="B47" s="21" t="n">
        <v>13299.08</v>
      </c>
      <c r="C47" s="26" t="n">
        <f aca="false">(B47/B46-1)/(A47-A46)*30</f>
        <v>0.000855161752575523</v>
      </c>
      <c r="D47" s="20"/>
      <c r="E47" s="20"/>
      <c r="F47" s="20"/>
      <c r="O47" s="3" t="n">
        <v>2022</v>
      </c>
      <c r="P47" s="3" t="n">
        <f aca="false">+K201</f>
        <v>0</v>
      </c>
      <c r="Q47" s="3" t="n">
        <f aca="false">+K202</f>
        <v>0</v>
      </c>
      <c r="R47" s="3" t="n">
        <f aca="false">+K203</f>
        <v>0</v>
      </c>
      <c r="S47" s="3" t="n">
        <f aca="false">+K204</f>
        <v>0</v>
      </c>
      <c r="T47" s="3" t="n">
        <f aca="false">+K205</f>
        <v>0</v>
      </c>
      <c r="U47" s="19" t="n">
        <f aca="false">+K206</f>
        <v>0</v>
      </c>
      <c r="V47" s="3" t="n">
        <f aca="false">+K207</f>
        <v>0</v>
      </c>
      <c r="W47" s="19" t="n">
        <f aca="false">+K208</f>
        <v>0</v>
      </c>
      <c r="X47" s="19" t="n">
        <f aca="false">+K209</f>
        <v>0</v>
      </c>
      <c r="Y47" s="19" t="n">
        <f aca="false">+K210</f>
        <v>0</v>
      </c>
      <c r="Z47" s="19" t="n">
        <f aca="false">+K211</f>
        <v>0</v>
      </c>
      <c r="AA47" s="3" t="n">
        <f aca="false">+K212</f>
        <v>0</v>
      </c>
      <c r="AD47" s="22" t="n">
        <v>2022</v>
      </c>
      <c r="AE47" s="23"/>
      <c r="AF47" s="23"/>
      <c r="AG47" s="23"/>
      <c r="AH47" s="23"/>
      <c r="AI47" s="23"/>
      <c r="AJ47" s="23"/>
      <c r="AK47" s="23"/>
      <c r="AL47" s="23"/>
      <c r="AM47" s="23"/>
      <c r="AN47" s="23"/>
      <c r="AO47" s="23"/>
      <c r="AP47" s="23"/>
      <c r="AQ47" s="24"/>
      <c r="AR47" s="9"/>
      <c r="AS47" s="9"/>
      <c r="BD47" s="28"/>
      <c r="BE47" s="28"/>
      <c r="BF47" s="28"/>
      <c r="BG47" s="28"/>
      <c r="BH47" s="28"/>
      <c r="BI47" s="28"/>
      <c r="BJ47" s="47"/>
    </row>
    <row r="48" customFormat="false" ht="15" hidden="false" customHeight="false" outlineLevel="0" collapsed="false">
      <c r="A48" s="18" t="n">
        <v>40025</v>
      </c>
      <c r="B48" s="21" t="n">
        <v>13305.34</v>
      </c>
      <c r="C48" s="26" t="n">
        <f aca="false">(B48/B47-1)/(A48-A47)*30</f>
        <v>0.000455525082647034</v>
      </c>
      <c r="D48" s="20"/>
      <c r="E48" s="20"/>
      <c r="F48" s="20"/>
      <c r="O48" s="3" t="n">
        <v>2023</v>
      </c>
      <c r="P48" s="3" t="n">
        <f aca="false">+K213</f>
        <v>0</v>
      </c>
      <c r="Q48" s="3" t="n">
        <f aca="false">+K214</f>
        <v>0</v>
      </c>
      <c r="R48" s="3" t="n">
        <f aca="false">+K215</f>
        <v>0</v>
      </c>
      <c r="S48" s="3" t="n">
        <f aca="false">+K216</f>
        <v>0</v>
      </c>
      <c r="T48" s="19" t="n">
        <f aca="false">+K217</f>
        <v>0</v>
      </c>
      <c r="U48" s="3" t="n">
        <f aca="false">+K218</f>
        <v>0</v>
      </c>
      <c r="V48" s="3" t="n">
        <f aca="false">+K219</f>
        <v>0</v>
      </c>
      <c r="W48" s="19" t="n">
        <f aca="false">+K220</f>
        <v>0</v>
      </c>
      <c r="X48" s="19" t="n">
        <f aca="false">+K221</f>
        <v>0</v>
      </c>
      <c r="Y48" s="3" t="n">
        <f aca="false">+K222</f>
        <v>0</v>
      </c>
      <c r="Z48" s="19" t="n">
        <f aca="false">+K223</f>
        <v>0</v>
      </c>
      <c r="AA48" s="3" t="n">
        <f aca="false">+K224</f>
        <v>0</v>
      </c>
      <c r="AD48" s="22" t="n">
        <v>2023</v>
      </c>
      <c r="AE48" s="23"/>
      <c r="AF48" s="23"/>
      <c r="AG48" s="23"/>
      <c r="AH48" s="23"/>
      <c r="AI48" s="23"/>
      <c r="AJ48" s="23"/>
      <c r="AK48" s="23"/>
      <c r="AL48" s="23"/>
      <c r="AM48" s="23"/>
      <c r="AN48" s="23"/>
      <c r="AO48" s="23"/>
      <c r="AP48" s="23"/>
      <c r="AQ48" s="24"/>
      <c r="AR48" s="9"/>
      <c r="AS48" s="9"/>
      <c r="BD48" s="28"/>
      <c r="BE48" s="28"/>
      <c r="BF48" s="28"/>
      <c r="BG48" s="28"/>
      <c r="BH48" s="28"/>
      <c r="BI48" s="28"/>
      <c r="BJ48" s="47"/>
    </row>
    <row r="49" customFormat="false" ht="15" hidden="false" customHeight="false" outlineLevel="0" collapsed="false">
      <c r="A49" s="18" t="n">
        <v>40056</v>
      </c>
      <c r="B49" s="21" t="n">
        <v>13310.07</v>
      </c>
      <c r="C49" s="26" t="n">
        <f aca="false">(B49/B48-1)/(A49-A48)*30</f>
        <v>0.000344028739952432</v>
      </c>
      <c r="D49" s="20"/>
      <c r="E49" s="20"/>
      <c r="F49" s="20"/>
      <c r="O49" s="3" t="n">
        <v>2024</v>
      </c>
      <c r="P49" s="3" t="n">
        <f aca="false">+K225</f>
        <v>0</v>
      </c>
      <c r="Q49" s="3" t="n">
        <f aca="false">+K226</f>
        <v>0</v>
      </c>
      <c r="R49" s="3" t="n">
        <f aca="false">+K227</f>
        <v>0</v>
      </c>
      <c r="S49" s="3" t="n">
        <f aca="false">+K228</f>
        <v>0</v>
      </c>
      <c r="T49" s="3" t="n">
        <f aca="false">+K229</f>
        <v>0</v>
      </c>
      <c r="U49" s="3" t="n">
        <f aca="false">+K230</f>
        <v>0</v>
      </c>
      <c r="V49" s="3" t="n">
        <f aca="false">+K231</f>
        <v>0</v>
      </c>
      <c r="W49" s="3" t="n">
        <f aca="false">+K232</f>
        <v>0</v>
      </c>
      <c r="X49" s="3" t="n">
        <f aca="false">+K233</f>
        <v>0</v>
      </c>
      <c r="Y49" s="3" t="n">
        <f aca="false">+K234</f>
        <v>0</v>
      </c>
      <c r="Z49" s="3" t="n">
        <f aca="false">+K235</f>
        <v>0</v>
      </c>
      <c r="AA49" s="3" t="n">
        <f aca="false">+K236</f>
        <v>0</v>
      </c>
      <c r="AD49" s="22" t="n">
        <v>2024</v>
      </c>
      <c r="AE49" s="23"/>
      <c r="AF49" s="23"/>
      <c r="AG49" s="23"/>
      <c r="AH49" s="23"/>
      <c r="AI49" s="23"/>
      <c r="AJ49" s="23"/>
      <c r="AK49" s="23"/>
      <c r="AL49" s="23"/>
      <c r="AM49" s="23"/>
      <c r="AN49" s="23"/>
      <c r="AO49" s="23"/>
      <c r="AP49" s="23"/>
      <c r="AQ49" s="24"/>
      <c r="AR49" s="9"/>
      <c r="AS49" s="9"/>
      <c r="BD49" s="28"/>
      <c r="BE49" s="28"/>
      <c r="BF49" s="28"/>
      <c r="BG49" s="28"/>
      <c r="BH49" s="28"/>
      <c r="BI49" s="28"/>
      <c r="BJ49" s="47"/>
    </row>
    <row r="50" customFormat="false" ht="15" hidden="false" customHeight="false" outlineLevel="0" collapsed="false">
      <c r="A50" s="18" t="n">
        <v>40086</v>
      </c>
      <c r="B50" s="21" t="n">
        <v>13315.05</v>
      </c>
      <c r="C50" s="26" t="n">
        <f aca="false">(B50/B49-1)/(A50-A49)*30</f>
        <v>0.000374152803103156</v>
      </c>
      <c r="D50" s="20"/>
      <c r="E50" s="20"/>
      <c r="F50" s="20"/>
      <c r="O50" s="3" t="n">
        <v>2025</v>
      </c>
      <c r="P50" s="3" t="n">
        <f aca="false">+K237</f>
        <v>0</v>
      </c>
      <c r="Q50" s="3" t="n">
        <f aca="false">+K238</f>
        <v>6104.4912</v>
      </c>
      <c r="R50" s="3" t="n">
        <f aca="false">+K239</f>
        <v>6123.1882</v>
      </c>
      <c r="S50" s="3" t="n">
        <f aca="false">+K240</f>
        <v>6141.4105</v>
      </c>
      <c r="T50" s="3" t="n">
        <f aca="false">+K241</f>
        <v>6160.386</v>
      </c>
      <c r="U50" s="3" t="n">
        <f aca="false">+K242</f>
        <v>6178.849</v>
      </c>
      <c r="V50" s="3" t="n">
        <f aca="false">+K243</f>
        <v>6197.08</v>
      </c>
      <c r="W50" s="3" t="n">
        <f aca="false">+K244</f>
        <v>6215.6746</v>
      </c>
      <c r="X50" s="3" t="n">
        <f aca="false">+K245</f>
        <v>6232.8399</v>
      </c>
      <c r="Y50" s="3" t="n">
        <f aca="false">+K246</f>
        <v>6250.6982</v>
      </c>
      <c r="Z50" s="3" t="n">
        <f aca="false">+K247</f>
        <v>6268.169</v>
      </c>
      <c r="AA50" s="3" t="n">
        <f aca="false">+K248</f>
        <v>6285.9566</v>
      </c>
      <c r="AD50" s="22" t="n">
        <v>2025</v>
      </c>
      <c r="AE50" s="23"/>
      <c r="AF50" s="23"/>
      <c r="AG50" s="23" t="n">
        <f aca="false">+(R50/Q50-1)</f>
        <v>0.00306282692323312</v>
      </c>
      <c r="AH50" s="23" t="n">
        <f aca="false">+(S50/R50-1)</f>
        <v>0.00297594968581905</v>
      </c>
      <c r="AI50" s="23" t="n">
        <f aca="false">+(T50/S50-1)</f>
        <v>0.00308976252279503</v>
      </c>
      <c r="AJ50" s="23" t="n">
        <f aca="false">+(U50/T50-1)</f>
        <v>0.00299705245742721</v>
      </c>
      <c r="AK50" s="23" t="n">
        <f aca="false">+(V50/U50-1)</f>
        <v>0.00295054952791363</v>
      </c>
      <c r="AL50" s="23" t="n">
        <f aca="false">+(W50/V50-1)</f>
        <v>0.00300054219083834</v>
      </c>
      <c r="AM50" s="23" t="n">
        <f aca="false">+(X50/W50-1)</f>
        <v>0.00276161496613736</v>
      </c>
      <c r="AN50" s="23" t="n">
        <f aca="false">+(Y50/X50-1)</f>
        <v>0.00286519472447866</v>
      </c>
      <c r="AO50" s="23" t="n">
        <f aca="false">+(Z50/Y50-1)</f>
        <v>0.00279501576319907</v>
      </c>
      <c r="AP50" s="23" t="n">
        <f aca="false">+(AA50/Z50-1)</f>
        <v>0.00283776649927603</v>
      </c>
      <c r="AQ50" s="24" t="n">
        <f aca="false">+(AA50/Q50-1)/COUNTA(AE50:AP50)*12</f>
        <v>0.0356718476389973</v>
      </c>
      <c r="AR50" s="9"/>
      <c r="AS50" s="9"/>
      <c r="BD50" s="28"/>
      <c r="BE50" s="28"/>
      <c r="BF50" s="28"/>
      <c r="BG50" s="28"/>
      <c r="BH50" s="28"/>
      <c r="BI50" s="28"/>
      <c r="BJ50" s="47"/>
    </row>
    <row r="51" customFormat="false" ht="15" hidden="false" customHeight="false" outlineLevel="0" collapsed="false">
      <c r="A51" s="18" t="n">
        <v>40116</v>
      </c>
      <c r="B51" s="21" t="n">
        <v>13319.74</v>
      </c>
      <c r="C51" s="26" t="n">
        <f aca="false">(B51/B50-1)/(A51-A50)*30</f>
        <v>0.000352232999500712</v>
      </c>
      <c r="D51" s="20"/>
      <c r="E51" s="20"/>
      <c r="F51" s="20"/>
      <c r="O51" s="3" t="n">
        <v>2026</v>
      </c>
      <c r="P51" s="3" t="n">
        <f aca="false">+K249</f>
        <v>6303.0823</v>
      </c>
      <c r="Q51" s="3" t="n">
        <f aca="false">K250</f>
        <v>6318.4947</v>
      </c>
      <c r="R51" s="3" t="n">
        <f aca="false">K251</f>
        <v>6335.4774</v>
      </c>
      <c r="S51" s="3" t="n">
        <f aca="false">+K252</f>
        <v>0</v>
      </c>
      <c r="AD51" s="22" t="n">
        <v>2026</v>
      </c>
      <c r="AE51" s="23" t="n">
        <f aca="false">+(P51/AA50-1)</f>
        <v>0.00272443815472734</v>
      </c>
      <c r="AF51" s="23" t="n">
        <f aca="false">+(Q51/P51-1)</f>
        <v>0.00244521636660222</v>
      </c>
      <c r="AG51" s="23" t="n">
        <f aca="false">+(R51/Q51-1)</f>
        <v>0.00268777625151762</v>
      </c>
      <c r="AH51" s="23" t="n">
        <f aca="false">+(S51/R51-1)</f>
        <v>-1</v>
      </c>
      <c r="AI51" s="9"/>
      <c r="AJ51" s="9"/>
      <c r="AK51" s="9"/>
      <c r="AL51" s="9"/>
      <c r="AM51" s="9"/>
      <c r="AN51" s="9"/>
      <c r="AO51" s="9"/>
      <c r="AP51" s="9"/>
      <c r="AQ51" s="24" t="n">
        <f aca="false">+(S51/P51-1)/COUNTA(AE51:AP51)*12</f>
        <v>-3</v>
      </c>
      <c r="AR51" s="9"/>
      <c r="AS51" s="9"/>
      <c r="BD51" s="28"/>
      <c r="BE51" s="28"/>
      <c r="BF51" s="28"/>
      <c r="BG51" s="28"/>
      <c r="BH51" s="28"/>
      <c r="BI51" s="28"/>
      <c r="BJ51" s="47"/>
      <c r="BK51" s="49"/>
    </row>
    <row r="52" customFormat="false" ht="15" hidden="false" customHeight="false" outlineLevel="0" collapsed="false">
      <c r="A52" s="18" t="n">
        <v>40147</v>
      </c>
      <c r="B52" s="21" t="n">
        <v>13324.51</v>
      </c>
      <c r="C52" s="26" t="n">
        <f aca="false">(B52/B51-1)/(A52-A51)*30</f>
        <v>0.000346562998396176</v>
      </c>
      <c r="D52" s="20"/>
      <c r="E52" s="20"/>
      <c r="F52" s="20"/>
      <c r="AD52" s="27" t="s">
        <v>27</v>
      </c>
      <c r="AE52" s="9"/>
      <c r="AF52" s="9"/>
      <c r="AG52" s="9"/>
      <c r="AH52" s="9"/>
      <c r="AI52" s="9"/>
      <c r="AJ52" s="9"/>
      <c r="AK52" s="9"/>
      <c r="AL52" s="9"/>
      <c r="AM52" s="9"/>
      <c r="AN52" s="9"/>
      <c r="AO52" s="9"/>
      <c r="AP52" s="9"/>
      <c r="AQ52" s="9"/>
      <c r="AR52" s="9"/>
      <c r="AS52" s="9"/>
      <c r="BD52" s="28"/>
      <c r="BE52" s="28"/>
      <c r="BF52" s="28"/>
      <c r="BG52" s="28"/>
      <c r="BH52" s="28"/>
      <c r="BI52" s="28"/>
      <c r="BJ52" s="47"/>
      <c r="BK52" s="49"/>
    </row>
    <row r="53" customFormat="false" ht="15" hidden="false" customHeight="false" outlineLevel="0" collapsed="false">
      <c r="A53" s="18" t="n">
        <v>40178</v>
      </c>
      <c r="B53" s="21" t="n">
        <v>13329.5</v>
      </c>
      <c r="C53" s="26" t="n">
        <f aca="false">(B53/B52-1)/(A53-A52)*30</f>
        <v>0.000362417248969413</v>
      </c>
      <c r="D53" s="20"/>
      <c r="E53" s="20"/>
      <c r="F53" s="20"/>
      <c r="AD53" s="27"/>
      <c r="AE53" s="9"/>
      <c r="AF53" s="9"/>
      <c r="AG53" s="9"/>
      <c r="AH53" s="9"/>
      <c r="AI53" s="9"/>
      <c r="AJ53" s="9"/>
      <c r="AK53" s="9"/>
      <c r="AL53" s="9"/>
      <c r="AM53" s="9"/>
      <c r="AN53" s="9"/>
      <c r="AO53" s="9"/>
      <c r="AP53" s="9"/>
      <c r="AQ53" s="9"/>
      <c r="AR53" s="9"/>
      <c r="AS53" s="9"/>
    </row>
    <row r="54" customFormat="false" ht="15" hidden="false" customHeight="false" outlineLevel="0" collapsed="false">
      <c r="A54" s="18" t="n">
        <v>40207</v>
      </c>
      <c r="B54" s="21" t="n">
        <v>13334.25</v>
      </c>
      <c r="C54" s="26" t="n">
        <f aca="false">(B54/B53-1)/(A54-A53)*30</f>
        <v>0.000368640466892793</v>
      </c>
      <c r="D54" s="20"/>
      <c r="E54" s="20"/>
      <c r="F54" s="20"/>
      <c r="AC54" s="50" t="s">
        <v>36</v>
      </c>
      <c r="AD54" s="51" t="s">
        <v>37</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8" t="n">
        <v>40235</v>
      </c>
      <c r="B55" s="21" t="n">
        <v>13338.53</v>
      </c>
      <c r="C55" s="26" t="n">
        <f aca="false">(B55/B54-1)/(A55-A54)*30</f>
        <v>0.000343904927964735</v>
      </c>
      <c r="D55" s="20"/>
      <c r="E55" s="20"/>
      <c r="F55" s="20"/>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8" t="n">
        <v>40268</v>
      </c>
      <c r="B56" s="21" t="n">
        <v>13343.79</v>
      </c>
      <c r="C56" s="26" t="n">
        <f aca="false">(B56/B55-1)/(A56-A55)*30</f>
        <v>0.000358496639571185</v>
      </c>
      <c r="D56" s="20"/>
      <c r="E56" s="20"/>
      <c r="F56" s="20"/>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8" t="n">
        <v>40298</v>
      </c>
      <c r="B57" s="21" t="n">
        <v>13348.63</v>
      </c>
      <c r="C57" s="26" t="n">
        <f aca="false">(B57/B56-1)/(A57-A56)*30</f>
        <v>0.000362715540337399</v>
      </c>
      <c r="D57" s="20"/>
      <c r="E57" s="20"/>
      <c r="F57" s="20"/>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8" t="n">
        <v>40329</v>
      </c>
      <c r="B58" s="21" t="n">
        <v>13353.5</v>
      </c>
      <c r="C58" s="26" t="n">
        <f aca="false">(B58/B57-1)/(A58-A57)*30</f>
        <v>0.00035306269076351</v>
      </c>
      <c r="D58" s="20"/>
      <c r="E58" s="20"/>
      <c r="F58" s="20"/>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8" t="n">
        <v>40359</v>
      </c>
      <c r="B59" s="21" t="n">
        <v>13360.9</v>
      </c>
      <c r="C59" s="26" t="n">
        <f aca="false">(B59/B58-1)/(A59-A58)*30</f>
        <v>0.000554161830231825</v>
      </c>
      <c r="D59" s="20"/>
      <c r="E59" s="20"/>
      <c r="F59" s="20"/>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8" t="n">
        <v>40389</v>
      </c>
      <c r="B60" s="21" t="n">
        <v>13373.99</v>
      </c>
      <c r="C60" s="26" t="n">
        <f aca="false">(B60/B59-1)/(A60-A59)*30</f>
        <v>0.00097972441976224</v>
      </c>
      <c r="D60" s="20"/>
      <c r="E60" s="20"/>
      <c r="F60" s="20"/>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8" t="n">
        <v>40421</v>
      </c>
      <c r="B61" s="21" t="n">
        <v>13395.21</v>
      </c>
      <c r="C61" s="26" t="n">
        <f aca="false">(B61/B60-1)/(A61-A60)*30</f>
        <v>0.00148749550433341</v>
      </c>
      <c r="D61" s="20"/>
      <c r="E61" s="20"/>
      <c r="F61" s="20"/>
      <c r="AC61" s="58"/>
      <c r="AD61" s="12" t="s">
        <v>19</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8" t="n">
        <v>40451</v>
      </c>
      <c r="B62" s="21" t="n">
        <v>13419.79</v>
      </c>
      <c r="C62" s="26" t="n">
        <f aca="false">(B62/B61-1)/(A62-A61)*30</f>
        <v>0.00183498429662565</v>
      </c>
      <c r="D62" s="20"/>
      <c r="E62" s="20"/>
      <c r="F62" s="20"/>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8" t="n">
        <v>40480</v>
      </c>
      <c r="B63" s="21" t="n">
        <v>13448.69</v>
      </c>
      <c r="C63" s="26" t="n">
        <f aca="false">(B63/B62-1)/(A63-A62)*30</f>
        <v>0.00222779579443021</v>
      </c>
      <c r="D63" s="20"/>
      <c r="E63" s="20"/>
      <c r="F63" s="20"/>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8" t="n">
        <v>40512</v>
      </c>
      <c r="B64" s="21" t="n">
        <v>13483.02</v>
      </c>
      <c r="C64" s="26" t="n">
        <f aca="false">(B64/B63-1)/(A64-A63)*30</f>
        <v>0.00239312341945575</v>
      </c>
      <c r="D64" s="20"/>
      <c r="E64" s="20"/>
      <c r="F64" s="20"/>
      <c r="AC64" s="59"/>
      <c r="AD64" s="12" t="s">
        <v>19</v>
      </c>
      <c r="AE64" s="57"/>
      <c r="AF64" s="57"/>
      <c r="AG64" s="57"/>
      <c r="AH64" s="57"/>
      <c r="AI64" s="57"/>
      <c r="AJ64" s="57"/>
      <c r="AK64" s="57"/>
      <c r="AL64" s="57"/>
      <c r="AM64" s="57"/>
      <c r="AN64" s="57"/>
      <c r="AO64" s="57"/>
      <c r="AP64" s="57"/>
      <c r="AQ64" s="55"/>
    </row>
    <row r="65" customFormat="false" ht="15" hidden="false" customHeight="false" outlineLevel="0" collapsed="false">
      <c r="A65" s="18" t="n">
        <v>40543</v>
      </c>
      <c r="B65" s="21" t="n">
        <v>13522.93</v>
      </c>
      <c r="C65" s="26" t="n">
        <f aca="false">(B65/B64-1)/(A65-A64)*30</f>
        <v>0.00286453484791705</v>
      </c>
      <c r="D65" s="20"/>
      <c r="E65" s="20"/>
      <c r="F65" s="20"/>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8" t="n">
        <v>40574</v>
      </c>
      <c r="B66" s="21" t="n">
        <v>13557.12</v>
      </c>
      <c r="C66" s="26" t="n">
        <f aca="false">(B66/B65-1)/(A66-A65)*30</f>
        <v>0.00244674022376755</v>
      </c>
      <c r="D66" s="20"/>
      <c r="E66" s="20"/>
      <c r="F66" s="20"/>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8" t="n">
        <v>40602</v>
      </c>
      <c r="B67" s="21" t="n">
        <v>13592.3</v>
      </c>
      <c r="C67" s="26" t="n">
        <f aca="false">(B67/B66-1)/(A67-A66)*30</f>
        <v>0.00278029973496265</v>
      </c>
      <c r="D67" s="20"/>
      <c r="E67" s="20"/>
      <c r="F67" s="20"/>
      <c r="I67" s="5"/>
      <c r="N67" s="3"/>
      <c r="O67" s="3"/>
      <c r="P67" s="3"/>
      <c r="Q67" s="3"/>
      <c r="R67" s="3"/>
      <c r="S67" s="3"/>
      <c r="T67" s="3"/>
      <c r="U67" s="3"/>
      <c r="V67" s="3"/>
      <c r="W67" s="3"/>
      <c r="X67" s="3"/>
      <c r="Y67" s="3"/>
      <c r="Z67" s="3"/>
      <c r="AA67" s="3"/>
      <c r="AB67" s="3"/>
      <c r="AC67" s="58"/>
      <c r="AD67" s="12" t="s">
        <v>19</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8" t="n">
        <v>40633</v>
      </c>
      <c r="B68" s="21" t="n">
        <v>13635.91</v>
      </c>
      <c r="C68" s="26" t="n">
        <f aca="false">(B68/B67-1)/(A68-A67)*30</f>
        <v>0.0031049363100028</v>
      </c>
      <c r="D68" s="20"/>
      <c r="E68" s="20"/>
      <c r="F68" s="20"/>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8" t="n">
        <v>40662</v>
      </c>
      <c r="B69" s="21" t="n">
        <v>13682.94</v>
      </c>
      <c r="C69" s="26" t="n">
        <f aca="false">(B69/B68-1)/(A69-A68)*30</f>
        <v>0.00356791179598074</v>
      </c>
      <c r="D69" s="20"/>
      <c r="E69" s="20"/>
      <c r="F69" s="20"/>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8" t="n">
        <v>40694</v>
      </c>
      <c r="B70" s="21" t="n">
        <v>13741.06</v>
      </c>
      <c r="C70" s="26" t="n">
        <f aca="false">(B70/B69-1)/(A70-A69)*30</f>
        <v>0.00398214857333289</v>
      </c>
      <c r="D70" s="20"/>
      <c r="E70" s="20"/>
      <c r="F70" s="20"/>
      <c r="I70" s="5"/>
      <c r="O70" s="3"/>
      <c r="P70" s="3"/>
      <c r="Q70" s="3"/>
      <c r="R70" s="3"/>
      <c r="S70" s="3"/>
      <c r="T70" s="3"/>
      <c r="U70" s="3"/>
      <c r="V70" s="3"/>
      <c r="W70" s="3"/>
      <c r="X70" s="3"/>
      <c r="Y70" s="3"/>
      <c r="Z70" s="3"/>
      <c r="AA70" s="3"/>
      <c r="AB70" s="3"/>
      <c r="AC70" s="58"/>
      <c r="AD70" s="12" t="s">
        <v>19</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8" t="n">
        <v>40724</v>
      </c>
      <c r="B71" s="21" t="n">
        <v>13799.74</v>
      </c>
      <c r="C71" s="26" t="n">
        <f aca="false">(B71/B70-1)/(A71-A70)*30</f>
        <v>0.00427041290846564</v>
      </c>
      <c r="D71" s="20"/>
      <c r="E71" s="20"/>
      <c r="F71" s="20"/>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8" t="n">
        <v>40753</v>
      </c>
      <c r="B72" s="21" t="n">
        <v>13858.14</v>
      </c>
      <c r="C72" s="26" t="n">
        <f aca="false">(B72/B71-1)/(A72-A71)*30</f>
        <v>0.00437789357650559</v>
      </c>
      <c r="D72" s="20"/>
      <c r="E72" s="20"/>
      <c r="F72" s="20"/>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8" t="n">
        <v>40786</v>
      </c>
      <c r="B73" s="21" t="n">
        <v>13925.03</v>
      </c>
      <c r="C73" s="26" t="n">
        <f aca="false">(B73/B72-1)/(A73-A72)*30</f>
        <v>0.00438796915813318</v>
      </c>
      <c r="D73" s="20"/>
      <c r="E73" s="20"/>
      <c r="F73" s="20"/>
      <c r="I73" s="5"/>
      <c r="O73" s="3"/>
      <c r="P73" s="3"/>
      <c r="Q73" s="3"/>
      <c r="R73" s="3"/>
      <c r="S73" s="3"/>
      <c r="T73" s="3"/>
      <c r="U73" s="3"/>
      <c r="V73" s="3"/>
      <c r="W73" s="3"/>
      <c r="X73" s="3"/>
      <c r="Y73" s="3"/>
      <c r="Z73" s="3"/>
      <c r="AA73" s="3"/>
      <c r="AC73" s="59"/>
      <c r="AD73" s="12" t="s">
        <v>19</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8" t="n">
        <v>40816</v>
      </c>
      <c r="B74" s="21" t="n">
        <v>13985.97</v>
      </c>
      <c r="C74" s="26" t="n">
        <f aca="false">(B74/B73-1)/(A74-A73)*30</f>
        <v>0.00437629218752123</v>
      </c>
      <c r="D74" s="20"/>
      <c r="E74" s="20"/>
      <c r="F74" s="20"/>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8" t="n">
        <v>40847</v>
      </c>
      <c r="B75" s="21" t="n">
        <v>14043.21</v>
      </c>
      <c r="C75" s="26" t="n">
        <f aca="false">(B75/B74-1)/(A75-A74)*30</f>
        <v>0.00396065116592525</v>
      </c>
      <c r="D75" s="20"/>
      <c r="E75" s="20"/>
      <c r="F75" s="20"/>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8" t="n">
        <v>40877</v>
      </c>
      <c r="B76" s="21" t="n">
        <v>14110.87</v>
      </c>
      <c r="C76" s="26" t="n">
        <f aca="false">(B76/B75-1)/(A76-A75)*30</f>
        <v>0.0048179867708309</v>
      </c>
      <c r="D76" s="20"/>
      <c r="E76" s="20"/>
      <c r="F76" s="20"/>
      <c r="I76" s="5"/>
      <c r="O76" s="3"/>
      <c r="P76" s="3"/>
      <c r="Q76" s="3"/>
      <c r="R76" s="3"/>
      <c r="S76" s="3"/>
      <c r="T76" s="3"/>
      <c r="U76" s="3"/>
      <c r="V76" s="3"/>
      <c r="W76" s="3"/>
      <c r="X76" s="3"/>
      <c r="Y76" s="3"/>
      <c r="Z76" s="3"/>
      <c r="AA76" s="3"/>
      <c r="AC76" s="61"/>
      <c r="AD76" s="12" t="s">
        <v>19</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8" t="n">
        <v>40907</v>
      </c>
      <c r="B77" s="21" t="n">
        <v>14172.63</v>
      </c>
      <c r="C77" s="26" t="n">
        <f aca="false">(B77/B76-1)/(A77-A76)*30</f>
        <v>0.0043767676975266</v>
      </c>
      <c r="D77" s="20"/>
      <c r="E77" s="20"/>
      <c r="F77" s="20"/>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8" t="n">
        <v>40939</v>
      </c>
      <c r="B78" s="21" t="n">
        <v>14236.38</v>
      </c>
      <c r="C78" s="26" t="n">
        <f aca="false">(B78/B77-1)/(A78-A77)*30</f>
        <v>0.00421697490162375</v>
      </c>
      <c r="D78" s="20"/>
      <c r="E78" s="20"/>
      <c r="F78" s="20"/>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8" t="n">
        <v>40968</v>
      </c>
      <c r="B79" s="21" t="n">
        <v>14293.67</v>
      </c>
      <c r="C79" s="26" t="n">
        <f aca="false">(B79/B78-1)/(A79-A78)*30</f>
        <v>0.00416296258187693</v>
      </c>
      <c r="D79" s="20"/>
      <c r="E79" s="20"/>
      <c r="F79" s="20"/>
      <c r="I79" s="5"/>
      <c r="AC79" s="61"/>
      <c r="AD79" s="12" t="s">
        <v>19</v>
      </c>
      <c r="AE79" s="60"/>
      <c r="AF79" s="60"/>
      <c r="AG79" s="60"/>
      <c r="AH79" s="60"/>
      <c r="AI79" s="60"/>
      <c r="AJ79" s="60"/>
      <c r="AK79" s="60"/>
      <c r="AL79" s="60"/>
      <c r="AM79" s="60"/>
      <c r="AN79" s="60"/>
      <c r="AO79" s="60"/>
      <c r="AP79" s="60"/>
      <c r="AQ79" s="60"/>
    </row>
    <row r="80" s="4" customFormat="true" ht="15" hidden="false" customHeight="false" outlineLevel="0" collapsed="false">
      <c r="A80" s="18" t="n">
        <v>40998</v>
      </c>
      <c r="B80" s="21" t="n">
        <v>14353.34</v>
      </c>
      <c r="C80" s="26" t="n">
        <f aca="false">(B80/B79-1)/(A80-A79)*30</f>
        <v>0.00417457517908271</v>
      </c>
      <c r="D80" s="20"/>
      <c r="E80" s="20"/>
      <c r="F80" s="20"/>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8" t="n">
        <v>41029</v>
      </c>
      <c r="B81" s="21" t="n">
        <v>14415.21</v>
      </c>
      <c r="C81" s="26" t="n">
        <f aca="false">(B81/B80-1)/(A81-A80)*30</f>
        <v>0.00417144675374423</v>
      </c>
      <c r="D81" s="20"/>
      <c r="E81" s="20"/>
      <c r="F81" s="20"/>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8" t="n">
        <v>41060</v>
      </c>
      <c r="B82" s="21" t="n">
        <v>14477.55</v>
      </c>
      <c r="C82" s="26" t="n">
        <f aca="false">(B82/B81-1)/(A82-A81)*30</f>
        <v>0.00418509562178174</v>
      </c>
      <c r="D82" s="20"/>
      <c r="E82" s="20"/>
      <c r="F82" s="20"/>
      <c r="I82" s="5"/>
      <c r="AC82" s="61"/>
      <c r="AD82" s="12" t="s">
        <v>19</v>
      </c>
      <c r="AE82" s="60"/>
      <c r="AF82" s="60"/>
      <c r="AG82" s="60"/>
      <c r="AH82" s="60"/>
      <c r="AI82" s="60"/>
      <c r="AJ82" s="60"/>
      <c r="AK82" s="60"/>
      <c r="AL82" s="60"/>
      <c r="AM82" s="60"/>
      <c r="AN82" s="60"/>
      <c r="AO82" s="60"/>
      <c r="AP82" s="60"/>
      <c r="AQ82" s="60"/>
    </row>
    <row r="83" s="4" customFormat="true" ht="15" hidden="false" customHeight="false" outlineLevel="0" collapsed="false">
      <c r="A83" s="18" t="n">
        <v>41089</v>
      </c>
      <c r="B83" s="21" t="n">
        <v>14536.13</v>
      </c>
      <c r="C83" s="26" t="n">
        <f aca="false">(B83/B82-1)/(A83-A82)*30</f>
        <v>0.00418579110415774</v>
      </c>
      <c r="D83" s="20"/>
      <c r="E83" s="20"/>
      <c r="F83" s="20"/>
      <c r="I83" s="5"/>
      <c r="AC83" s="61" t="n">
        <v>2025</v>
      </c>
      <c r="AD83" s="56" t="s">
        <v>3</v>
      </c>
      <c r="AE83" s="60"/>
      <c r="AF83" s="60"/>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c r="AQ83" s="60" t="n">
        <f aca="false">+AQ21</f>
        <v>0.0504736457030882</v>
      </c>
    </row>
    <row r="84" s="4" customFormat="true" ht="15" hidden="false" customHeight="false" outlineLevel="0" collapsed="false">
      <c r="A84" s="18" t="n">
        <v>41121</v>
      </c>
      <c r="B84" s="21" t="n">
        <v>14600.61</v>
      </c>
      <c r="C84" s="26" t="n">
        <f aca="false">(B84/B83-1)/(A84-A83)*30</f>
        <v>0.00415860342470799</v>
      </c>
      <c r="D84" s="20"/>
      <c r="E84" s="20"/>
      <c r="F84" s="20"/>
      <c r="I84" s="5"/>
      <c r="AC84" s="61"/>
      <c r="AD84" s="56" t="s">
        <v>26</v>
      </c>
      <c r="AE84" s="60"/>
      <c r="AF84" s="60"/>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c r="AQ84" s="60" t="n">
        <f aca="false">+AQ50</f>
        <v>0.0356718476389973</v>
      </c>
    </row>
    <row r="85" s="4" customFormat="true" ht="15" hidden="false" customHeight="false" outlineLevel="0" collapsed="false">
      <c r="A85" s="18" t="n">
        <v>41152</v>
      </c>
      <c r="B85" s="21" t="n">
        <v>14663.33</v>
      </c>
      <c r="C85" s="26" t="n">
        <f aca="false">(B85/B84-1)/(A85-A84)*30</f>
        <v>0.0041571396122181</v>
      </c>
      <c r="D85" s="20"/>
      <c r="E85" s="20"/>
      <c r="F85" s="20"/>
      <c r="I85" s="5"/>
      <c r="AC85" s="61"/>
      <c r="AD85" s="12" t="s">
        <v>19</v>
      </c>
      <c r="AE85" s="60"/>
      <c r="AF85" s="60"/>
      <c r="AG85" s="60" t="n">
        <f aca="false">+AG37</f>
        <v>0.000505159697865083</v>
      </c>
      <c r="AH85" s="60" t="n">
        <f aca="false">+AH37</f>
        <v>0.00625513212573536</v>
      </c>
      <c r="AI85" s="60" t="n">
        <f aca="false">+AI37</f>
        <v>0.00713560262650459</v>
      </c>
      <c r="AJ85" s="60" t="n">
        <f aca="false">+AJ37</f>
        <v>0.00635709776645532</v>
      </c>
      <c r="AK85" s="60" t="n">
        <f aca="false">+AK37</f>
        <v>0.00671735597731105</v>
      </c>
      <c r="AL85" s="60" t="n">
        <f aca="false">+AL37</f>
        <v>0.00660480209839287</v>
      </c>
      <c r="AM85" s="60" t="n">
        <f aca="false">+AM37</f>
        <v>0.00622155116903866</v>
      </c>
      <c r="AN85" s="60" t="n">
        <f aca="false">+AN37</f>
        <v>0.00668936911947071</v>
      </c>
      <c r="AO85" s="60" t="n">
        <f aca="false">+AO37</f>
        <v>0.00644573230535284</v>
      </c>
      <c r="AP85" s="60"/>
      <c r="AQ85" s="60" t="n">
        <f aca="false">+AQ37</f>
        <v>0.0760655037371309</v>
      </c>
    </row>
    <row r="86" s="4" customFormat="true" ht="15" hidden="false" customHeight="false" outlineLevel="0" collapsed="false">
      <c r="A86" s="18" t="n">
        <v>41180</v>
      </c>
      <c r="B86" s="21" t="n">
        <v>14720.68</v>
      </c>
      <c r="C86" s="26" t="n">
        <f aca="false">(B86/B85-1)/(A86-A85)*30</f>
        <v>0.0041904825555607</v>
      </c>
      <c r="D86" s="20"/>
      <c r="E86" s="20"/>
      <c r="F86" s="20"/>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8"/>
      <c r="B87" s="21"/>
      <c r="C87" s="26"/>
      <c r="D87" s="20"/>
      <c r="E87" s="20"/>
      <c r="F87" s="20"/>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8"/>
      <c r="B88" s="21"/>
      <c r="C88" s="26"/>
      <c r="D88" s="20"/>
      <c r="E88" s="20"/>
      <c r="F88" s="20"/>
      <c r="I88" s="5"/>
      <c r="AC88" s="61"/>
      <c r="AD88" s="12" t="s">
        <v>19</v>
      </c>
      <c r="AE88" s="60" t="n">
        <f aca="false">+AE38</f>
        <v>0.00144037674111609</v>
      </c>
      <c r="AF88" s="60" t="n">
        <f aca="false">+AF38</f>
        <v>0.00133158295744486</v>
      </c>
      <c r="AG88" s="60" t="n">
        <f aca="false">+AG38</f>
        <v>0.0013878196345509</v>
      </c>
      <c r="AH88" s="60" t="n">
        <f aca="false">+AH38</f>
        <v>0.00604951592611824</v>
      </c>
      <c r="AI88" s="60"/>
      <c r="AJ88" s="60"/>
      <c r="AK88" s="60"/>
      <c r="AL88" s="60"/>
      <c r="AM88" s="60"/>
      <c r="AN88" s="60"/>
      <c r="AO88" s="60"/>
      <c r="AP88" s="60"/>
      <c r="AQ88" s="60" t="n">
        <f aca="false">+AQ38</f>
        <v>0.0551955171756855</v>
      </c>
    </row>
    <row r="89" s="4" customFormat="true" ht="15" hidden="false" customHeight="false" outlineLevel="0" collapsed="false">
      <c r="A89" s="18"/>
      <c r="B89" s="21"/>
      <c r="C89" s="26"/>
      <c r="D89" s="20"/>
      <c r="E89" s="20"/>
      <c r="F89" s="20"/>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8" t="n">
        <v>41213</v>
      </c>
      <c r="B90" s="21" t="n">
        <v>14788.56</v>
      </c>
      <c r="C90" s="26" t="n">
        <f aca="false">(B90/B86-1)/(A90-A86)*30</f>
        <v>0.0041920000237142</v>
      </c>
      <c r="D90" s="20"/>
      <c r="E90" s="20"/>
      <c r="F90" s="20"/>
      <c r="I90" s="5"/>
      <c r="AC90" s="3"/>
      <c r="AD90" s="18" t="n">
        <v>43008</v>
      </c>
      <c r="AE90" s="62" t="n">
        <v>0.00311210000000006</v>
      </c>
      <c r="AF90" s="3"/>
      <c r="AG90" s="3"/>
      <c r="AH90" s="3"/>
      <c r="AI90" s="3"/>
      <c r="AJ90" s="3"/>
      <c r="AK90" s="3"/>
      <c r="AL90" s="3"/>
      <c r="AM90" s="3"/>
      <c r="AN90" s="3"/>
      <c r="AO90" s="3"/>
      <c r="AP90" s="3"/>
      <c r="AQ90" s="3"/>
    </row>
    <row r="91" s="4" customFormat="true" ht="15" hidden="false" customHeight="false" outlineLevel="0" collapsed="false">
      <c r="A91" s="18" t="n">
        <v>41243</v>
      </c>
      <c r="B91" s="21" t="n">
        <v>14850.38</v>
      </c>
      <c r="C91" s="26" t="n">
        <f aca="false">(B91/B90-1)/(A91-A90)*30</f>
        <v>0.00418025825367718</v>
      </c>
      <c r="D91" s="20"/>
      <c r="E91" s="20"/>
      <c r="F91" s="20"/>
      <c r="I91" s="5"/>
      <c r="AC91" s="3"/>
      <c r="AD91" s="18" t="n">
        <v>43039</v>
      </c>
      <c r="AE91" s="62" t="n">
        <v>0.00266354947734888</v>
      </c>
      <c r="AF91" s="3"/>
      <c r="AG91" s="3"/>
      <c r="AH91" s="3"/>
      <c r="AI91" s="3"/>
      <c r="AJ91" s="3"/>
      <c r="AK91" s="3"/>
      <c r="AL91" s="3"/>
      <c r="AM91" s="3"/>
      <c r="AN91" s="3"/>
      <c r="AO91" s="3"/>
      <c r="AP91" s="3"/>
      <c r="AQ91" s="3"/>
    </row>
    <row r="92" s="4" customFormat="true" ht="15" hidden="false" customHeight="false" outlineLevel="0" collapsed="false">
      <c r="A92" s="18" t="n">
        <v>41274</v>
      </c>
      <c r="B92" s="21" t="n">
        <v>14908.2</v>
      </c>
      <c r="C92" s="26" t="n">
        <f aca="false">(B92/B91-1)/(A92-A91)*30</f>
        <v>0.00376790618891083</v>
      </c>
      <c r="D92" s="20"/>
      <c r="E92" s="20"/>
      <c r="F92" s="20"/>
      <c r="I92" s="5"/>
      <c r="AC92" s="3"/>
      <c r="AD92" s="18" t="n">
        <v>43069</v>
      </c>
      <c r="AE92" s="62" t="n">
        <v>0.00270401929468234</v>
      </c>
      <c r="AF92" s="3"/>
      <c r="AG92" s="3"/>
      <c r="AH92" s="3"/>
      <c r="AI92" s="3"/>
      <c r="AJ92" s="3"/>
      <c r="AK92" s="3"/>
      <c r="AL92" s="3"/>
      <c r="AM92" s="3"/>
      <c r="AN92" s="3"/>
      <c r="AO92" s="3"/>
      <c r="AP92" s="3"/>
      <c r="AQ92" s="3"/>
    </row>
    <row r="93" s="4" customFormat="true" ht="15" hidden="false" customHeight="false" outlineLevel="0" collapsed="false">
      <c r="A93" s="18" t="n">
        <v>41305</v>
      </c>
      <c r="B93" s="21" t="n">
        <v>14978.58</v>
      </c>
      <c r="C93" s="26" t="n">
        <f aca="false">(B93/B92-1)/(A93-A92)*30</f>
        <v>0.00456860502403746</v>
      </c>
      <c r="D93" s="20"/>
      <c r="E93" s="20"/>
      <c r="F93" s="20"/>
      <c r="I93" s="5"/>
      <c r="AC93" s="3"/>
      <c r="AD93" s="18" t="n">
        <v>43100</v>
      </c>
      <c r="AE93" s="62" t="n">
        <v>0.00300965446914445</v>
      </c>
      <c r="AF93" s="3"/>
      <c r="AG93" s="3"/>
      <c r="AH93" s="3"/>
      <c r="AI93" s="3"/>
      <c r="AJ93" s="3"/>
      <c r="AK93" s="3"/>
      <c r="AL93" s="3"/>
      <c r="AM93" s="3"/>
      <c r="AN93" s="3"/>
      <c r="AO93" s="3"/>
      <c r="AP93" s="3"/>
      <c r="AQ93" s="3"/>
    </row>
    <row r="94" s="4" customFormat="true" ht="15" hidden="false" customHeight="false" outlineLevel="0" collapsed="false">
      <c r="A94" s="18" t="n">
        <v>41333</v>
      </c>
      <c r="B94" s="21" t="n">
        <v>15036.94</v>
      </c>
      <c r="C94" s="26" t="n">
        <f aca="false">(B94/B93-1)/(A94-A93)*30</f>
        <v>0.00417453266121161</v>
      </c>
      <c r="D94" s="20"/>
      <c r="E94" s="20"/>
      <c r="F94" s="20"/>
      <c r="I94" s="5"/>
      <c r="AC94" s="3"/>
      <c r="AD94" s="18" t="n">
        <v>43131</v>
      </c>
      <c r="AE94" s="62" t="n">
        <v>0.00473727239934226</v>
      </c>
      <c r="AF94" s="3"/>
      <c r="AG94" s="3"/>
      <c r="AH94" s="3"/>
      <c r="AI94" s="3"/>
      <c r="AJ94" s="3"/>
      <c r="AK94" s="3"/>
      <c r="AL94" s="3"/>
      <c r="AM94" s="3"/>
      <c r="AN94" s="3"/>
      <c r="AO94" s="3"/>
      <c r="AP94" s="3"/>
      <c r="AQ94" s="3"/>
    </row>
    <row r="95" s="4" customFormat="true" ht="15" hidden="false" customHeight="false" outlineLevel="0" collapsed="false">
      <c r="A95" s="18" t="n">
        <v>41362</v>
      </c>
      <c r="B95" s="21" t="n">
        <v>15095.51</v>
      </c>
      <c r="C95" s="26" t="n">
        <f aca="false">(B95/B94-1)/(A95-A94)*30</f>
        <v>0.00402938730701959</v>
      </c>
      <c r="D95" s="20"/>
      <c r="E95" s="20"/>
      <c r="F95" s="20"/>
      <c r="I95" s="5"/>
      <c r="AC95" s="3"/>
      <c r="AD95" s="18" t="n">
        <v>43159</v>
      </c>
      <c r="AE95" s="62" t="n">
        <v>0.00378152301954046</v>
      </c>
      <c r="AF95" s="3"/>
      <c r="AG95" s="3"/>
      <c r="AH95" s="3"/>
      <c r="AI95" s="3"/>
      <c r="AJ95" s="3"/>
      <c r="AK95" s="3"/>
      <c r="AL95" s="3"/>
      <c r="AM95" s="3"/>
      <c r="AN95" s="3"/>
      <c r="AO95" s="3"/>
      <c r="AP95" s="3"/>
      <c r="AQ95" s="3"/>
    </row>
    <row r="96" s="4" customFormat="true" ht="15" hidden="false" customHeight="false" outlineLevel="0" collapsed="false">
      <c r="A96" s="18" t="n">
        <v>41394</v>
      </c>
      <c r="B96" s="21" t="n">
        <v>15164.77</v>
      </c>
      <c r="C96" s="26" t="n">
        <f aca="false">(B96/B95-1)/(A96-A95)*30</f>
        <v>0.00430136179565985</v>
      </c>
      <c r="D96" s="20"/>
      <c r="E96" s="20"/>
      <c r="F96" s="20"/>
      <c r="I96" s="5"/>
      <c r="AC96" s="3"/>
      <c r="AD96" s="18" t="n">
        <v>43190</v>
      </c>
      <c r="AE96" s="62" t="n">
        <v>0.00300527511908573</v>
      </c>
      <c r="AF96" s="3"/>
      <c r="AG96" s="3"/>
      <c r="AH96" s="3"/>
      <c r="AI96" s="3"/>
      <c r="AJ96" s="3"/>
      <c r="AK96" s="3"/>
      <c r="AL96" s="3"/>
      <c r="AM96" s="3"/>
      <c r="AN96" s="3"/>
      <c r="AO96" s="3"/>
      <c r="AP96" s="3"/>
      <c r="AQ96" s="3"/>
    </row>
    <row r="97" s="4" customFormat="true" ht="15" hidden="false" customHeight="false" outlineLevel="0" collapsed="false">
      <c r="A97" s="18" t="n">
        <v>41425</v>
      </c>
      <c r="B97" s="21" t="n">
        <v>15230.38</v>
      </c>
      <c r="C97" s="26" t="n">
        <f aca="false">(B97/B96-1)/(A97-A96)*30</f>
        <v>0.00418691139971771</v>
      </c>
      <c r="D97" s="20"/>
      <c r="E97" s="20"/>
      <c r="F97" s="20"/>
      <c r="I97" s="5"/>
      <c r="AC97" s="3"/>
      <c r="AD97" s="18" t="n">
        <v>43220</v>
      </c>
      <c r="AE97" s="62" t="n">
        <v>0.00316130254575997</v>
      </c>
      <c r="AF97" s="3"/>
      <c r="AG97" s="3"/>
      <c r="AH97" s="3"/>
      <c r="AI97" s="3"/>
      <c r="AJ97" s="3"/>
      <c r="AK97" s="3"/>
      <c r="AL97" s="3"/>
      <c r="AM97" s="3"/>
      <c r="AN97" s="3"/>
      <c r="AO97" s="3"/>
      <c r="AP97" s="3"/>
      <c r="AQ97" s="3"/>
    </row>
    <row r="98" s="4" customFormat="true" ht="15" hidden="false" customHeight="false" outlineLevel="0" collapsed="false">
      <c r="A98" s="18" t="n">
        <v>41453</v>
      </c>
      <c r="B98" s="21" t="n">
        <v>15289.74</v>
      </c>
      <c r="C98" s="26" t="n">
        <f aca="false">(B98/B97-1)/(A98-A97)*30</f>
        <v>0.00417586429228964</v>
      </c>
      <c r="D98" s="20"/>
      <c r="E98" s="20"/>
      <c r="F98" s="20"/>
      <c r="I98" s="5"/>
      <c r="AC98" s="3"/>
      <c r="AD98" s="18" t="n">
        <v>43251</v>
      </c>
      <c r="AE98" s="62" t="n">
        <v>0.00310067866389014</v>
      </c>
      <c r="AF98" s="3"/>
      <c r="AG98" s="3"/>
      <c r="AH98" s="3"/>
      <c r="AI98" s="3"/>
      <c r="AJ98" s="3"/>
      <c r="AK98" s="3"/>
      <c r="AL98" s="3"/>
      <c r="AM98" s="3"/>
      <c r="AN98" s="3"/>
      <c r="AO98" s="3"/>
      <c r="AP98" s="3"/>
      <c r="AQ98" s="3"/>
    </row>
    <row r="99" s="4" customFormat="true" ht="15" hidden="false" customHeight="false" outlineLevel="0" collapsed="false">
      <c r="A99" s="18" t="n">
        <v>41486</v>
      </c>
      <c r="B99" s="21" t="n">
        <v>15360.27</v>
      </c>
      <c r="C99" s="26" t="n">
        <f aca="false">(B99/B98-1)/(A99-A98)*30</f>
        <v>0.0041935429783752</v>
      </c>
      <c r="D99" s="20"/>
      <c r="E99" s="20"/>
      <c r="F99" s="20"/>
      <c r="I99" s="5"/>
      <c r="AC99" s="3"/>
      <c r="AD99" s="18" t="n">
        <v>43281</v>
      </c>
      <c r="AE99" s="62" t="n">
        <v>0.00287709140845549</v>
      </c>
      <c r="AF99" s="3"/>
      <c r="AG99" s="3"/>
      <c r="AH99" s="3"/>
      <c r="AI99" s="3"/>
      <c r="AJ99" s="3"/>
      <c r="AK99" s="3"/>
      <c r="AL99" s="3"/>
      <c r="AM99" s="3"/>
      <c r="AN99" s="3"/>
      <c r="AO99" s="3"/>
      <c r="AP99" s="3"/>
      <c r="AQ99" s="3"/>
    </row>
    <row r="100" s="4" customFormat="true" ht="15" hidden="false" customHeight="false" outlineLevel="0" collapsed="false">
      <c r="A100" s="18" t="n">
        <v>41516</v>
      </c>
      <c r="B100" s="21" t="n">
        <v>15424.43</v>
      </c>
      <c r="C100" s="26" t="n">
        <f aca="false">(B100/B99-1)/(A100-A99)*30</f>
        <v>0.00417700990933101</v>
      </c>
      <c r="D100" s="20"/>
      <c r="E100" s="20"/>
      <c r="F100" s="20"/>
      <c r="I100" s="5"/>
      <c r="AD100" s="18" t="n">
        <v>43312</v>
      </c>
      <c r="AE100" s="62" t="n">
        <v>0.00279025405786912</v>
      </c>
      <c r="AF100" s="3"/>
      <c r="AG100" s="3"/>
      <c r="AH100" s="3"/>
      <c r="AI100" s="3"/>
      <c r="AJ100" s="3"/>
      <c r="AK100" s="3"/>
      <c r="AL100" s="3"/>
      <c r="AM100" s="3"/>
      <c r="AN100" s="3"/>
      <c r="AO100" s="3"/>
      <c r="AP100" s="3"/>
      <c r="AQ100" s="3"/>
    </row>
    <row r="101" s="4" customFormat="true" ht="15" hidden="false" customHeight="false" outlineLevel="0" collapsed="false">
      <c r="A101" s="18" t="n">
        <v>41547</v>
      </c>
      <c r="B101" s="21" t="n">
        <v>15490.99</v>
      </c>
      <c r="C101" s="26" t="n">
        <f aca="false">(B101/B100-1)/(A101-A100)*30</f>
        <v>0.00417603134934674</v>
      </c>
      <c r="D101" s="20"/>
      <c r="E101" s="20"/>
      <c r="F101" s="20"/>
      <c r="I101" s="5"/>
      <c r="AD101" s="18" t="n">
        <v>43343</v>
      </c>
      <c r="AE101" s="62" t="n">
        <v>0.00269722002207049</v>
      </c>
    </row>
    <row r="102" s="4" customFormat="true" ht="15" hidden="false" customHeight="false" outlineLevel="0" collapsed="false">
      <c r="A102" s="18" t="n">
        <v>41578</v>
      </c>
      <c r="B102" s="21" t="n">
        <v>15554.36</v>
      </c>
      <c r="C102" s="26" t="n">
        <f aca="false">(B102/B101-1)/(A102-A101)*30</f>
        <v>0.00395880485699199</v>
      </c>
      <c r="D102" s="20"/>
      <c r="E102" s="20"/>
      <c r="F102" s="20"/>
      <c r="I102" s="5"/>
      <c r="AD102" s="18" t="n">
        <v>43373</v>
      </c>
      <c r="AE102" s="62" t="n">
        <v>0.00294678677406712</v>
      </c>
    </row>
    <row r="103" s="4" customFormat="true" ht="15" hidden="false" customHeight="false" outlineLevel="0" collapsed="false">
      <c r="A103" s="18" t="n">
        <v>41607</v>
      </c>
      <c r="B103" s="21" t="n">
        <v>15615.06</v>
      </c>
      <c r="C103" s="26" t="n">
        <f aca="false">(B103/B102-1)/(A103-A102)*30</f>
        <v>0.00403700978042654</v>
      </c>
      <c r="D103" s="20"/>
      <c r="E103" s="20"/>
      <c r="F103" s="20"/>
      <c r="I103" s="5"/>
      <c r="AD103" s="18" t="n">
        <v>43404</v>
      </c>
      <c r="AE103" s="62" t="n">
        <v>0.00273411579812808</v>
      </c>
    </row>
    <row r="104" s="4" customFormat="true" ht="15" hidden="false" customHeight="false" outlineLevel="0" collapsed="false">
      <c r="A104" s="18" t="n">
        <v>41639</v>
      </c>
      <c r="B104" s="21" t="n">
        <v>15675.68</v>
      </c>
      <c r="C104" s="26" t="n">
        <f aca="false">(B104/B103-1)/(A104-A103)*30</f>
        <v>0.00363951531406219</v>
      </c>
      <c r="D104" s="20"/>
      <c r="E104" s="20"/>
      <c r="F104" s="20"/>
      <c r="I104" s="5"/>
      <c r="AD104" s="18" t="n">
        <v>43434</v>
      </c>
      <c r="AE104" s="62" t="n">
        <v>0.00284409288655185</v>
      </c>
    </row>
    <row r="105" s="4" customFormat="true" ht="15" hidden="false" customHeight="false" outlineLevel="0" collapsed="false">
      <c r="A105" s="18" t="n">
        <v>41670</v>
      </c>
      <c r="B105" s="21" t="n">
        <v>15738.45</v>
      </c>
      <c r="C105" s="26" t="n">
        <f aca="false">(B105/B104-1)/(A105-A104)*30</f>
        <v>0.0038751212891769</v>
      </c>
      <c r="D105" s="20"/>
      <c r="E105" s="20"/>
      <c r="F105" s="20"/>
      <c r="I105" s="5"/>
      <c r="AD105" s="18" t="n">
        <v>43465</v>
      </c>
      <c r="AE105" s="62" t="n">
        <v>0.00262659891580654</v>
      </c>
    </row>
    <row r="106" s="4" customFormat="true" ht="15" hidden="false" customHeight="false" outlineLevel="0" collapsed="false">
      <c r="A106" s="18" t="n">
        <v>41698</v>
      </c>
      <c r="B106" s="21" t="n">
        <v>15792.47</v>
      </c>
      <c r="C106" s="26" t="n">
        <f aca="false">(B106/B105-1)/(A106-A105)*30</f>
        <v>0.00367752678494823</v>
      </c>
      <c r="D106" s="20"/>
      <c r="E106" s="20"/>
      <c r="F106" s="20"/>
      <c r="I106" s="5"/>
      <c r="AD106" s="18" t="n">
        <v>43496</v>
      </c>
      <c r="AE106" s="62" t="n">
        <v>0.00281430328228941</v>
      </c>
    </row>
    <row r="107" s="4" customFormat="true" ht="15" hidden="false" customHeight="false" outlineLevel="0" collapsed="false">
      <c r="A107" s="18" t="n">
        <v>41729</v>
      </c>
      <c r="B107" s="21" t="n">
        <v>15848.53</v>
      </c>
      <c r="C107" s="26" t="n">
        <f aca="false">(B107/B106-1)/(A107-A106)*30</f>
        <v>0.00343528358155682</v>
      </c>
      <c r="D107" s="20"/>
      <c r="E107" s="20"/>
      <c r="F107" s="20"/>
      <c r="I107" s="5"/>
      <c r="AD107" s="18" t="n">
        <v>43524</v>
      </c>
      <c r="AE107" s="62" t="n">
        <v>0.00282360638687196</v>
      </c>
    </row>
    <row r="108" s="4" customFormat="true" ht="15" hidden="false" customHeight="false" outlineLevel="0" collapsed="false">
      <c r="A108" s="18" t="n">
        <v>41759</v>
      </c>
      <c r="B108" s="21" t="n">
        <v>15901.43</v>
      </c>
      <c r="C108" s="26" t="n">
        <f aca="false">(B108/B107-1)/(A108-A107)*30</f>
        <v>0.00333784899924461</v>
      </c>
      <c r="D108" s="20"/>
      <c r="E108" s="20"/>
      <c r="F108" s="20"/>
      <c r="I108" s="5"/>
      <c r="AD108" s="18" t="n">
        <v>43555</v>
      </c>
      <c r="AE108" s="62" t="n">
        <v>0.00286536279403882</v>
      </c>
    </row>
    <row r="109" s="4" customFormat="true" ht="15" hidden="false" customHeight="false" outlineLevel="0" collapsed="false">
      <c r="A109" s="18" t="n">
        <v>41789</v>
      </c>
      <c r="B109" s="21" t="n">
        <v>15954.5</v>
      </c>
      <c r="C109" s="26" t="n">
        <f aca="false">(B109/B108-1)/(A109-A108)*30</f>
        <v>0.0033374356897462</v>
      </c>
      <c r="D109" s="20"/>
      <c r="E109" s="20"/>
      <c r="F109" s="20"/>
      <c r="I109" s="5"/>
      <c r="AD109" s="18" t="n">
        <v>43585</v>
      </c>
      <c r="AE109" s="62" t="n">
        <v>0.00293240905161363</v>
      </c>
    </row>
    <row r="110" s="4" customFormat="true" ht="15" hidden="false" customHeight="false" outlineLevel="0" collapsed="false">
      <c r="A110" s="18" t="n">
        <v>41820</v>
      </c>
      <c r="B110" s="21" t="n">
        <v>16009.53</v>
      </c>
      <c r="C110" s="26" t="n">
        <f aca="false">(B110/B109-1)/(A110-A109)*30</f>
        <v>0.00333791962829792</v>
      </c>
      <c r="D110" s="20"/>
      <c r="E110" s="20"/>
      <c r="F110" s="20"/>
      <c r="I110" s="5"/>
    </row>
    <row r="111" s="4" customFormat="true" ht="15" hidden="false" customHeight="false" outlineLevel="0" collapsed="false">
      <c r="A111" s="18" t="n">
        <v>41851</v>
      </c>
      <c r="B111" s="21" t="n">
        <v>16063.18</v>
      </c>
      <c r="C111" s="26" t="n">
        <f aca="false">(B111/B110-1)/(A111-A110)*30</f>
        <v>0.00324302804883782</v>
      </c>
      <c r="D111" s="20"/>
      <c r="E111" s="20"/>
      <c r="F111" s="20"/>
      <c r="I111" s="5"/>
    </row>
    <row r="112" s="4" customFormat="true" ht="15" hidden="false" customHeight="false" outlineLevel="0" collapsed="false">
      <c r="A112" s="18" t="n">
        <v>41880</v>
      </c>
      <c r="B112" s="21" t="n">
        <v>16110.55</v>
      </c>
      <c r="C112" s="26" t="n">
        <f aca="false">(B112/B111-1)/(A112-A111)*30</f>
        <v>0.00305066918728811</v>
      </c>
      <c r="D112" s="20"/>
      <c r="E112" s="20"/>
      <c r="F112" s="20"/>
      <c r="I112" s="5"/>
    </row>
    <row r="113" s="4" customFormat="true" ht="15" hidden="false" customHeight="false" outlineLevel="0" collapsed="false">
      <c r="A113" s="18" t="n">
        <v>41912</v>
      </c>
      <c r="B113" s="21" t="n">
        <v>16158.37</v>
      </c>
      <c r="C113" s="26" t="n">
        <f aca="false">(B113/B112-1)/(A113-A112)*30</f>
        <v>0.0027827262259824</v>
      </c>
      <c r="D113" s="20"/>
      <c r="E113" s="20"/>
      <c r="F113" s="20"/>
      <c r="I113" s="5"/>
    </row>
    <row r="114" s="4" customFormat="true" ht="15" hidden="false" customHeight="false" outlineLevel="0" collapsed="false">
      <c r="A114" s="18" t="n">
        <v>41943</v>
      </c>
      <c r="B114" s="21" t="n">
        <v>16200.86</v>
      </c>
      <c r="C114" s="26" t="n">
        <f aca="false">(B114/B113-1)/(A114-A113)*30</f>
        <v>0.00254477121384836</v>
      </c>
      <c r="D114" s="20"/>
      <c r="E114" s="20"/>
      <c r="F114" s="20"/>
      <c r="I114" s="5"/>
    </row>
    <row r="115" s="4" customFormat="true" ht="15" hidden="false" customHeight="false" outlineLevel="0" collapsed="false">
      <c r="A115" s="18" t="n">
        <v>41971</v>
      </c>
      <c r="B115" s="21" t="n">
        <v>16240.11</v>
      </c>
      <c r="C115" s="26" t="n">
        <f aca="false">(B115/B114-1)/(A115-A114)*30</f>
        <v>0.00259576167120579</v>
      </c>
      <c r="D115" s="20"/>
      <c r="E115" s="20"/>
      <c r="F115" s="20"/>
      <c r="I115" s="5"/>
    </row>
    <row r="116" s="4" customFormat="true" ht="15" hidden="false" customHeight="false" outlineLevel="0" collapsed="false">
      <c r="A116" s="18" t="n">
        <v>42004</v>
      </c>
      <c r="B116" s="21" t="n">
        <v>16283.49</v>
      </c>
      <c r="C116" s="26" t="n">
        <f aca="false">(B116/B115-1)/(A116-A115)*30</f>
        <v>0.00242833106649904</v>
      </c>
      <c r="D116" s="20"/>
      <c r="E116" s="20"/>
      <c r="F116" s="20"/>
      <c r="I116" s="5"/>
    </row>
    <row r="117" s="4" customFormat="true" ht="15" hidden="false" customHeight="false" outlineLevel="0" collapsed="false">
      <c r="A117" s="18" t="n">
        <v>42034</v>
      </c>
      <c r="B117" s="21" t="n">
        <v>16325.65</v>
      </c>
      <c r="C117" s="26" t="n">
        <f aca="false">(B117/B116-1)/(A117-A116)*30</f>
        <v>0.00258912554986668</v>
      </c>
      <c r="D117" s="20"/>
      <c r="E117" s="20"/>
      <c r="F117" s="20"/>
      <c r="I117" s="5"/>
    </row>
    <row r="118" customFormat="false" ht="15" hidden="false" customHeight="false" outlineLevel="0" collapsed="false">
      <c r="A118" s="18" t="n">
        <v>42062</v>
      </c>
      <c r="B118" s="21" t="n">
        <v>16363.77</v>
      </c>
      <c r="C118" s="26" t="n">
        <f aca="false">(B118/B117-1)/(A118-A117)*30</f>
        <v>0.00250175993867666</v>
      </c>
      <c r="D118" s="20"/>
      <c r="E118" s="20"/>
      <c r="F118" s="20"/>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row>
    <row r="119" customFormat="false" ht="15" hidden="false" customHeight="false" outlineLevel="0" collapsed="false">
      <c r="A119" s="18" t="n">
        <v>42094</v>
      </c>
      <c r="B119" s="21" t="n">
        <v>16407.49</v>
      </c>
      <c r="C119" s="26" t="n">
        <f aca="false">(B119/B118-1)/(A119-A118)*30</f>
        <v>0.00250477121103515</v>
      </c>
      <c r="D119" s="20"/>
      <c r="E119" s="20"/>
      <c r="F119" s="20"/>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8" t="n">
        <v>42124</v>
      </c>
      <c r="B120" s="21" t="n">
        <v>16448.59</v>
      </c>
      <c r="C120" s="26" t="n">
        <f aca="false">(B120/B119-1)/(A120-A119)*30</f>
        <v>0.00250495353036917</v>
      </c>
      <c r="D120" s="20"/>
      <c r="E120" s="20"/>
      <c r="F120" s="20"/>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8" t="n">
        <v>42153</v>
      </c>
      <c r="B121" s="21" t="n">
        <v>16488.37</v>
      </c>
      <c r="C121" s="26" t="n">
        <f aca="false">(B121/B120-1)/(A121-A120)*30</f>
        <v>0.00250183901099918</v>
      </c>
      <c r="D121" s="20"/>
      <c r="E121" s="20"/>
      <c r="F121" s="20"/>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8" t="n">
        <v>42185</v>
      </c>
      <c r="B122" s="21" t="n">
        <v>16532.38</v>
      </c>
      <c r="C122" s="26" t="n">
        <f aca="false">(B122/B121-1)/(A122-A121)*30</f>
        <v>0.00250233194669942</v>
      </c>
      <c r="D122" s="20"/>
      <c r="E122" s="20"/>
      <c r="F122" s="20"/>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8" t="n">
        <v>42216</v>
      </c>
      <c r="B123" s="21" t="n">
        <v>16575.11</v>
      </c>
      <c r="C123" s="26" t="n">
        <f aca="false">(B123/B122-1)/(A123-A122)*30</f>
        <v>0.00250124984444025</v>
      </c>
      <c r="D123" s="20"/>
      <c r="E123" s="20"/>
      <c r="F123" s="20"/>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8" t="n">
        <v>42247</v>
      </c>
      <c r="B124" s="21" t="n">
        <v>16617.94</v>
      </c>
      <c r="C124" s="26" t="n">
        <f aca="false">(B124/B123-1)/(A124-A123)*30</f>
        <v>0.00250064024291679</v>
      </c>
      <c r="D124" s="20"/>
      <c r="E124" s="20"/>
      <c r="F124" s="20"/>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8" t="n">
        <v>42277</v>
      </c>
      <c r="B125" s="21" t="n">
        <v>16659.58</v>
      </c>
      <c r="C125" s="26" t="n">
        <f aca="false">(B125/B124-1)/(A125-A124)*30</f>
        <v>0.00250572573977292</v>
      </c>
      <c r="D125" s="20"/>
      <c r="E125" s="20"/>
      <c r="F125" s="20"/>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8" t="n">
        <v>42307</v>
      </c>
      <c r="B126" s="21" t="n">
        <v>16702.94</v>
      </c>
      <c r="C126" s="26" t="n">
        <f aca="false">(B126/B125-1)/(A126-A125)*30</f>
        <v>0.00260270667087625</v>
      </c>
      <c r="D126" s="20"/>
      <c r="E126" s="20"/>
      <c r="F126" s="20"/>
      <c r="O126" s="4"/>
      <c r="P126" s="4"/>
      <c r="Q126" s="4"/>
      <c r="R126" s="4"/>
      <c r="S126" s="4"/>
      <c r="T126" s="4"/>
      <c r="U126" s="4"/>
      <c r="V126" s="4"/>
      <c r="W126" s="4"/>
      <c r="X126" s="4"/>
      <c r="Y126" s="4"/>
      <c r="Z126" s="4"/>
      <c r="AA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8" t="n">
        <v>42338</v>
      </c>
      <c r="B127" s="21" t="n">
        <v>16749.75</v>
      </c>
      <c r="C127" s="26" t="n">
        <f aca="false">(B127/B126-1)/(A127-A126)*30</f>
        <v>0.00271209739123785</v>
      </c>
      <c r="D127" s="20"/>
      <c r="E127" s="20"/>
      <c r="F127" s="18"/>
      <c r="O127" s="4"/>
      <c r="P127" s="4"/>
      <c r="Q127" s="4"/>
      <c r="R127" s="4"/>
      <c r="S127" s="4"/>
      <c r="T127" s="4"/>
      <c r="U127" s="4"/>
      <c r="V127" s="4"/>
      <c r="W127" s="4"/>
      <c r="X127" s="4"/>
      <c r="Y127" s="4"/>
      <c r="Z127" s="4"/>
      <c r="AA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8" t="n">
        <v>42369</v>
      </c>
      <c r="B128" s="21" t="n">
        <v>16796.52</v>
      </c>
      <c r="C128" s="26" t="n">
        <f aca="false">(B128/B127-1)/(A128-A127)*30</f>
        <v>0.00270220691786938</v>
      </c>
      <c r="D128" s="20"/>
      <c r="E128" s="20"/>
      <c r="F128" s="18" t="n">
        <v>42369</v>
      </c>
      <c r="K128" s="4" t="n">
        <v>997.096492585025</v>
      </c>
      <c r="O128" s="4"/>
      <c r="P128" s="4"/>
      <c r="Q128" s="4"/>
      <c r="R128" s="4"/>
      <c r="S128" s="4"/>
      <c r="T128" s="4"/>
      <c r="U128" s="4"/>
      <c r="V128" s="4"/>
      <c r="W128" s="4"/>
      <c r="X128" s="4"/>
      <c r="Y128" s="4"/>
      <c r="Z128" s="4"/>
      <c r="AA128" s="4"/>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8" t="n">
        <v>42398</v>
      </c>
      <c r="B129" s="21" t="n">
        <v>16845.59</v>
      </c>
      <c r="C129" s="26" t="n">
        <f aca="false">(B129/B128-1)/(A129-A128)*30</f>
        <v>0.00302217774667121</v>
      </c>
      <c r="D129" s="20"/>
      <c r="E129" s="20"/>
      <c r="F129" s="18" t="n">
        <v>42400</v>
      </c>
      <c r="K129" s="4" t="n">
        <v>999.91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8" t="n">
        <v>42429</v>
      </c>
      <c r="B130" s="21" t="n">
        <v>16896.43</v>
      </c>
      <c r="C130" s="26" t="n">
        <f aca="false">(B130/B129-1)/(A130-A129)*30</f>
        <v>0.00292064570015064</v>
      </c>
      <c r="D130" s="20"/>
      <c r="E130" s="20"/>
      <c r="F130" s="18" t="n">
        <v>42428</v>
      </c>
      <c r="K130" s="4" t="n">
        <v>1003.0557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8" t="n">
        <v>42460</v>
      </c>
      <c r="B131" s="21" t="n">
        <v>16947.43</v>
      </c>
      <c r="C131" s="26" t="n">
        <f aca="false">(B131/B130-1)/(A131-A130)*30</f>
        <v>0.00292102170160664</v>
      </c>
      <c r="D131" s="20"/>
      <c r="E131" s="20"/>
      <c r="F131" s="18" t="n">
        <v>42460</v>
      </c>
      <c r="K131" s="4" t="n">
        <v>1006.748</v>
      </c>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8" t="n">
        <v>42489</v>
      </c>
      <c r="B132" s="21" t="n">
        <v>16995.27</v>
      </c>
      <c r="C132" s="26" t="n">
        <f aca="false">(B132/B131-1)/(A132-A131)*30</f>
        <v>0.0029201864337197</v>
      </c>
      <c r="D132" s="20"/>
      <c r="F132" s="18" t="n">
        <v>42490</v>
      </c>
      <c r="K132" s="4" t="n">
        <v>1010.1901</v>
      </c>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8" t="n">
        <v>42521</v>
      </c>
      <c r="B133" s="21" t="n">
        <v>17048.23</v>
      </c>
      <c r="C133" s="26" t="n">
        <f aca="false">(B133/B132-1)/(A133-A132)*30</f>
        <v>0.00292140107218071</v>
      </c>
      <c r="D133" s="20"/>
      <c r="F133" s="18" t="n">
        <f aca="false">+A133</f>
        <v>42521</v>
      </c>
      <c r="G133" s="63"/>
      <c r="H133" s="63"/>
      <c r="J133" s="19"/>
      <c r="K133" s="4" t="n">
        <v>1013.6123</v>
      </c>
      <c r="L133" s="26" t="n">
        <f aca="false">+(K133/K132-1)/(F133-F132)*30</f>
        <v>0.00327839923556257</v>
      </c>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8" t="n">
        <v>42551</v>
      </c>
      <c r="B134" s="21" t="n">
        <v>17098.02</v>
      </c>
      <c r="C134" s="26" t="n">
        <f aca="false">(B134/B133-1)/(A134-A133)*30</f>
        <v>0.00292053779189994</v>
      </c>
      <c r="D134" s="20"/>
      <c r="F134" s="18" t="n">
        <f aca="false">+A134</f>
        <v>42551</v>
      </c>
      <c r="H134" s="63"/>
      <c r="I134" s="26"/>
      <c r="J134" s="19"/>
      <c r="K134" s="4" t="n">
        <v>1016.7787</v>
      </c>
      <c r="L134" s="26" t="n">
        <f aca="false">+(K134/K133-1)/(F134-F133)*30</f>
        <v>0.00312387685113924</v>
      </c>
      <c r="M134" s="20"/>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8" t="n">
        <v>42582</v>
      </c>
      <c r="B135" s="64" t="n">
        <v>17149.23</v>
      </c>
      <c r="C135" s="26" t="n">
        <f aca="false">(B135/B134-1)/(A135-A134)*30</f>
        <v>0.00289846803993268</v>
      </c>
      <c r="D135" s="20"/>
      <c r="F135" s="18" t="n">
        <f aca="false">+A135</f>
        <v>42582</v>
      </c>
      <c r="H135" s="63"/>
      <c r="I135" s="26"/>
      <c r="J135" s="19"/>
      <c r="K135" s="4" t="n">
        <v>1020.0427</v>
      </c>
      <c r="L135" s="26" t="n">
        <f aca="false">+(K135/K134-1)/(F135-F134)*30</f>
        <v>0.00310658521605472</v>
      </c>
      <c r="M135" s="20"/>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8" t="n">
        <v>42613</v>
      </c>
      <c r="B136" s="21" t="n">
        <v>17201.38</v>
      </c>
      <c r="C136" s="26" t="n">
        <f aca="false">(B136/B135-1)/(A136-A135)*30</f>
        <v>0.00294285760558838</v>
      </c>
      <c r="D136" s="20"/>
      <c r="F136" s="18" t="n">
        <f aca="false">+A136</f>
        <v>42613</v>
      </c>
      <c r="H136" s="63"/>
      <c r="I136" s="26"/>
      <c r="J136" s="19"/>
      <c r="K136" s="4" t="n">
        <v>1023.2554</v>
      </c>
      <c r="L136" s="26" t="n">
        <f aca="false">+(K136/K135-1)/(F136-F135)*30</f>
        <v>0.00304797487019808</v>
      </c>
      <c r="M136" s="20"/>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8" t="n">
        <f aca="false">+A136+30</f>
        <v>42643</v>
      </c>
      <c r="B137" s="21" t="n">
        <v>17251.61</v>
      </c>
      <c r="C137" s="26" t="n">
        <f aca="false">(B137/B136-1)/(A137-A136)*30</f>
        <v>0.00292011454894903</v>
      </c>
      <c r="D137" s="20"/>
      <c r="F137" s="18" t="n">
        <f aca="false">+A137</f>
        <v>42643</v>
      </c>
      <c r="H137" s="63"/>
      <c r="I137" s="26"/>
      <c r="J137" s="19"/>
      <c r="K137" s="4" t="n">
        <v>1026.3402</v>
      </c>
      <c r="L137" s="26" t="n">
        <f aca="false">+(K137/K136-1)/(F137-F136)*30</f>
        <v>0.00301469212867089</v>
      </c>
      <c r="M137" s="20"/>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8" t="n">
        <v>42674</v>
      </c>
      <c r="B138" s="21" t="n">
        <v>17303.68</v>
      </c>
      <c r="C138" s="26" t="n">
        <f aca="false">(B138/B137-1)/(A138-A137)*30</f>
        <v>0.00292090550277028</v>
      </c>
      <c r="D138" s="20"/>
      <c r="F138" s="18" t="n">
        <f aca="false">+A138</f>
        <v>42674</v>
      </c>
      <c r="H138" s="63"/>
      <c r="I138" s="26"/>
      <c r="J138" s="19"/>
      <c r="K138" s="4" t="n">
        <v>1029.5221</v>
      </c>
      <c r="L138" s="26" t="n">
        <f aca="false">+(K138/K137-1)/(F138-F137)*30</f>
        <v>0.00300023137017924</v>
      </c>
      <c r="M138" s="20"/>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8" t="n">
        <v>42704</v>
      </c>
      <c r="B139" s="21" t="n">
        <v>17354.21</v>
      </c>
      <c r="C139" s="26" t="n">
        <f aca="false">(B139/B138-1)/(A139-A138)*30</f>
        <v>0.00292018807560002</v>
      </c>
      <c r="D139" s="20"/>
      <c r="F139" s="18" t="n">
        <f aca="false">+A139</f>
        <v>42704</v>
      </c>
      <c r="H139" s="63"/>
      <c r="I139" s="26"/>
      <c r="J139" s="19"/>
      <c r="K139" s="4" t="n">
        <v>1032.6171</v>
      </c>
      <c r="L139" s="26" t="n">
        <f aca="false">+(K139/K138-1)/(F139-F138)*30</f>
        <v>0.00300624921019188</v>
      </c>
      <c r="M139" s="20"/>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8" t="n">
        <v>42735</v>
      </c>
      <c r="B140" s="21" t="n">
        <v>17406.97</v>
      </c>
      <c r="C140" s="26" t="n">
        <f aca="false">(B140/B139-1)/(A140-A139)*30</f>
        <v>0.00294211401821993</v>
      </c>
      <c r="D140" s="20"/>
      <c r="F140" s="18" t="n">
        <f aca="false">+A140</f>
        <v>42735</v>
      </c>
      <c r="H140" s="63"/>
      <c r="I140" s="26"/>
      <c r="J140" s="19"/>
      <c r="K140" s="4" t="n">
        <v>1035.8294</v>
      </c>
      <c r="L140" s="26" t="n">
        <f aca="false">+(K140/K139-1)/(F140-F139)*30</f>
        <v>0.0030104841565716</v>
      </c>
      <c r="M140" s="20"/>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8" t="n">
        <v>42766</v>
      </c>
      <c r="B141" s="21" t="n">
        <v>17457.39</v>
      </c>
      <c r="C141" s="26" t="n">
        <f aca="false">(B141/B140-1)/(A141-A140)*30</f>
        <v>0.00280310406619276</v>
      </c>
      <c r="D141" s="20"/>
      <c r="F141" s="18" t="n">
        <f aca="false">+A141</f>
        <v>42766</v>
      </c>
      <c r="I141" s="26"/>
      <c r="J141" s="19"/>
      <c r="K141" s="4" t="n">
        <v>1039.2621</v>
      </c>
      <c r="L141" s="26" t="n">
        <f aca="false">+(K141/K140-1)/(F141-F140)*30</f>
        <v>0.00320706068193795</v>
      </c>
      <c r="M141" s="20"/>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8" t="n">
        <v>42794</v>
      </c>
      <c r="B142" s="21" t="n">
        <v>17501.06</v>
      </c>
      <c r="C142" s="26" t="n">
        <f aca="false">(B142/B141-1)/(A142-A141)*30</f>
        <v>0.00268019937197288</v>
      </c>
      <c r="D142" s="20"/>
      <c r="F142" s="18" t="n">
        <f aca="false">+A142</f>
        <v>42794</v>
      </c>
      <c r="I142" s="26"/>
      <c r="J142" s="19"/>
      <c r="K142" s="4" t="n">
        <v>1042.1611</v>
      </c>
      <c r="L142" s="26" t="n">
        <f aca="false">+(K142/K141-1)/(F142-F141)*30</f>
        <v>0.00298872770263771</v>
      </c>
      <c r="M142" s="20"/>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8" t="n">
        <v>42825</v>
      </c>
      <c r="B143" s="21" t="n">
        <v>17548.35</v>
      </c>
      <c r="C143" s="26" t="n">
        <f aca="false">(B143/B142-1)/(A143-A142)*30</f>
        <v>0.00261495681570322</v>
      </c>
      <c r="D143" s="20"/>
      <c r="F143" s="18" t="n">
        <f aca="false">+A143</f>
        <v>42825</v>
      </c>
      <c r="I143" s="26"/>
      <c r="J143" s="19"/>
      <c r="K143" s="4" t="n">
        <v>1045.2075</v>
      </c>
      <c r="L143" s="26" t="n">
        <f aca="false">+(K143/K142-1)/(F143-F142)*30</f>
        <v>0.00282886113505676</v>
      </c>
      <c r="M143" s="20"/>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8" t="n">
        <v>42855</v>
      </c>
      <c r="B144" s="21" t="n">
        <v>17587.92</v>
      </c>
      <c r="C144" s="26" t="n">
        <f aca="false">(B144/B143-1)/(A144-A143)*30</f>
        <v>0.00225491285505464</v>
      </c>
      <c r="D144" s="20"/>
      <c r="F144" s="18" t="n">
        <f aca="false">+A144</f>
        <v>42855</v>
      </c>
      <c r="I144" s="26"/>
      <c r="J144" s="19"/>
      <c r="K144" s="4" t="n">
        <v>1047.9294</v>
      </c>
      <c r="L144" s="26" t="n">
        <f aca="false">+(K144/K143-1)/(F144-F143)*30</f>
        <v>0.0026041718988814</v>
      </c>
      <c r="M144" s="20"/>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8" t="n">
        <v>42886</v>
      </c>
      <c r="B145" s="21" t="n">
        <v>17630.79</v>
      </c>
      <c r="C145" s="26" t="n">
        <f aca="false">(B145/B144-1)/(A145-A144)*30</f>
        <v>0.00235884042991986</v>
      </c>
      <c r="D145" s="20"/>
      <c r="F145" s="18" t="n">
        <f aca="false">+A145</f>
        <v>42886</v>
      </c>
      <c r="I145" s="26"/>
      <c r="J145" s="19"/>
      <c r="K145" s="4" t="n">
        <v>1050.5427</v>
      </c>
      <c r="L145" s="26" t="n">
        <f aca="false">+(K145/K144-1)/(F145-F144)*30</f>
        <v>0.00241333051634974</v>
      </c>
      <c r="M145" s="20"/>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8" t="n">
        <v>42916</v>
      </c>
      <c r="B146" s="21" t="n">
        <v>17667.59</v>
      </c>
      <c r="C146" s="26" t="n">
        <f aca="false">(B146/B145-1)/(A146-A145)*30</f>
        <v>0.00208725757609263</v>
      </c>
      <c r="D146" s="20"/>
      <c r="F146" s="18" t="n">
        <f aca="false">+A146</f>
        <v>42916</v>
      </c>
      <c r="I146" s="26"/>
      <c r="J146" s="19"/>
      <c r="K146" s="4" t="n">
        <v>1052.9694</v>
      </c>
      <c r="L146" s="26" t="n">
        <f aca="false">+(K146/K145-1)/(F146-F145)*30</f>
        <v>0.00230994894353165</v>
      </c>
      <c r="M146" s="20"/>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8" t="n">
        <v>42947</v>
      </c>
      <c r="B147" s="21" t="n">
        <v>17705.69</v>
      </c>
      <c r="C147" s="26" t="n">
        <f aca="false">(B147/B146-1)/(A147-A146)*30</f>
        <v>0.00208692683846153</v>
      </c>
      <c r="D147" s="20"/>
      <c r="F147" s="18" t="n">
        <f aca="false">+A147</f>
        <v>42947</v>
      </c>
      <c r="I147" s="26"/>
      <c r="J147" s="19"/>
      <c r="K147" s="4" t="n">
        <v>1055.2846</v>
      </c>
      <c r="L147" s="26" t="n">
        <f aca="false">+(K147/K146-1)/(F147-F146)*30</f>
        <v>0.00212780744533713</v>
      </c>
      <c r="M147" s="20"/>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8" t="n">
        <v>42978</v>
      </c>
      <c r="B148" s="21" t="n">
        <v>17743.83</v>
      </c>
      <c r="C148" s="26" t="n">
        <f aca="false">(B148/B147-1)/(A148-A147)*30</f>
        <v>0.00208462236825332</v>
      </c>
      <c r="D148" s="20"/>
      <c r="F148" s="18" t="n">
        <f aca="false">+A148</f>
        <v>42978</v>
      </c>
      <c r="I148" s="26"/>
      <c r="J148" s="19"/>
      <c r="K148" s="4" t="n">
        <v>1057.4719</v>
      </c>
      <c r="L148" s="26" t="n">
        <f aca="false">+(K148/K147-1)/(F148-F147)*30</f>
        <v>0.00200584935616781</v>
      </c>
      <c r="M148" s="20"/>
      <c r="AD148" s="4"/>
      <c r="AE148" s="4"/>
      <c r="AF148" s="4"/>
      <c r="AG148" s="4"/>
      <c r="AH148" s="4"/>
      <c r="AI148" s="4"/>
      <c r="AJ148" s="4"/>
      <c r="AK148" s="4"/>
      <c r="AL148" s="4"/>
      <c r="AM148" s="4"/>
      <c r="AN148" s="4"/>
      <c r="AO148" s="4"/>
      <c r="AP148" s="4"/>
      <c r="AQ148" s="4"/>
    </row>
    <row r="149" customFormat="false" ht="15" hidden="false" customHeight="false" outlineLevel="0" collapsed="false">
      <c r="A149" s="18" t="n">
        <v>43008</v>
      </c>
      <c r="B149" s="21" t="n">
        <v>17780.7817</v>
      </c>
      <c r="C149" s="26" t="n">
        <f aca="false">(B149/B148-1)/(A149-A148)*30</f>
        <v>0.00208250980763447</v>
      </c>
      <c r="D149" s="20"/>
      <c r="F149" s="18" t="n">
        <v>43008</v>
      </c>
      <c r="I149" s="26"/>
      <c r="J149" s="19"/>
      <c r="K149" s="4" t="n">
        <v>1059.5996</v>
      </c>
      <c r="L149" s="26" t="n">
        <f aca="false">+(K149/K148-1)/(F149-F148)*30</f>
        <v>0.00201206292101008</v>
      </c>
      <c r="M149" s="20"/>
    </row>
    <row r="150" customFormat="false" ht="15" hidden="false" customHeight="false" outlineLevel="0" collapsed="false">
      <c r="A150" s="18" t="n">
        <v>43039</v>
      </c>
      <c r="B150" s="3" t="n">
        <v>17819.15</v>
      </c>
      <c r="C150" s="26" t="n">
        <f aca="false">(B150/B149-1)/(A150-A149)*30</f>
        <v>0.00208824412389173</v>
      </c>
      <c r="D150" s="20"/>
      <c r="F150" s="18" t="n">
        <v>43039</v>
      </c>
      <c r="I150" s="26"/>
      <c r="J150" s="19"/>
      <c r="K150" s="4" t="n">
        <v>1061.7911</v>
      </c>
      <c r="L150" s="26" t="n">
        <f aca="false">+(K150/K149-1)/(F150-F149)*30</f>
        <v>0.00200151684807424</v>
      </c>
      <c r="M150" s="20"/>
      <c r="S150" s="3" t="s">
        <v>38</v>
      </c>
    </row>
    <row r="151" customFormat="false" ht="15" hidden="false" customHeight="false" outlineLevel="0" collapsed="false">
      <c r="A151" s="18" t="n">
        <v>43069</v>
      </c>
      <c r="B151" s="3" t="n">
        <f aca="false">+VLOOKUP(A151,[2]Simple!$A$3790:$B$3818,2)</f>
        <v>17856.32</v>
      </c>
      <c r="C151" s="26" t="n">
        <f aca="false">(B151/B150-1)/(A151-A150)*30</f>
        <v>0.00208595808442036</v>
      </c>
      <c r="D151" s="20"/>
      <c r="F151" s="18" t="n">
        <v>43069</v>
      </c>
      <c r="I151" s="26"/>
      <c r="J151" s="19"/>
      <c r="K151" s="4"/>
      <c r="L151" s="26"/>
      <c r="M151" s="20"/>
      <c r="S151" s="3" t="n">
        <v>0</v>
      </c>
    </row>
    <row r="152" customFormat="false" ht="15" hidden="false" customHeight="false" outlineLevel="0" collapsed="false">
      <c r="A152" s="18" t="n">
        <v>43100</v>
      </c>
      <c r="B152" s="3" t="n">
        <f aca="false">+VLOOKUP(A152,[2]Simple!$A$3790:$B$3818,2)</f>
        <v>17872.44</v>
      </c>
      <c r="C152" s="26" t="n">
        <f aca="false">(B152/B151-1)/(A152-A151)*30</f>
        <v>0.000873640257343073</v>
      </c>
      <c r="D152" s="20"/>
      <c r="F152" s="18" t="n">
        <v>43100</v>
      </c>
      <c r="I152" s="26"/>
      <c r="J152" s="19"/>
      <c r="K152" s="4"/>
      <c r="L152" s="26"/>
      <c r="M152" s="20"/>
      <c r="Q152" s="4" t="n">
        <f aca="false">+G140+S151</f>
        <v>0</v>
      </c>
      <c r="S152" s="3" t="s">
        <v>39</v>
      </c>
    </row>
    <row r="153" customFormat="false" ht="15" hidden="false" customHeight="false" outlineLevel="0" collapsed="false">
      <c r="A153" s="18" t="n">
        <v>43131</v>
      </c>
      <c r="B153" s="3" t="n">
        <v>17933.28</v>
      </c>
      <c r="C153" s="26" t="n">
        <f aca="false">(B153/B152-1)/(A153-A152)*30</f>
        <v>0.00329431344320307</v>
      </c>
      <c r="D153" s="20"/>
      <c r="F153" s="18" t="n">
        <v>43131</v>
      </c>
      <c r="I153" s="26"/>
      <c r="J153" s="19"/>
      <c r="K153" s="4"/>
      <c r="L153" s="26"/>
      <c r="M153" s="20"/>
    </row>
    <row r="154" customFormat="false" ht="15" hidden="false" customHeight="false" outlineLevel="0" collapsed="false">
      <c r="A154" s="18" t="n">
        <v>43159</v>
      </c>
      <c r="B154" s="3" t="n">
        <v>17968.11</v>
      </c>
      <c r="C154" s="26" t="n">
        <f aca="false">(B154/B153-1)/(A154-A153)*30</f>
        <v>0.0020809275906505</v>
      </c>
      <c r="D154" s="20"/>
      <c r="F154" s="18" t="n">
        <v>43159</v>
      </c>
      <c r="I154" s="26"/>
      <c r="J154" s="19"/>
      <c r="K154" s="4"/>
      <c r="L154" s="26"/>
      <c r="M154" s="20"/>
      <c r="S154" s="3" t="s">
        <v>40</v>
      </c>
    </row>
    <row r="155" customFormat="false" ht="15" hidden="false" customHeight="false" outlineLevel="0" collapsed="false">
      <c r="A155" s="18" t="n">
        <v>43190</v>
      </c>
      <c r="B155" s="3" t="n">
        <v>18006.83</v>
      </c>
      <c r="C155" s="26" t="n">
        <f aca="false">(B155/B154-1)/(A155-A154)*30</f>
        <v>0.00208541509050955</v>
      </c>
      <c r="D155" s="20"/>
      <c r="F155" s="18" t="n">
        <v>43190</v>
      </c>
      <c r="I155" s="26"/>
      <c r="J155" s="19"/>
      <c r="K155" s="4"/>
      <c r="L155" s="26"/>
      <c r="M155" s="20"/>
    </row>
    <row r="156" customFormat="false" ht="15" hidden="false" customHeight="false" outlineLevel="0" collapsed="false">
      <c r="A156" s="18" t="n">
        <v>43220</v>
      </c>
      <c r="C156" s="26"/>
      <c r="D156" s="20"/>
      <c r="F156" s="18" t="n">
        <v>43220</v>
      </c>
      <c r="I156" s="26"/>
      <c r="J156" s="19"/>
      <c r="K156" s="4"/>
      <c r="L156" s="26"/>
      <c r="M156" s="20"/>
      <c r="S156" s="3" t="s">
        <v>40</v>
      </c>
    </row>
    <row r="157" customFormat="false" ht="15" hidden="false" customHeight="false" outlineLevel="0" collapsed="false">
      <c r="A157" s="18" t="n">
        <v>43251</v>
      </c>
      <c r="B157" s="19"/>
      <c r="C157" s="26"/>
      <c r="D157" s="20"/>
      <c r="F157" s="18" t="n">
        <v>43251</v>
      </c>
      <c r="I157" s="26"/>
      <c r="J157" s="19"/>
      <c r="K157" s="4"/>
      <c r="L157" s="26"/>
      <c r="M157" s="20"/>
    </row>
    <row r="158" customFormat="false" ht="15" hidden="false" customHeight="false" outlineLevel="0" collapsed="false">
      <c r="A158" s="18" t="n">
        <v>43281</v>
      </c>
      <c r="B158" s="20"/>
      <c r="C158" s="26"/>
      <c r="D158" s="20"/>
      <c r="F158" s="18" t="n">
        <v>43281</v>
      </c>
      <c r="I158" s="26"/>
      <c r="J158" s="19"/>
      <c r="L158" s="26"/>
      <c r="M158" s="20"/>
      <c r="S158" s="3" t="s">
        <v>41</v>
      </c>
    </row>
    <row r="159" customFormat="false" ht="15" hidden="false" customHeight="false" outlineLevel="0" collapsed="false">
      <c r="A159" s="18" t="n">
        <v>43312</v>
      </c>
      <c r="B159" s="19"/>
      <c r="C159" s="26"/>
      <c r="D159" s="20"/>
      <c r="F159" s="18" t="n">
        <v>43312</v>
      </c>
      <c r="I159" s="26"/>
      <c r="J159" s="19"/>
      <c r="L159" s="26"/>
      <c r="M159" s="20"/>
      <c r="S159" s="3" t="n">
        <v>0</v>
      </c>
    </row>
    <row r="160" customFormat="false" ht="15" hidden="false" customHeight="false" outlineLevel="0" collapsed="false">
      <c r="A160" s="18" t="n">
        <v>43343</v>
      </c>
      <c r="B160" s="19"/>
      <c r="C160" s="26"/>
      <c r="D160" s="20"/>
      <c r="F160" s="18" t="n">
        <v>43343</v>
      </c>
      <c r="I160" s="26"/>
      <c r="J160" s="19"/>
      <c r="L160" s="26"/>
      <c r="M160" s="20"/>
      <c r="S160" s="3" t="s">
        <v>42</v>
      </c>
      <c r="AR160" s="65"/>
    </row>
    <row r="161" customFormat="false" ht="15" hidden="false" customHeight="false" outlineLevel="0" collapsed="false">
      <c r="A161" s="18" t="n">
        <v>43373</v>
      </c>
      <c r="B161" s="35"/>
      <c r="C161" s="26"/>
      <c r="D161" s="20"/>
      <c r="F161" s="18" t="n">
        <v>43373</v>
      </c>
      <c r="I161" s="26"/>
      <c r="J161" s="19"/>
      <c r="L161" s="26"/>
      <c r="M161" s="20"/>
      <c r="S161" s="3" t="n">
        <v>0</v>
      </c>
    </row>
    <row r="162" customFormat="false" ht="15" hidden="false" customHeight="false" outlineLevel="0" collapsed="false">
      <c r="A162" s="18" t="n">
        <v>43404</v>
      </c>
      <c r="C162" s="26"/>
      <c r="D162" s="20"/>
      <c r="F162" s="18" t="n">
        <v>43404</v>
      </c>
      <c r="I162" s="26"/>
      <c r="J162" s="19"/>
      <c r="L162" s="26"/>
      <c r="M162" s="20"/>
    </row>
    <row r="163" customFormat="false" ht="15" hidden="false" customHeight="false" outlineLevel="0" collapsed="false">
      <c r="A163" s="18" t="n">
        <v>43434</v>
      </c>
      <c r="B163" s="20"/>
      <c r="C163" s="26"/>
      <c r="D163" s="20"/>
      <c r="F163" s="18" t="n">
        <v>43434</v>
      </c>
      <c r="I163" s="26"/>
      <c r="J163" s="19"/>
      <c r="K163" s="19"/>
      <c r="L163" s="26"/>
      <c r="M163" s="20"/>
    </row>
    <row r="164" customFormat="false" ht="15" hidden="false" customHeight="false" outlineLevel="0" collapsed="false">
      <c r="A164" s="18" t="n">
        <v>43465</v>
      </c>
      <c r="C164" s="26"/>
      <c r="D164" s="20"/>
      <c r="F164" s="18" t="n">
        <v>43465</v>
      </c>
      <c r="I164" s="26"/>
      <c r="J164" s="19"/>
      <c r="K164" s="19"/>
      <c r="L164" s="26"/>
      <c r="M164" s="20"/>
    </row>
    <row r="165" customFormat="false" ht="15" hidden="false" customHeight="false" outlineLevel="0" collapsed="false">
      <c r="A165" s="18" t="n">
        <v>43496</v>
      </c>
      <c r="C165" s="26"/>
      <c r="D165" s="20"/>
      <c r="F165" s="18" t="n">
        <v>43496</v>
      </c>
      <c r="I165" s="26"/>
      <c r="J165" s="19"/>
      <c r="L165" s="26"/>
      <c r="M165" s="20"/>
    </row>
    <row r="166" customFormat="false" ht="15" hidden="false" customHeight="false" outlineLevel="0" collapsed="false">
      <c r="A166" s="18" t="n">
        <v>43524</v>
      </c>
      <c r="C166" s="26"/>
      <c r="D166" s="20"/>
      <c r="F166" s="18" t="n">
        <v>43524</v>
      </c>
      <c r="I166" s="26"/>
      <c r="J166" s="19"/>
      <c r="L166" s="26"/>
      <c r="M166" s="20"/>
    </row>
    <row r="167" customFormat="false" ht="15" hidden="false" customHeight="false" outlineLevel="0" collapsed="false">
      <c r="A167" s="18" t="n">
        <v>43555</v>
      </c>
      <c r="C167" s="26"/>
      <c r="D167" s="20"/>
      <c r="F167" s="18" t="n">
        <v>43555</v>
      </c>
      <c r="I167" s="26"/>
      <c r="J167" s="19"/>
      <c r="K167" s="19"/>
      <c r="L167" s="26"/>
      <c r="M167" s="20"/>
    </row>
    <row r="168" customFormat="false" ht="15" hidden="false" customHeight="false" outlineLevel="0" collapsed="false">
      <c r="A168" s="18" t="n">
        <v>43585</v>
      </c>
      <c r="C168" s="26"/>
      <c r="D168" s="20"/>
      <c r="F168" s="18" t="n">
        <v>43585</v>
      </c>
      <c r="I168" s="26"/>
      <c r="J168" s="19"/>
      <c r="K168" s="19"/>
      <c r="L168" s="26"/>
      <c r="M168" s="20"/>
    </row>
    <row r="169" customFormat="false" ht="15" hidden="false" customHeight="false" outlineLevel="0" collapsed="false">
      <c r="A169" s="18" t="n">
        <v>43616</v>
      </c>
      <c r="C169" s="26"/>
      <c r="D169" s="20"/>
      <c r="F169" s="18" t="n">
        <v>43616</v>
      </c>
      <c r="I169" s="26"/>
      <c r="J169" s="19"/>
      <c r="K169" s="19"/>
      <c r="L169" s="26"/>
      <c r="M169" s="20"/>
    </row>
    <row r="170" customFormat="false" ht="15" hidden="false" customHeight="false" outlineLevel="0" collapsed="false">
      <c r="A170" s="18" t="n">
        <v>43646</v>
      </c>
      <c r="B170" s="20"/>
      <c r="C170" s="26"/>
      <c r="D170" s="20"/>
      <c r="F170" s="18" t="n">
        <v>43646</v>
      </c>
      <c r="I170" s="26"/>
      <c r="J170" s="19"/>
      <c r="L170" s="26"/>
      <c r="M170" s="20"/>
    </row>
    <row r="171" customFormat="false" ht="15" hidden="false" customHeight="false" outlineLevel="0" collapsed="false">
      <c r="A171" s="18" t="n">
        <v>43677</v>
      </c>
      <c r="C171" s="26"/>
      <c r="D171" s="20"/>
      <c r="F171" s="18" t="n">
        <v>43677</v>
      </c>
      <c r="I171" s="26"/>
      <c r="J171" s="19"/>
      <c r="L171" s="26"/>
      <c r="M171" s="20"/>
    </row>
    <row r="172" customFormat="false" ht="15" hidden="false" customHeight="false" outlineLevel="0" collapsed="false">
      <c r="A172" s="18" t="n">
        <v>43708</v>
      </c>
      <c r="B172" s="20"/>
      <c r="C172" s="26"/>
      <c r="D172" s="20"/>
      <c r="F172" s="18" t="n">
        <v>43708</v>
      </c>
      <c r="I172" s="26"/>
      <c r="J172" s="19"/>
      <c r="L172" s="26"/>
      <c r="M172" s="20"/>
    </row>
    <row r="173" customFormat="false" ht="15" hidden="false" customHeight="false" outlineLevel="0" collapsed="false">
      <c r="A173" s="18" t="n">
        <v>43738</v>
      </c>
      <c r="C173" s="26"/>
      <c r="D173" s="20"/>
      <c r="F173" s="18" t="n">
        <v>43738</v>
      </c>
      <c r="I173" s="26"/>
      <c r="J173" s="19"/>
      <c r="L173" s="26"/>
      <c r="M173" s="20"/>
    </row>
    <row r="174" customFormat="false" ht="15" hidden="false" customHeight="false" outlineLevel="0" collapsed="false">
      <c r="A174" s="18" t="n">
        <v>43769</v>
      </c>
      <c r="B174" s="20"/>
      <c r="C174" s="26"/>
      <c r="D174" s="20"/>
      <c r="F174" s="18" t="n">
        <v>43769</v>
      </c>
      <c r="I174" s="26"/>
      <c r="J174" s="19"/>
      <c r="L174" s="26"/>
      <c r="M174" s="20"/>
    </row>
    <row r="175" customFormat="false" ht="15" hidden="false" customHeight="false" outlineLevel="0" collapsed="false">
      <c r="A175" s="18" t="n">
        <v>43799</v>
      </c>
      <c r="C175" s="26"/>
      <c r="D175" s="20"/>
      <c r="F175" s="18" t="n">
        <v>43799</v>
      </c>
      <c r="I175" s="26"/>
      <c r="J175" s="19"/>
      <c r="L175" s="26"/>
      <c r="M175" s="20"/>
    </row>
    <row r="176" customFormat="false" ht="15" hidden="false" customHeight="false" outlineLevel="0" collapsed="false">
      <c r="A176" s="18" t="n">
        <v>43830</v>
      </c>
      <c r="B176" s="20"/>
      <c r="C176" s="26"/>
      <c r="D176" s="20"/>
      <c r="F176" s="18" t="n">
        <v>43830</v>
      </c>
      <c r="I176" s="26"/>
      <c r="J176" s="19"/>
      <c r="L176" s="26"/>
      <c r="M176" s="20"/>
    </row>
    <row r="177" customFormat="false" ht="15" hidden="false" customHeight="false" outlineLevel="0" collapsed="false">
      <c r="A177" s="18" t="n">
        <v>43861</v>
      </c>
      <c r="C177" s="26"/>
      <c r="D177" s="20"/>
      <c r="F177" s="18" t="n">
        <v>43861</v>
      </c>
      <c r="I177" s="26"/>
      <c r="J177" s="19"/>
      <c r="L177" s="26"/>
      <c r="M177" s="20"/>
    </row>
    <row r="178" customFormat="false" ht="15" hidden="false" customHeight="false" outlineLevel="0" collapsed="false">
      <c r="A178" s="18" t="n">
        <v>43890</v>
      </c>
      <c r="B178" s="20"/>
      <c r="C178" s="26"/>
      <c r="D178" s="20"/>
      <c r="F178" s="18" t="n">
        <v>43890</v>
      </c>
      <c r="I178" s="26"/>
      <c r="J178" s="19"/>
      <c r="L178" s="26"/>
      <c r="M178" s="20"/>
    </row>
    <row r="179" customFormat="false" ht="15" hidden="false" customHeight="false" outlineLevel="0" collapsed="false">
      <c r="A179" s="18" t="n">
        <v>43921</v>
      </c>
      <c r="C179" s="26"/>
      <c r="D179" s="20"/>
      <c r="F179" s="18" t="n">
        <v>43921</v>
      </c>
      <c r="I179" s="26"/>
      <c r="J179" s="19"/>
      <c r="L179" s="26"/>
      <c r="M179" s="20"/>
    </row>
    <row r="180" customFormat="false" ht="15" hidden="false" customHeight="false" outlineLevel="0" collapsed="false">
      <c r="A180" s="18" t="n">
        <v>43951</v>
      </c>
      <c r="B180" s="20"/>
      <c r="C180" s="26"/>
      <c r="D180" s="20"/>
      <c r="F180" s="18" t="n">
        <v>43951</v>
      </c>
      <c r="I180" s="26"/>
      <c r="J180" s="19"/>
      <c r="L180" s="26"/>
      <c r="M180" s="20"/>
    </row>
    <row r="181" customFormat="false" ht="15" hidden="false" customHeight="false" outlineLevel="0" collapsed="false">
      <c r="A181" s="18" t="n">
        <v>43982</v>
      </c>
      <c r="B181" s="20"/>
      <c r="C181" s="26"/>
      <c r="D181" s="20"/>
      <c r="F181" s="18" t="n">
        <v>43982</v>
      </c>
      <c r="I181" s="26"/>
      <c r="J181" s="19"/>
      <c r="L181" s="26"/>
      <c r="M181" s="20"/>
      <c r="AD181" s="65"/>
      <c r="AE181" s="65"/>
      <c r="AF181" s="65"/>
      <c r="AG181" s="65"/>
      <c r="AH181" s="65"/>
      <c r="AI181" s="65"/>
      <c r="AJ181" s="65"/>
      <c r="AK181" s="65"/>
      <c r="AL181" s="65"/>
      <c r="AM181" s="65"/>
      <c r="AN181" s="65"/>
      <c r="AO181" s="65"/>
      <c r="AP181" s="65"/>
      <c r="AQ181" s="65"/>
    </row>
    <row r="182" customFormat="false" ht="15" hidden="false" customHeight="false" outlineLevel="0" collapsed="false">
      <c r="A182" s="18" t="n">
        <v>44012</v>
      </c>
      <c r="B182" s="20"/>
      <c r="C182" s="26"/>
      <c r="D182" s="20"/>
      <c r="F182" s="18" t="n">
        <v>44012</v>
      </c>
      <c r="I182" s="26"/>
      <c r="J182" s="19"/>
      <c r="L182" s="26"/>
      <c r="M182" s="20"/>
    </row>
    <row r="183" customFormat="false" ht="15" hidden="false" customHeight="false" outlineLevel="0" collapsed="false">
      <c r="A183" s="18" t="n">
        <v>44043</v>
      </c>
      <c r="C183" s="26"/>
      <c r="D183" s="20"/>
      <c r="F183" s="18" t="n">
        <v>44043</v>
      </c>
      <c r="I183" s="26"/>
      <c r="J183" s="19"/>
      <c r="L183" s="26"/>
      <c r="M183" s="20"/>
    </row>
    <row r="184" customFormat="false" ht="15" hidden="false" customHeight="false" outlineLevel="0" collapsed="false">
      <c r="A184" s="18" t="n">
        <v>44074</v>
      </c>
      <c r="C184" s="26"/>
      <c r="D184" s="20"/>
      <c r="F184" s="18" t="n">
        <v>44074</v>
      </c>
      <c r="I184" s="26"/>
      <c r="J184" s="19"/>
      <c r="L184" s="26"/>
      <c r="M184" s="20"/>
    </row>
    <row r="185" customFormat="false" ht="15" hidden="false" customHeight="false" outlineLevel="0" collapsed="false">
      <c r="A185" s="18" t="n">
        <v>44104</v>
      </c>
      <c r="C185" s="26"/>
      <c r="D185" s="20"/>
      <c r="F185" s="18" t="n">
        <v>44104</v>
      </c>
      <c r="I185" s="26"/>
      <c r="J185" s="19"/>
      <c r="L185" s="26"/>
      <c r="M185" s="20"/>
    </row>
    <row r="186" customFormat="false" ht="15" hidden="false" customHeight="false" outlineLevel="0" collapsed="false">
      <c r="A186" s="18" t="n">
        <v>44135</v>
      </c>
      <c r="C186" s="26"/>
      <c r="D186" s="20"/>
      <c r="F186" s="18" t="n">
        <v>44135</v>
      </c>
      <c r="I186" s="26"/>
      <c r="J186" s="19"/>
      <c r="L186" s="26"/>
      <c r="M186" s="20"/>
    </row>
    <row r="187" customFormat="false" ht="15" hidden="false" customHeight="false" outlineLevel="0" collapsed="false">
      <c r="A187" s="18" t="n">
        <v>44165</v>
      </c>
      <c r="C187" s="26"/>
      <c r="D187" s="20"/>
      <c r="F187" s="18" t="n">
        <v>44165</v>
      </c>
      <c r="I187" s="26"/>
      <c r="J187" s="19"/>
      <c r="L187" s="26"/>
      <c r="M187" s="20"/>
    </row>
    <row r="188" customFormat="false" ht="15" hidden="false" customHeight="false" outlineLevel="0" collapsed="false">
      <c r="A188" s="18" t="n">
        <v>44196</v>
      </c>
      <c r="C188" s="26"/>
      <c r="D188" s="20"/>
      <c r="F188" s="18" t="n">
        <v>44196</v>
      </c>
      <c r="I188" s="26"/>
      <c r="J188" s="19"/>
      <c r="L188" s="26"/>
      <c r="M188" s="20"/>
    </row>
    <row r="189" customFormat="false" ht="15" hidden="false" customHeight="false" outlineLevel="0" collapsed="false">
      <c r="A189" s="18" t="n">
        <v>44246</v>
      </c>
      <c r="C189" s="26"/>
      <c r="D189" s="20"/>
      <c r="F189" s="18" t="n">
        <v>44246</v>
      </c>
      <c r="I189" s="26"/>
      <c r="J189" s="19"/>
      <c r="L189" s="26"/>
      <c r="M189" s="20"/>
    </row>
    <row r="190" customFormat="false" ht="15" hidden="false" customHeight="false" outlineLevel="0" collapsed="false">
      <c r="A190" s="18" t="n">
        <v>44255</v>
      </c>
      <c r="C190" s="26"/>
      <c r="D190" s="20"/>
      <c r="F190" s="18" t="n">
        <v>44255</v>
      </c>
      <c r="I190" s="26"/>
      <c r="J190" s="19"/>
      <c r="L190" s="26"/>
      <c r="M190" s="20"/>
      <c r="Q190" s="18"/>
    </row>
    <row r="191" customFormat="false" ht="15" hidden="false" customHeight="false" outlineLevel="0" collapsed="false">
      <c r="A191" s="18" t="n">
        <v>44286</v>
      </c>
      <c r="B191" s="20"/>
      <c r="C191" s="26"/>
      <c r="D191" s="20"/>
      <c r="F191" s="18" t="n">
        <v>44286</v>
      </c>
      <c r="I191" s="26"/>
      <c r="J191" s="19"/>
      <c r="L191" s="26"/>
      <c r="M191" s="20"/>
      <c r="Q191" s="18"/>
      <c r="R191" s="66"/>
    </row>
    <row r="192" customFormat="false" ht="15" hidden="false" customHeight="false" outlineLevel="0" collapsed="false">
      <c r="A192" s="18" t="n">
        <v>44316</v>
      </c>
      <c r="C192" s="26"/>
      <c r="D192" s="20"/>
      <c r="F192" s="18" t="n">
        <v>44316</v>
      </c>
      <c r="I192" s="26"/>
      <c r="J192" s="19"/>
      <c r="L192" s="26"/>
      <c r="M192" s="20"/>
      <c r="Q192" s="67"/>
    </row>
    <row r="193" customFormat="false" ht="15" hidden="false" customHeight="false" outlineLevel="0" collapsed="false">
      <c r="A193" s="18" t="n">
        <v>44347</v>
      </c>
      <c r="C193" s="26"/>
      <c r="D193" s="20"/>
      <c r="F193" s="18" t="n">
        <v>44347</v>
      </c>
      <c r="I193" s="26"/>
      <c r="J193" s="19"/>
      <c r="L193" s="26"/>
      <c r="M193" s="20"/>
      <c r="Q193" s="67"/>
    </row>
    <row r="194" customFormat="false" ht="15" hidden="false" customHeight="false" outlineLevel="0" collapsed="false">
      <c r="A194" s="18" t="n">
        <v>44377</v>
      </c>
      <c r="C194" s="26"/>
      <c r="D194" s="20"/>
      <c r="F194" s="18" t="n">
        <v>44377</v>
      </c>
      <c r="I194" s="26"/>
      <c r="J194" s="19"/>
      <c r="L194" s="26"/>
      <c r="M194" s="20"/>
    </row>
    <row r="195" customFormat="false" ht="15" hidden="false" customHeight="false" outlineLevel="0" collapsed="false">
      <c r="A195" s="18" t="n">
        <v>44408</v>
      </c>
      <c r="C195" s="26"/>
      <c r="D195" s="20"/>
      <c r="F195" s="18" t="n">
        <v>44408</v>
      </c>
      <c r="I195" s="26"/>
      <c r="J195" s="19"/>
      <c r="L195" s="26"/>
      <c r="M195" s="20"/>
    </row>
    <row r="196" customFormat="false" ht="15" hidden="false" customHeight="false" outlineLevel="0" collapsed="false">
      <c r="A196" s="18" t="n">
        <v>44439</v>
      </c>
      <c r="C196" s="26"/>
      <c r="D196" s="20"/>
      <c r="F196" s="18" t="n">
        <v>44439</v>
      </c>
      <c r="I196" s="26"/>
      <c r="J196" s="19"/>
      <c r="L196" s="26"/>
      <c r="M196" s="20"/>
    </row>
    <row r="197" customFormat="false" ht="15" hidden="false" customHeight="false" outlineLevel="0" collapsed="false">
      <c r="A197" s="18" t="n">
        <v>44469</v>
      </c>
      <c r="C197" s="26"/>
      <c r="D197" s="20"/>
      <c r="F197" s="18" t="n">
        <v>44469</v>
      </c>
      <c r="I197" s="26"/>
      <c r="J197" s="19"/>
      <c r="K197" s="19"/>
      <c r="L197" s="26"/>
      <c r="M197" s="20"/>
    </row>
    <row r="198" customFormat="false" ht="15" hidden="false" customHeight="false" outlineLevel="0" collapsed="false">
      <c r="A198" s="18" t="n">
        <v>44500</v>
      </c>
      <c r="C198" s="26"/>
      <c r="D198" s="20"/>
      <c r="F198" s="18" t="n">
        <v>44500</v>
      </c>
      <c r="I198" s="26"/>
      <c r="J198" s="19"/>
      <c r="L198" s="26"/>
      <c r="M198" s="20"/>
    </row>
    <row r="199" customFormat="false" ht="15" hidden="false" customHeight="false" outlineLevel="0" collapsed="false">
      <c r="A199" s="18" t="n">
        <v>44530</v>
      </c>
      <c r="C199" s="26"/>
      <c r="D199" s="20"/>
      <c r="F199" s="18" t="n">
        <v>44530</v>
      </c>
      <c r="I199" s="26"/>
      <c r="J199" s="19"/>
      <c r="K199" s="19"/>
      <c r="L199" s="26"/>
      <c r="M199" s="20"/>
    </row>
    <row r="200" customFormat="false" ht="15" hidden="false" customHeight="false" outlineLevel="0" collapsed="false">
      <c r="A200" s="18" t="n">
        <v>44561</v>
      </c>
      <c r="C200" s="26"/>
      <c r="D200" s="20"/>
      <c r="F200" s="18" t="n">
        <v>44561</v>
      </c>
      <c r="I200" s="26"/>
      <c r="J200" s="19"/>
      <c r="L200" s="26"/>
      <c r="M200" s="20"/>
    </row>
    <row r="201" customFormat="false" ht="15" hidden="false" customHeight="false" outlineLevel="0" collapsed="false">
      <c r="A201" s="18" t="n">
        <v>44592</v>
      </c>
      <c r="C201" s="26"/>
      <c r="D201" s="20"/>
      <c r="F201" s="18" t="n">
        <v>44592</v>
      </c>
      <c r="I201" s="26"/>
      <c r="J201" s="19"/>
      <c r="L201" s="26"/>
      <c r="M201" s="20"/>
    </row>
    <row r="202" customFormat="false" ht="15" hidden="false" customHeight="false" outlineLevel="0" collapsed="false">
      <c r="A202" s="18" t="n">
        <v>44620</v>
      </c>
      <c r="B202" s="20"/>
      <c r="C202" s="26"/>
      <c r="D202" s="20"/>
      <c r="F202" s="18" t="n">
        <v>44620</v>
      </c>
      <c r="I202" s="26"/>
      <c r="J202" s="19"/>
      <c r="L202" s="26"/>
      <c r="M202" s="20"/>
    </row>
    <row r="203" customFormat="false" ht="15" hidden="false" customHeight="false" outlineLevel="0" collapsed="false">
      <c r="A203" s="18" t="n">
        <v>44651</v>
      </c>
      <c r="C203" s="26"/>
      <c r="D203" s="20"/>
      <c r="F203" s="18" t="n">
        <v>44651</v>
      </c>
      <c r="I203" s="26"/>
      <c r="J203" s="19"/>
      <c r="L203" s="26"/>
      <c r="M203" s="20"/>
    </row>
    <row r="204" customFormat="false" ht="15" hidden="false" customHeight="false" outlineLevel="0" collapsed="false">
      <c r="A204" s="18" t="n">
        <v>44681</v>
      </c>
      <c r="C204" s="26"/>
      <c r="D204" s="20"/>
      <c r="F204" s="18" t="n">
        <v>44681</v>
      </c>
      <c r="I204" s="26"/>
      <c r="J204" s="19"/>
      <c r="L204" s="26"/>
      <c r="M204" s="20"/>
    </row>
    <row r="205" customFormat="false" ht="15" hidden="false" customHeight="false" outlineLevel="0" collapsed="false">
      <c r="A205" s="18" t="n">
        <v>44712</v>
      </c>
      <c r="C205" s="26"/>
      <c r="D205" s="20"/>
      <c r="F205" s="18" t="n">
        <v>44735</v>
      </c>
      <c r="I205" s="26"/>
      <c r="J205" s="19"/>
      <c r="L205" s="26"/>
      <c r="M205" s="20"/>
    </row>
    <row r="206" customFormat="false" ht="15" hidden="false" customHeight="false" outlineLevel="0" collapsed="false">
      <c r="A206" s="18" t="n">
        <v>44742</v>
      </c>
      <c r="C206" s="26"/>
      <c r="D206" s="20"/>
      <c r="F206" s="18" t="n">
        <v>44742</v>
      </c>
      <c r="I206" s="26"/>
      <c r="J206" s="19"/>
      <c r="K206" s="19"/>
      <c r="L206" s="68"/>
      <c r="M206" s="20"/>
    </row>
    <row r="207" customFormat="false" ht="15" hidden="false" customHeight="false" outlineLevel="0" collapsed="false">
      <c r="A207" s="18" t="n">
        <v>44773</v>
      </c>
      <c r="C207" s="26"/>
      <c r="D207" s="20"/>
      <c r="F207" s="18" t="n">
        <v>44773</v>
      </c>
      <c r="I207" s="26"/>
      <c r="J207" s="19"/>
      <c r="L207" s="68"/>
      <c r="M207" s="20"/>
    </row>
    <row r="208" customFormat="false" ht="15" hidden="false" customHeight="false" outlineLevel="0" collapsed="false">
      <c r="A208" s="18" t="n">
        <v>44804</v>
      </c>
      <c r="C208" s="26"/>
      <c r="D208" s="20"/>
      <c r="F208" s="18" t="n">
        <v>44804</v>
      </c>
      <c r="I208" s="26"/>
      <c r="J208" s="19"/>
      <c r="K208" s="19"/>
      <c r="L208" s="68"/>
      <c r="M208" s="20"/>
    </row>
    <row r="209" customFormat="false" ht="15" hidden="false" customHeight="false" outlineLevel="0" collapsed="false">
      <c r="A209" s="18" t="n">
        <v>44834</v>
      </c>
      <c r="C209" s="26"/>
      <c r="D209" s="20"/>
      <c r="F209" s="18" t="n">
        <v>44834</v>
      </c>
      <c r="I209" s="26"/>
      <c r="J209" s="19"/>
      <c r="K209" s="19"/>
      <c r="L209" s="68"/>
      <c r="M209" s="20"/>
    </row>
    <row r="210" customFormat="false" ht="15" hidden="false" customHeight="false" outlineLevel="0" collapsed="false">
      <c r="A210" s="18" t="n">
        <v>44862</v>
      </c>
      <c r="C210" s="26"/>
      <c r="D210" s="20"/>
      <c r="F210" s="18" t="n">
        <v>44862</v>
      </c>
      <c r="I210" s="26"/>
      <c r="J210" s="19"/>
      <c r="K210" s="19"/>
      <c r="L210" s="68"/>
      <c r="M210" s="20"/>
    </row>
    <row r="211" customFormat="false" ht="15" hidden="false" customHeight="false" outlineLevel="0" collapsed="false">
      <c r="A211" s="18" t="n">
        <v>44895</v>
      </c>
      <c r="C211" s="26"/>
      <c r="D211" s="20"/>
      <c r="F211" s="18" t="n">
        <v>44895</v>
      </c>
      <c r="I211" s="26"/>
      <c r="J211" s="19"/>
      <c r="L211" s="68"/>
      <c r="M211" s="20"/>
    </row>
    <row r="212" customFormat="false" ht="15" hidden="false" customHeight="false" outlineLevel="0" collapsed="false">
      <c r="A212" s="18" t="n">
        <v>44925</v>
      </c>
      <c r="C212" s="26"/>
      <c r="D212" s="20"/>
      <c r="F212" s="18" t="n">
        <v>44925</v>
      </c>
      <c r="I212" s="26"/>
      <c r="J212" s="19"/>
      <c r="L212" s="68"/>
      <c r="M212" s="20"/>
    </row>
    <row r="213" customFormat="false" ht="15" hidden="false" customHeight="false" outlineLevel="0" collapsed="false">
      <c r="A213" s="18" t="n">
        <v>44957</v>
      </c>
      <c r="C213" s="26"/>
      <c r="D213" s="20"/>
      <c r="F213" s="18" t="n">
        <v>44957</v>
      </c>
      <c r="I213" s="26"/>
      <c r="J213" s="19"/>
      <c r="L213" s="68"/>
      <c r="M213" s="20"/>
    </row>
    <row r="214" customFormat="false" ht="15" hidden="false" customHeight="false" outlineLevel="0" collapsed="false">
      <c r="A214" s="18" t="n">
        <v>44985</v>
      </c>
      <c r="C214" s="26"/>
      <c r="D214" s="20"/>
      <c r="F214" s="18" t="n">
        <v>45014</v>
      </c>
      <c r="I214" s="26"/>
      <c r="J214" s="19"/>
      <c r="L214" s="68"/>
      <c r="M214" s="20"/>
    </row>
    <row r="215" customFormat="false" ht="15" hidden="false" customHeight="false" outlineLevel="0" collapsed="false">
      <c r="A215" s="18" t="n">
        <v>45016</v>
      </c>
      <c r="C215" s="26"/>
      <c r="D215" s="20"/>
      <c r="F215" s="18" t="n">
        <v>45016</v>
      </c>
      <c r="I215" s="26"/>
      <c r="J215" s="19"/>
      <c r="L215" s="68"/>
      <c r="M215" s="20"/>
    </row>
    <row r="216" customFormat="false" ht="15" hidden="false" customHeight="false" outlineLevel="0" collapsed="false">
      <c r="A216" s="18" t="n">
        <v>45044</v>
      </c>
      <c r="C216" s="26"/>
      <c r="D216" s="20"/>
      <c r="F216" s="18" t="n">
        <v>45044</v>
      </c>
      <c r="I216" s="26"/>
      <c r="J216" s="19"/>
      <c r="L216" s="68"/>
      <c r="M216" s="20"/>
    </row>
    <row r="217" customFormat="false" ht="15" hidden="false" customHeight="false" outlineLevel="0" collapsed="false">
      <c r="A217" s="18" t="n">
        <v>45077</v>
      </c>
      <c r="C217" s="26"/>
      <c r="D217" s="20"/>
      <c r="F217" s="18" t="n">
        <v>45077</v>
      </c>
      <c r="I217" s="26"/>
      <c r="J217" s="19"/>
      <c r="K217" s="19"/>
      <c r="L217" s="68"/>
      <c r="M217" s="20"/>
    </row>
    <row r="218" customFormat="false" ht="15" hidden="false" customHeight="false" outlineLevel="0" collapsed="false">
      <c r="A218" s="18" t="n">
        <v>45107</v>
      </c>
      <c r="C218" s="26"/>
      <c r="D218" s="20"/>
      <c r="F218" s="18" t="n">
        <v>45107</v>
      </c>
      <c r="I218" s="26"/>
      <c r="J218" s="19"/>
      <c r="L218" s="68"/>
      <c r="M218" s="20"/>
    </row>
    <row r="219" customFormat="false" ht="15" hidden="false" customHeight="false" outlineLevel="0" collapsed="false">
      <c r="A219" s="18" t="n">
        <v>45138</v>
      </c>
      <c r="C219" s="26"/>
      <c r="D219" s="20"/>
      <c r="F219" s="18" t="n">
        <v>45138</v>
      </c>
      <c r="I219" s="26"/>
      <c r="J219" s="19"/>
      <c r="L219" s="68"/>
      <c r="M219" s="20"/>
    </row>
    <row r="220" customFormat="false" ht="15" hidden="false" customHeight="false" outlineLevel="0" collapsed="false">
      <c r="A220" s="18" t="n">
        <v>45169</v>
      </c>
      <c r="C220" s="26"/>
      <c r="D220" s="20"/>
      <c r="F220" s="18" t="n">
        <v>45175</v>
      </c>
      <c r="I220" s="26"/>
      <c r="J220" s="19"/>
      <c r="K220" s="19"/>
      <c r="L220" s="68"/>
      <c r="M220" s="20"/>
    </row>
    <row r="221" customFormat="false" ht="15" hidden="false" customHeight="false" outlineLevel="0" collapsed="false">
      <c r="A221" s="18" t="n">
        <v>45199</v>
      </c>
      <c r="C221" s="26"/>
      <c r="D221" s="20"/>
      <c r="F221" s="18" t="n">
        <v>45199</v>
      </c>
      <c r="I221" s="26"/>
      <c r="J221" s="19"/>
      <c r="K221" s="19"/>
      <c r="L221" s="68"/>
      <c r="M221" s="20"/>
    </row>
    <row r="222" customFormat="false" ht="15" hidden="false" customHeight="false" outlineLevel="0" collapsed="false">
      <c r="A222" s="18" t="n">
        <v>45230</v>
      </c>
      <c r="B222" s="20"/>
      <c r="C222" s="26"/>
      <c r="D222" s="20"/>
      <c r="F222" s="18" t="n">
        <v>45230</v>
      </c>
      <c r="I222" s="26"/>
      <c r="J222" s="19"/>
      <c r="L222" s="68"/>
      <c r="M222" s="20"/>
    </row>
    <row r="223" customFormat="false" ht="15" hidden="false" customHeight="false" outlineLevel="0" collapsed="false">
      <c r="A223" s="18" t="n">
        <v>45260</v>
      </c>
      <c r="C223" s="26"/>
      <c r="D223" s="20"/>
      <c r="F223" s="18" t="n">
        <v>45260</v>
      </c>
      <c r="I223" s="26"/>
      <c r="J223" s="19"/>
      <c r="K223" s="19"/>
      <c r="L223" s="26"/>
      <c r="M223" s="20"/>
    </row>
    <row r="224" customFormat="false" ht="15" hidden="false" customHeight="false" outlineLevel="0" collapsed="false">
      <c r="A224" s="18" t="n">
        <v>45291</v>
      </c>
      <c r="C224" s="26"/>
      <c r="D224" s="20"/>
      <c r="F224" s="18" t="n">
        <v>45291</v>
      </c>
      <c r="I224" s="26"/>
      <c r="J224" s="19"/>
      <c r="L224" s="26"/>
      <c r="M224" s="20"/>
    </row>
    <row r="225" customFormat="false" ht="15" hidden="false" customHeight="false" outlineLevel="0" collapsed="false">
      <c r="A225" s="18" t="n">
        <v>45322</v>
      </c>
      <c r="C225" s="26"/>
      <c r="D225" s="20"/>
      <c r="F225" s="18" t="n">
        <v>45322</v>
      </c>
      <c r="I225" s="26"/>
      <c r="J225" s="19"/>
      <c r="L225" s="26"/>
      <c r="M225" s="20"/>
    </row>
    <row r="226" customFormat="false" ht="15" hidden="false" customHeight="false" outlineLevel="0" collapsed="false">
      <c r="A226" s="18" t="n">
        <v>45351</v>
      </c>
      <c r="C226" s="26"/>
      <c r="D226" s="20"/>
      <c r="F226" s="18" t="n">
        <v>45351</v>
      </c>
      <c r="I226" s="26"/>
      <c r="J226" s="19"/>
      <c r="L226" s="26"/>
      <c r="M226" s="20"/>
    </row>
    <row r="227" customFormat="false" ht="15" hidden="false" customHeight="false" outlineLevel="0" collapsed="false">
      <c r="A227" s="18" t="n">
        <v>45379</v>
      </c>
      <c r="C227" s="26"/>
      <c r="D227" s="20"/>
      <c r="F227" s="18" t="n">
        <v>45379</v>
      </c>
      <c r="I227" s="26"/>
      <c r="J227" s="19"/>
      <c r="L227" s="26"/>
      <c r="M227" s="20"/>
    </row>
    <row r="228" customFormat="false" ht="15" hidden="false" customHeight="false" outlineLevel="0" collapsed="false">
      <c r="A228" s="18" t="n">
        <v>45412</v>
      </c>
      <c r="C228" s="26"/>
      <c r="D228" s="20"/>
      <c r="F228" s="18" t="n">
        <v>45412</v>
      </c>
      <c r="I228" s="26"/>
      <c r="J228" s="19"/>
      <c r="L228" s="26"/>
      <c r="M228" s="20"/>
    </row>
    <row r="229" customFormat="false" ht="15" hidden="false" customHeight="false" outlineLevel="0" collapsed="false">
      <c r="A229" s="18" t="n">
        <v>45443</v>
      </c>
      <c r="C229" s="26"/>
      <c r="D229" s="20"/>
      <c r="F229" s="18" t="n">
        <v>45443</v>
      </c>
      <c r="I229" s="26"/>
      <c r="J229" s="19"/>
      <c r="L229" s="26"/>
      <c r="M229" s="20"/>
    </row>
    <row r="230" customFormat="false" ht="15" hidden="false" customHeight="false" outlineLevel="0" collapsed="false">
      <c r="A230" s="18" t="n">
        <v>45473</v>
      </c>
      <c r="B230" s="20"/>
      <c r="C230" s="26"/>
      <c r="D230" s="20"/>
      <c r="F230" s="18" t="n">
        <v>45473</v>
      </c>
      <c r="I230" s="26"/>
      <c r="J230" s="19"/>
      <c r="L230" s="26"/>
      <c r="M230" s="20"/>
    </row>
    <row r="231" customFormat="false" ht="15" hidden="false" customHeight="false" outlineLevel="0" collapsed="false">
      <c r="A231" s="18" t="n">
        <v>45504</v>
      </c>
      <c r="C231" s="26"/>
      <c r="D231" s="20"/>
      <c r="F231" s="18" t="n">
        <v>45504</v>
      </c>
      <c r="I231" s="26"/>
      <c r="J231" s="19"/>
      <c r="L231" s="26"/>
      <c r="M231" s="20"/>
    </row>
    <row r="232" customFormat="false" ht="15" hidden="false" customHeight="false" outlineLevel="0" collapsed="false">
      <c r="A232" s="18" t="n">
        <v>45535</v>
      </c>
      <c r="C232" s="26"/>
      <c r="D232" s="20"/>
      <c r="F232" s="18" t="n">
        <v>45535</v>
      </c>
      <c r="I232" s="26"/>
      <c r="J232" s="19"/>
      <c r="L232" s="26"/>
      <c r="M232" s="20"/>
    </row>
    <row r="233" customFormat="false" ht="15" hidden="false" customHeight="false" outlineLevel="0" collapsed="false">
      <c r="A233" s="18" t="n">
        <v>45565</v>
      </c>
      <c r="C233" s="26"/>
      <c r="D233" s="20"/>
      <c r="F233" s="18" t="n">
        <v>45565</v>
      </c>
      <c r="I233" s="26"/>
      <c r="J233" s="19"/>
      <c r="L233" s="26"/>
      <c r="M233" s="20"/>
    </row>
    <row r="234" customFormat="false" ht="15" hidden="false" customHeight="false" outlineLevel="0" collapsed="false">
      <c r="A234" s="18" t="n">
        <v>45596</v>
      </c>
      <c r="C234" s="26"/>
      <c r="D234" s="20"/>
      <c r="F234" s="18" t="n">
        <v>45625</v>
      </c>
      <c r="I234" s="26"/>
      <c r="J234" s="19"/>
      <c r="L234" s="26"/>
      <c r="M234" s="20"/>
    </row>
    <row r="235" customFormat="false" ht="15" hidden="false" customHeight="false" outlineLevel="0" collapsed="false">
      <c r="A235" s="18" t="n">
        <v>45626</v>
      </c>
      <c r="C235" s="26"/>
      <c r="D235" s="20"/>
      <c r="F235" s="18" t="n">
        <v>45626</v>
      </c>
      <c r="I235" s="26"/>
      <c r="J235" s="19"/>
      <c r="L235" s="26"/>
      <c r="M235" s="20"/>
    </row>
    <row r="236" customFormat="false" ht="15" hidden="false" customHeight="false" outlineLevel="0" collapsed="false">
      <c r="A236" s="18" t="n">
        <v>45657</v>
      </c>
      <c r="C236" s="26"/>
      <c r="D236" s="20"/>
      <c r="F236" s="18" t="n">
        <v>45657</v>
      </c>
      <c r="I236" s="26"/>
      <c r="J236" s="19"/>
      <c r="L236" s="26"/>
      <c r="M236" s="20"/>
    </row>
    <row r="237" customFormat="false" ht="15" hidden="false" customHeight="false" outlineLevel="0" collapsed="false">
      <c r="A237" s="18" t="n">
        <v>45688</v>
      </c>
      <c r="C237" s="26"/>
      <c r="D237" s="20"/>
      <c r="F237" s="18" t="n">
        <v>45688</v>
      </c>
      <c r="I237" s="26"/>
      <c r="J237" s="19"/>
      <c r="L237" s="26"/>
      <c r="M237" s="20"/>
    </row>
    <row r="238" customFormat="false" ht="15" hidden="false" customHeight="false" outlineLevel="0" collapsed="false">
      <c r="A238" s="18" t="n">
        <v>45716</v>
      </c>
      <c r="B238" s="3" t="n">
        <v>24984.92</v>
      </c>
      <c r="C238" s="26" t="n">
        <v>0</v>
      </c>
      <c r="D238" s="20" t="n">
        <v>100</v>
      </c>
      <c r="F238" s="18" t="n">
        <v>45736</v>
      </c>
      <c r="G238" s="4" t="n">
        <v>999.9918</v>
      </c>
      <c r="H238" s="4" t="n">
        <f aca="false">+G238+$S$151+$S$153+$S$155+$S$157+$S$159+$S$161</f>
        <v>999.9918</v>
      </c>
      <c r="I238" s="26" t="n">
        <v>0</v>
      </c>
      <c r="J238" s="19" t="n">
        <v>100</v>
      </c>
      <c r="K238" s="3" t="n">
        <v>6104.4912</v>
      </c>
      <c r="L238" s="26" t="n">
        <v>0</v>
      </c>
      <c r="M238" s="20" t="n">
        <v>100</v>
      </c>
    </row>
    <row r="239" customFormat="false" ht="15" hidden="false" customHeight="false" outlineLevel="0" collapsed="false">
      <c r="A239" s="18" t="n">
        <v>45747</v>
      </c>
      <c r="B239" s="3" t="n">
        <v>25092.7</v>
      </c>
      <c r="C239" s="26" t="n">
        <f aca="false">(B239/B238-1)/(A239-A238)*30/1</f>
        <v>0.00417464717943687</v>
      </c>
      <c r="D239" s="20" t="n">
        <f aca="false">+D238*(1+C239)</f>
        <v>100.417464717944</v>
      </c>
      <c r="F239" s="18" t="n">
        <v>45747</v>
      </c>
      <c r="G239" s="4" t="n">
        <v>1002.265</v>
      </c>
      <c r="H239" s="4" t="n">
        <f aca="false">+G239+$S$151+$S$153+$S$155+$S$157+$S$159+$S$161</f>
        <v>1002.265</v>
      </c>
      <c r="I239" s="26" t="n">
        <f aca="false">+(H239/H238-1)/(F239-F238)*30/11</f>
        <v>0.000563607927370133</v>
      </c>
      <c r="J239" s="19" t="n">
        <f aca="false">+J238*(1+I239)</f>
        <v>100.056360792737</v>
      </c>
      <c r="K239" s="3" t="n">
        <v>6123.1882</v>
      </c>
      <c r="L239" s="26" t="n">
        <f aca="false">+(K239/K238-1)/(F239-F238)*30/3</f>
        <v>0.00278438811203011</v>
      </c>
      <c r="M239" s="20" t="n">
        <f aca="false">+M238*(1+L239)</f>
        <v>100.278438811203</v>
      </c>
    </row>
    <row r="240" customFormat="false" ht="15" hidden="false" customHeight="false" outlineLevel="0" collapsed="false">
      <c r="A240" s="18" t="n">
        <v>45777</v>
      </c>
      <c r="B240" s="3" t="n">
        <v>25197.48</v>
      </c>
      <c r="C240" s="26" t="n">
        <f aca="false">(B240/B239-1)/(A240-A239)*30/1</f>
        <v>0.00417571644342774</v>
      </c>
      <c r="D240" s="20" t="n">
        <f aca="false">+D239*(1+C240)</f>
        <v>100.836779576574</v>
      </c>
      <c r="F240" s="18" t="n">
        <v>45777</v>
      </c>
      <c r="G240" s="4" t="n">
        <v>1008.5343</v>
      </c>
      <c r="H240" s="4" t="n">
        <f aca="false">+G240+$S$151+$S$153+$S$155+$S$157+$S$159+$S$161</f>
        <v>1008.5343</v>
      </c>
      <c r="I240" s="26" t="n">
        <f aca="false">+(H240/H239-1)/(F240-F239)*30</f>
        <v>0.00625513212573536</v>
      </c>
      <c r="J240" s="19" t="n">
        <f aca="false">+J239*(1+I240)</f>
        <v>100.682226549516</v>
      </c>
      <c r="K240" s="3" t="n">
        <v>6141.4105</v>
      </c>
      <c r="L240" s="26" t="n">
        <f aca="false">+(K240/K239-1)/(F240-F239)*30/3</f>
        <v>0.000991983228606349</v>
      </c>
      <c r="M240" s="20" t="n">
        <f aca="false">+M239*(1+L240)</f>
        <v>100.377913340695</v>
      </c>
    </row>
    <row r="241" customFormat="false" ht="15" hidden="false" customHeight="false" outlineLevel="0" collapsed="false">
      <c r="A241" s="18" t="n">
        <v>45808</v>
      </c>
      <c r="B241" s="3" t="n">
        <v>25302.66</v>
      </c>
      <c r="C241" s="26" t="n">
        <f aca="false">(B241/B240-1)/(A241-A240)*30/1</f>
        <v>0.00403957446435886</v>
      </c>
      <c r="D241" s="20" t="n">
        <f aca="false">+D240*(1+C241)</f>
        <v>101.244117256419</v>
      </c>
      <c r="F241" s="18" t="n">
        <v>45808</v>
      </c>
      <c r="G241" s="4" t="n">
        <v>1015.7308</v>
      </c>
      <c r="H241" s="4" t="n">
        <f aca="false">+G241+$S$151+$S$153+$S$155+$S$157+$S$159+$S$161</f>
        <v>1015.7308</v>
      </c>
      <c r="I241" s="26" t="n">
        <f aca="false">+(H241/H240-1)/(F241-F240)*30</f>
        <v>0.00690542189661735</v>
      </c>
      <c r="J241" s="19" t="n">
        <f aca="false">+J240*(1+I241)</f>
        <v>101.377479801331</v>
      </c>
      <c r="K241" s="3" t="n">
        <v>6160.386</v>
      </c>
      <c r="L241" s="26" t="n">
        <f aca="false">+(K241/K240-1)/(F241-F240)*30/3</f>
        <v>0.000996697587998395</v>
      </c>
      <c r="M241" s="20" t="n">
        <f aca="false">+M240*(1+L241)</f>
        <v>100.47795976481</v>
      </c>
    </row>
    <row r="242" customFormat="false" ht="15" hidden="false" customHeight="false" outlineLevel="0" collapsed="false">
      <c r="A242" s="18" t="n">
        <v>45838</v>
      </c>
      <c r="B242" s="3" t="n">
        <v>25411.83</v>
      </c>
      <c r="C242" s="26" t="n">
        <f aca="false">(B242/B241-1)/(A242-A241)*30/1</f>
        <v>0.00431456613652492</v>
      </c>
      <c r="D242" s="20" t="n">
        <f aca="false">+D241*(1+C242)</f>
        <v>101.680941696256</v>
      </c>
      <c r="F242" s="18" t="n">
        <v>45838</v>
      </c>
      <c r="G242" s="4" t="n">
        <v>1022.1879</v>
      </c>
      <c r="H242" s="4" t="n">
        <f aca="false">+G242+$S$151+$S$153+$S$155+$S$157+$S$159+$S$161</f>
        <v>1022.1879</v>
      </c>
      <c r="I242" s="26" t="n">
        <f aca="false">+(H242/H241-1)/(F242-F241)*30</f>
        <v>0.00635709776645532</v>
      </c>
      <c r="J242" s="19" t="n">
        <f aca="false">+J241*(1+I242)</f>
        <v>102.021946351745</v>
      </c>
      <c r="K242" s="3" t="n">
        <v>6178.849</v>
      </c>
      <c r="L242" s="26" t="n">
        <f aca="false">+(K242/K241-1)/(F242-F241)*30/3</f>
        <v>0.000999017485809069</v>
      </c>
      <c r="M242" s="20" t="n">
        <f aca="false">+M241*(1+L242)</f>
        <v>100.578339003553</v>
      </c>
    </row>
    <row r="243" customFormat="false" ht="15" hidden="false" customHeight="false" outlineLevel="0" collapsed="false">
      <c r="A243" s="18" t="n">
        <v>45869</v>
      </c>
      <c r="B243" s="3" t="n">
        <v>25521.26</v>
      </c>
      <c r="C243" s="26" t="n">
        <f aca="false">(B243/B242-1)/(A243-A242)*30/1</f>
        <v>0.00416735040333568</v>
      </c>
      <c r="D243" s="20" t="n">
        <f aca="false">+D242*(1+C243)</f>
        <v>102.104681809646</v>
      </c>
      <c r="F243" s="18" t="n">
        <v>45869</v>
      </c>
      <c r="G243" s="4" t="n">
        <v>1029.0543</v>
      </c>
      <c r="H243" s="4" t="n">
        <f aca="false">+G243+$S$151+$S$153+$S$155+$S$157+$S$159+$S$161</f>
        <v>1029.0543</v>
      </c>
      <c r="I243" s="26" t="n">
        <f aca="false">+(H243/H242-1)/(F243-F242)*30</f>
        <v>0.00650066707481714</v>
      </c>
      <c r="J243" s="19" t="n">
        <f aca="false">+J242*(1+I243)</f>
        <v>102.685157059303</v>
      </c>
      <c r="K243" s="3" t="n">
        <v>6197.08</v>
      </c>
      <c r="L243" s="26" t="n">
        <f aca="false">+(K243/K242-1)/(F243-F242)*30/3</f>
        <v>0.000951790170294718</v>
      </c>
      <c r="M243" s="20" t="n">
        <f aca="false">+M242*(1+L243)</f>
        <v>100.674068477961</v>
      </c>
    </row>
    <row r="244" customFormat="false" ht="15" hidden="false" customHeight="false" outlineLevel="0" collapsed="false">
      <c r="A244" s="18" t="n">
        <v>45900</v>
      </c>
      <c r="B244" s="3" t="n">
        <v>25619.09</v>
      </c>
      <c r="C244" s="26" t="n">
        <f aca="false">(B244/B243-1)/(A244-A243)*30/1</f>
        <v>0.00370962066717663</v>
      </c>
      <c r="D244" s="20" t="n">
        <f aca="false">+D243*(1+C244)</f>
        <v>102.483451447502</v>
      </c>
      <c r="F244" s="18" t="n">
        <v>45900</v>
      </c>
      <c r="G244" s="4" t="n">
        <v>1035.851</v>
      </c>
      <c r="H244" s="4" t="n">
        <f aca="false">+G244+$S$151+$S$153+$S$155+$S$157+$S$159+$S$161</f>
        <v>1035.851</v>
      </c>
      <c r="I244" s="26" t="n">
        <f aca="false">+(H244/H243-1)/(F244-F243)*30</f>
        <v>0.00639174396618665</v>
      </c>
      <c r="J244" s="19" t="n">
        <f aca="false">+J243*(1+I244)</f>
        <v>103.341494292353</v>
      </c>
      <c r="K244" s="3" t="n">
        <v>6215.6746</v>
      </c>
      <c r="L244" s="26" t="n">
        <f aca="false">+(K244/K243-1)/(F244-F243)*30/3</f>
        <v>0.000967916835754303</v>
      </c>
      <c r="M244" s="20" t="n">
        <f aca="false">+M243*(1+L244)</f>
        <v>100.771512603765</v>
      </c>
    </row>
    <row r="245" customFormat="false" ht="15" hidden="false" customHeight="false" outlineLevel="0" collapsed="false">
      <c r="A245" s="18" t="n">
        <v>45930</v>
      </c>
      <c r="B245" s="3" t="n">
        <v>25727.46</v>
      </c>
      <c r="C245" s="26" t="n">
        <f aca="false">(B245/B244-1)/(A245-A244)*30/1</f>
        <v>0.00423004876441735</v>
      </c>
      <c r="D245" s="20" t="n">
        <f aca="false">+D244*(1+C245)</f>
        <v>102.916961444671</v>
      </c>
      <c r="F245" s="18" t="n">
        <v>45930</v>
      </c>
      <c r="G245" s="4" t="n">
        <v>1042.2956</v>
      </c>
      <c r="H245" s="4" t="n">
        <f aca="false">+G245+$S$151+$S$153+$S$155+$S$157+$S$159+$S$161</f>
        <v>1042.2956</v>
      </c>
      <c r="I245" s="26" t="n">
        <f aca="false">+(H245/H244-1)/(F245-F244)*30</f>
        <v>0.00622155116903866</v>
      </c>
      <c r="J245" s="19" t="n">
        <f aca="false">+J244*(1+I245)</f>
        <v>103.984438686978</v>
      </c>
      <c r="K245" s="3" t="n">
        <v>6232.8399</v>
      </c>
      <c r="L245" s="26" t="n">
        <f aca="false">+(K245/K244-1)/(F245-F244)*30/3</f>
        <v>0.000920538322045787</v>
      </c>
      <c r="M245" s="20" t="n">
        <f aca="false">+M244*(1+L245)</f>
        <v>100.864276642887</v>
      </c>
    </row>
    <row r="246" customFormat="false" ht="15" hidden="false" customHeight="false" outlineLevel="0" collapsed="false">
      <c r="A246" s="18" t="n">
        <v>45961</v>
      </c>
      <c r="B246" s="3" t="n">
        <v>25829.5</v>
      </c>
      <c r="C246" s="26" t="n">
        <f aca="false">(B246/B245-1)/(A246-A245)*30/1</f>
        <v>0.00383824859106876</v>
      </c>
      <c r="D246" s="20" t="n">
        <f aca="false">+D245*(1+C246)</f>
        <v>103.311982326933</v>
      </c>
      <c r="F246" s="18" t="n">
        <v>45961</v>
      </c>
      <c r="G246" s="4" t="n">
        <v>1049.2679</v>
      </c>
      <c r="H246" s="4" t="n">
        <f aca="false">+G246+$S$151+$S$153+$S$155+$S$157+$S$159+$S$161</f>
        <v>1049.2679</v>
      </c>
      <c r="I246" s="26" t="n">
        <f aca="false">+(H246/H245-1)/(F246-F245)*30</f>
        <v>0.00647358301884262</v>
      </c>
      <c r="J246" s="19" t="n">
        <f aca="false">+J245*(1+I246)</f>
        <v>104.657590583486</v>
      </c>
      <c r="K246" s="3" t="n">
        <v>6250.6982</v>
      </c>
      <c r="L246" s="26" t="n">
        <f aca="false">+(K246/K245-1)/(F246-F245)*30/3</f>
        <v>0.000924256362735051</v>
      </c>
      <c r="M246" s="20" t="n">
        <f aca="false">+M245*(1+L246)</f>
        <v>100.957501092347</v>
      </c>
    </row>
    <row r="247" customFormat="false" ht="15" hidden="false" customHeight="false" outlineLevel="0" collapsed="false">
      <c r="A247" s="18" t="n">
        <v>45991</v>
      </c>
      <c r="B247" s="3" t="n">
        <v>25928.49</v>
      </c>
      <c r="C247" s="26" t="n">
        <f aca="false">(B247/B246-1)/(A247-A246)*30/1</f>
        <v>0.00383243965233548</v>
      </c>
      <c r="D247" s="20" t="n">
        <f aca="false">+D246*(1+C247)</f>
        <v>103.707919264564</v>
      </c>
      <c r="F247" s="18" t="n">
        <v>45991</v>
      </c>
      <c r="G247" s="4" t="n">
        <v>1056.0312</v>
      </c>
      <c r="H247" s="4" t="n">
        <f aca="false">+G247+$S$151+$S$153+$S$155+$S$157+$S$159+$S$161</f>
        <v>1056.0312</v>
      </c>
      <c r="I247" s="26" t="n">
        <f aca="false">+(H247/H246-1)/(F247-F246)*30</f>
        <v>0.00644573230535284</v>
      </c>
      <c r="J247" s="19" t="n">
        <f aca="false">+J246*(1+I247)</f>
        <v>105.33218539611</v>
      </c>
      <c r="K247" s="3" t="n">
        <v>6268.169</v>
      </c>
      <c r="L247" s="26" t="n">
        <f aca="false">+(K247/K246-1)/(F247-F246)*30/3</f>
        <v>0.000931671921066357</v>
      </c>
      <c r="M247" s="20" t="n">
        <f aca="false">+M246*(1+L247)</f>
        <v>101.051560361336</v>
      </c>
    </row>
    <row r="248" customFormat="false" ht="15" hidden="false" customHeight="false" outlineLevel="0" collapsed="false">
      <c r="A248" s="18" t="n">
        <v>46022</v>
      </c>
      <c r="B248" s="3" t="n">
        <v>26035.82</v>
      </c>
      <c r="C248" s="26" t="n">
        <f aca="false">(B248/B247-1)/(A248-A247)*30/1</f>
        <v>0.00400593100236385</v>
      </c>
      <c r="D248" s="20" t="n">
        <v>101</v>
      </c>
      <c r="F248" s="18" t="n">
        <v>46022</v>
      </c>
      <c r="G248" s="69" t="n">
        <v>1063.3792</v>
      </c>
      <c r="H248" s="4" t="n">
        <f aca="false">+G248+$S$151+$S$153+$S$155+$S$157+$S$159+$S$161</f>
        <v>1063.3792</v>
      </c>
      <c r="I248" s="26" t="n">
        <f aca="false">+(H248/H247-1)/(F248-F247)*30</f>
        <v>0.00673367201834161</v>
      </c>
      <c r="J248" s="19" t="n">
        <v>101</v>
      </c>
      <c r="K248" s="70" t="n">
        <v>6285.9566</v>
      </c>
      <c r="L248" s="26" t="n">
        <v>1</v>
      </c>
      <c r="M248" s="20" t="n">
        <v>101</v>
      </c>
    </row>
    <row r="249" customFormat="false" ht="15" hidden="false" customHeight="false" outlineLevel="0" collapsed="false">
      <c r="A249" s="18" t="n">
        <v>46053</v>
      </c>
      <c r="B249" s="3" t="n">
        <v>26136.9</v>
      </c>
      <c r="C249" s="26" t="n">
        <f aca="false">(B249/B248-1)/(A249-A248)*30/1</f>
        <v>0.00375710674135526</v>
      </c>
      <c r="D249" s="20" t="n">
        <f aca="false">+D248*(1+C249)</f>
        <v>101.379467780877</v>
      </c>
      <c r="F249" s="18" t="n">
        <v>46053</v>
      </c>
      <c r="G249" s="69" t="n">
        <v>1070.2717</v>
      </c>
      <c r="H249" s="4" t="n">
        <f aca="false">+G249+$S$151+$S$153+$S$155+$S$157+$S$159+$S$161</f>
        <v>1070.2717</v>
      </c>
      <c r="I249" s="26" t="n">
        <f aca="false">+(H249/H248-1)/(F249-F248)*30</f>
        <v>0.00627260838873136</v>
      </c>
      <c r="J249" s="19" t="n">
        <f aca="false">+J248*(1+I249)</f>
        <v>101.633533447262</v>
      </c>
      <c r="K249" s="3" t="n">
        <v>6303.0823</v>
      </c>
      <c r="L249" s="26" t="n">
        <f aca="false">+(K249/K248-1)/(F249-F248)*30/3</f>
        <v>0.00087885101765398</v>
      </c>
      <c r="M249" s="20" t="n">
        <f aca="false">+M248*(1+L249)</f>
        <v>101.088763952783</v>
      </c>
    </row>
    <row r="250" customFormat="false" ht="15" hidden="false" customHeight="false" outlineLevel="0" collapsed="false">
      <c r="A250" s="71" t="n">
        <v>46081</v>
      </c>
      <c r="B250" s="72" t="n">
        <v>26231.81</v>
      </c>
      <c r="C250" s="26" t="n">
        <f aca="false">(B250/B249-1)/(A250-A249)*30/1</f>
        <v>0.00389064065418173</v>
      </c>
      <c r="D250" s="20" t="n">
        <f aca="false">+D249*(1+C250)</f>
        <v>101.773898859724</v>
      </c>
      <c r="F250" s="71" t="n">
        <v>46081</v>
      </c>
      <c r="G250" s="69" t="n">
        <v>1076.6849</v>
      </c>
      <c r="H250" s="4" t="n">
        <f aca="false">+G250+$S$151+$S$153+$S$155+$S$157+$S$159+$S$161</f>
        <v>1076.6849</v>
      </c>
      <c r="I250" s="26" t="n">
        <f aca="false">+(H250/H249-1)/(F250-F249)*30</f>
        <v>0.00642013211625198</v>
      </c>
      <c r="J250" s="19" t="n">
        <f aca="false">+J249*(1+I250)</f>
        <v>102.286034159435</v>
      </c>
      <c r="K250" s="73" t="n">
        <v>6318.4947</v>
      </c>
      <c r="L250" s="26" t="n">
        <f aca="false">+(K250/K249-1)/(F250-F249)*30/3</f>
        <v>0.000873291559500793</v>
      </c>
      <c r="M250" s="20" t="n">
        <f aca="false">+M249*(1+L250)</f>
        <v>101.177043917103</v>
      </c>
    </row>
    <row r="251" customFormat="false" ht="16.4" hidden="false" customHeight="false" outlineLevel="0" collapsed="false">
      <c r="A251" s="71" t="n">
        <v>46112</v>
      </c>
      <c r="B251" s="72" t="n">
        <v>26333.64</v>
      </c>
      <c r="C251" s="26" t="n">
        <f aca="false">(B251/B250-1)/(A251-A250)*30/1</f>
        <v>0.00375670459988545</v>
      </c>
      <c r="D251" s="20" t="n">
        <f aca="false">+D250*(1+C251)</f>
        <v>102.156233333719</v>
      </c>
      <c r="F251" s="71" t="n">
        <v>46112</v>
      </c>
      <c r="G251" s="74" t="n">
        <v>1083.409</v>
      </c>
      <c r="H251" s="4" t="n">
        <f aca="false">+G251+$S$151+$S$153+$S$155+$S$157+$S$159+$S$161</f>
        <v>1083.409</v>
      </c>
      <c r="I251" s="26" t="n">
        <f aca="false">+(H251/H250-1)/(F251-F250)*30</f>
        <v>0.00604373066659263</v>
      </c>
      <c r="J251" s="19" t="n">
        <f aca="false">+J250*(1+I251)</f>
        <v>102.904223400848</v>
      </c>
      <c r="K251" s="75" t="n">
        <v>6335.4774</v>
      </c>
      <c r="L251" s="26" t="n">
        <f aca="false">+(K251/K250-1)/(F251-F250)*30/3</f>
        <v>0.000867024597263747</v>
      </c>
      <c r="M251" s="20" t="n">
        <f aca="false">+M250*(1+L251)</f>
        <v>101.264766902858</v>
      </c>
    </row>
    <row r="252" customFormat="false" ht="15" hidden="false" customHeight="false" outlineLevel="0" collapsed="false">
      <c r="A252" s="18" t="n">
        <v>46142</v>
      </c>
      <c r="B252" s="3" t="n">
        <v>19635.3400812264</v>
      </c>
      <c r="C252" s="26" t="n">
        <f aca="false">(B252/B251-1)/(A252-A251)*30/1</f>
        <v>-0.254362857499898</v>
      </c>
      <c r="D252" s="20" t="n">
        <f aca="false">+D251*(1+C252)</f>
        <v>76.171481911528</v>
      </c>
      <c r="F252" s="18" t="n">
        <v>46142</v>
      </c>
      <c r="G252" s="76" t="n">
        <v>1089.9631</v>
      </c>
      <c r="H252" s="4" t="n">
        <f aca="false">+G252+$S$151+$S$153+$S$155+$S$157+$S$159+$S$161</f>
        <v>1089.9631</v>
      </c>
      <c r="I252" s="26" t="n">
        <f aca="false">+(H252/H251-1)/(F252-F251)*30</f>
        <v>0.00604951592611824</v>
      </c>
      <c r="J252" s="19" t="n">
        <f aca="false">+J251*(1+I252)</f>
        <v>103.526744139177</v>
      </c>
      <c r="L252" s="26" t="n">
        <f aca="false">+(K252/K251-1)/(F252-F251)*30/3</f>
        <v>-0.333333333333333</v>
      </c>
      <c r="M252" s="20" t="n">
        <f aca="false">+M251*(1+L252)</f>
        <v>67.5098446019053</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2.71"/>
    <col collapsed="false" customWidth="true" hidden="false" outlineLevel="0" max="15" min="5" style="0" width="6.71"/>
    <col collapsed="false" customWidth="true" hidden="false" outlineLevel="0" max="16" min="16" style="0" width="4"/>
    <col collapsed="false" customWidth="true" hidden="false" outlineLevel="0" max="17" min="17" style="0" width="6.71"/>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15" hidden="false" customHeight="false" outlineLevel="0" collapsed="false">
      <c r="C1" s="78"/>
      <c r="D1" s="79"/>
      <c r="E1" s="79"/>
      <c r="F1" s="79"/>
      <c r="G1" s="79"/>
      <c r="H1" s="79"/>
      <c r="I1" s="79"/>
      <c r="J1" s="79"/>
      <c r="K1" s="79"/>
      <c r="L1" s="79"/>
      <c r="M1" s="79"/>
      <c r="N1" s="79"/>
      <c r="O1" s="79"/>
      <c r="P1" s="79"/>
      <c r="Q1" s="79"/>
      <c r="R1" s="79"/>
      <c r="S1" s="80" t="s">
        <v>29</v>
      </c>
      <c r="T1" s="81" t="s">
        <v>30</v>
      </c>
      <c r="U1" s="81" t="s">
        <v>31</v>
      </c>
      <c r="V1" s="81" t="s">
        <v>32</v>
      </c>
      <c r="W1" s="81" t="s">
        <v>33</v>
      </c>
      <c r="X1" s="82" t="str">
        <f aca="false">+'Datos ICP (2)'!BB28</f>
        <v>Acum. 2026</v>
      </c>
    </row>
    <row r="2" customFormat="false" ht="15" hidden="false" customHeight="false" outlineLevel="0" collapsed="false">
      <c r="C2" s="78"/>
      <c r="D2" s="79"/>
      <c r="E2" s="79"/>
      <c r="F2" s="79"/>
      <c r="G2" s="79"/>
      <c r="H2" s="79"/>
      <c r="I2" s="79"/>
      <c r="J2" s="79"/>
      <c r="K2" s="79"/>
      <c r="L2" s="79"/>
      <c r="M2" s="79"/>
      <c r="N2" s="79"/>
      <c r="O2" s="79"/>
      <c r="P2" s="79"/>
      <c r="Q2" s="79"/>
      <c r="R2" s="79"/>
      <c r="S2" s="78" t="s">
        <v>43</v>
      </c>
      <c r="T2" s="83" t="n">
        <f aca="false">+'Datos ICP (2)'!AX29</f>
        <v>-0.254362857499898</v>
      </c>
      <c r="U2" s="83" t="n">
        <f aca="false">+'Datos ICP (2)'!AY29</f>
        <v>-0.248750231235289</v>
      </c>
      <c r="V2" s="83" t="n">
        <f aca="false">+'Datos ICP (2)'!AZ29</f>
        <v>-0.239809516977627</v>
      </c>
      <c r="W2" s="83" t="n">
        <f aca="false">+Q33</f>
        <v>0</v>
      </c>
      <c r="X2" s="83" t="n">
        <f aca="false">+'Datos ICP (2)'!BB29</f>
        <v>-0.746250693705866</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IFERROR(+'Datos ICP (2)'!AX30,0)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4" t="s">
        <v>19</v>
      </c>
      <c r="T4" s="83" t="n">
        <f aca="false">IFERROR(+'Datos ICP (2)'!AX31,0)</f>
        <v>0.00604951592611824</v>
      </c>
      <c r="U4" s="83" t="n">
        <f aca="false">+'Datos ICP (2)'!AY31</f>
        <v>0.0183985057252285</v>
      </c>
      <c r="V4" s="83" t="n">
        <f aca="false">+'Datos ICP (2)'!AZ31</f>
        <v>0.0387843752772765</v>
      </c>
      <c r="W4" s="83" t="n">
        <f aca="false">+Q35</f>
        <v>0</v>
      </c>
      <c r="X4" s="83" t="n">
        <f aca="false">+'Datos ICP (2)'!BB31</f>
        <v>0.0551955171756855</v>
      </c>
    </row>
    <row r="5" customFormat="false" ht="15" hidden="false" customHeight="false" outlineLevel="0" collapsed="false">
      <c r="B5" s="85"/>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5"/>
      <c r="C6" s="80" t="s">
        <v>36</v>
      </c>
      <c r="D6" s="86" t="s">
        <v>37</v>
      </c>
      <c r="E6" s="81" t="s">
        <v>4</v>
      </c>
      <c r="F6" s="81" t="s">
        <v>5</v>
      </c>
      <c r="G6" s="81" t="s">
        <v>6</v>
      </c>
      <c r="H6" s="81" t="s">
        <v>7</v>
      </c>
      <c r="I6" s="81" t="s">
        <v>8</v>
      </c>
      <c r="J6" s="81" t="s">
        <v>9</v>
      </c>
      <c r="K6" s="81" t="s">
        <v>10</v>
      </c>
      <c r="L6" s="81" t="s">
        <v>11</v>
      </c>
      <c r="M6" s="81" t="s">
        <v>12</v>
      </c>
      <c r="N6" s="81" t="s">
        <v>13</v>
      </c>
      <c r="O6" s="81" t="s">
        <v>14</v>
      </c>
      <c r="P6" s="81" t="s">
        <v>15</v>
      </c>
      <c r="Q6" s="82" t="s">
        <v>44</v>
      </c>
      <c r="R6" s="87"/>
      <c r="S6" s="79"/>
      <c r="T6" s="79"/>
      <c r="U6" s="79"/>
      <c r="V6" s="79"/>
      <c r="W6" s="79"/>
      <c r="X6" s="79"/>
    </row>
    <row r="7" customFormat="false" ht="15" hidden="false" customHeight="true" outlineLevel="0" collapsed="false">
      <c r="B7" s="85"/>
      <c r="C7" s="78"/>
      <c r="D7" s="79"/>
      <c r="E7" s="88"/>
      <c r="F7" s="88"/>
      <c r="G7" s="88"/>
      <c r="H7" s="88"/>
      <c r="I7" s="88"/>
      <c r="J7" s="88"/>
      <c r="K7" s="88"/>
      <c r="L7" s="88"/>
      <c r="M7" s="88"/>
      <c r="N7" s="88"/>
      <c r="O7" s="88"/>
      <c r="P7" s="88"/>
      <c r="Q7" s="88"/>
      <c r="R7" s="87"/>
      <c r="S7" s="79"/>
      <c r="T7" s="79"/>
      <c r="U7" s="79"/>
      <c r="V7" s="79"/>
      <c r="W7" s="79"/>
      <c r="X7" s="79"/>
    </row>
    <row r="8" customFormat="false" ht="15" hidden="true" customHeight="true" outlineLevel="0" collapsed="false">
      <c r="B8" s="85"/>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5"/>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5"/>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5"/>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5"/>
      <c r="C12" s="78" t="n">
        <v>2017</v>
      </c>
      <c r="D12" s="79" t="s">
        <v>3</v>
      </c>
      <c r="E12" s="83"/>
      <c r="F12" s="83"/>
      <c r="G12" s="83"/>
      <c r="H12" s="83"/>
      <c r="I12" s="83"/>
      <c r="J12" s="83"/>
      <c r="K12" s="83"/>
      <c r="L12" s="83"/>
      <c r="M12" s="83"/>
      <c r="N12" s="83"/>
      <c r="O12" s="83"/>
      <c r="P12" s="83"/>
      <c r="Q12" s="83"/>
      <c r="R12" s="79"/>
      <c r="S12" s="79"/>
      <c r="T12" s="89"/>
      <c r="U12" s="79"/>
      <c r="V12" s="79"/>
      <c r="W12" s="79"/>
      <c r="X12" s="79"/>
    </row>
    <row r="13" customFormat="false" ht="15" hidden="true" customHeight="true" outlineLevel="0" collapsed="false">
      <c r="B13" s="85"/>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5"/>
      <c r="C14" s="78"/>
      <c r="D14" s="79" t="s">
        <v>45</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5"/>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5"/>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5"/>
      <c r="C17" s="78"/>
      <c r="D17" s="79" t="s">
        <v>45</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45</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45</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90"/>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45</v>
      </c>
      <c r="E26" s="90"/>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90"/>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45</v>
      </c>
      <c r="E29" s="90"/>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90"/>
      <c r="F31" s="90"/>
      <c r="G31" s="90"/>
      <c r="H31" s="90"/>
      <c r="I31" s="90"/>
      <c r="J31" s="90"/>
      <c r="K31" s="90"/>
      <c r="L31" s="90"/>
      <c r="M31" s="90"/>
      <c r="N31" s="90"/>
      <c r="O31" s="90"/>
      <c r="P31" s="90"/>
      <c r="Q31" s="83"/>
      <c r="R31" s="79"/>
      <c r="S31" s="79"/>
      <c r="T31" s="79"/>
      <c r="U31" s="79"/>
      <c r="V31" s="79"/>
      <c r="W31" s="79"/>
      <c r="X31" s="79"/>
    </row>
    <row r="32" customFormat="false" ht="15" hidden="true" customHeight="true" outlineLevel="0" collapsed="false">
      <c r="C32" s="78"/>
      <c r="D32" s="79" t="s">
        <v>45</v>
      </c>
      <c r="E32" s="90"/>
      <c r="F32" s="90"/>
      <c r="G32" s="90"/>
      <c r="H32" s="90"/>
      <c r="I32" s="90"/>
      <c r="J32" s="90"/>
      <c r="K32" s="90"/>
      <c r="L32" s="90"/>
      <c r="M32" s="90"/>
      <c r="N32" s="90"/>
      <c r="O32" s="90"/>
      <c r="P32" s="90"/>
      <c r="Q32" s="83"/>
      <c r="R32" s="79"/>
      <c r="S32" s="79"/>
      <c r="T32" s="79"/>
      <c r="U32" s="79"/>
      <c r="V32" s="79"/>
      <c r="W32" s="79"/>
      <c r="X32" s="79"/>
    </row>
    <row r="33" customFormat="false" ht="15" hidden="true" customHeight="true" outlineLevel="0" collapsed="false">
      <c r="C33" s="78" t="n">
        <v>2024</v>
      </c>
      <c r="D33" s="79" t="s">
        <v>3</v>
      </c>
      <c r="E33" s="83"/>
      <c r="F33" s="83"/>
      <c r="G33" s="83"/>
      <c r="H33" s="83"/>
      <c r="I33" s="83"/>
      <c r="J33" s="83"/>
      <c r="K33" s="83"/>
      <c r="L33" s="83"/>
      <c r="M33" s="83"/>
      <c r="N33" s="83"/>
      <c r="O33" s="83"/>
      <c r="P33" s="83"/>
      <c r="Q33" s="83"/>
      <c r="R33" s="79"/>
      <c r="S33" s="79"/>
      <c r="T33" s="79"/>
      <c r="U33" s="79"/>
      <c r="V33" s="79"/>
      <c r="W33" s="79"/>
      <c r="X33" s="79"/>
    </row>
    <row r="34" customFormat="false" ht="15" hidden="true" customHeight="true" outlineLevel="0" collapsed="false">
      <c r="C34" s="78"/>
      <c r="D34" s="79" t="s">
        <v>26</v>
      </c>
      <c r="E34" s="90"/>
      <c r="F34" s="90"/>
      <c r="G34" s="90"/>
      <c r="H34" s="90"/>
      <c r="I34" s="90"/>
      <c r="J34" s="90"/>
      <c r="K34" s="90"/>
      <c r="L34" s="90"/>
      <c r="M34" s="90"/>
      <c r="N34" s="90"/>
      <c r="O34" s="90"/>
      <c r="P34" s="90"/>
      <c r="Q34" s="83"/>
      <c r="R34" s="79"/>
      <c r="S34" s="79"/>
      <c r="T34" s="79"/>
      <c r="U34" s="79"/>
      <c r="V34" s="79"/>
      <c r="W34" s="79"/>
      <c r="X34" s="79"/>
    </row>
    <row r="35" customFormat="false" ht="15" hidden="true" customHeight="true" outlineLevel="0" collapsed="false">
      <c r="C35" s="78"/>
      <c r="D35" s="12" t="s">
        <v>19</v>
      </c>
      <c r="E35" s="90"/>
      <c r="F35" s="90"/>
      <c r="G35" s="90"/>
      <c r="H35" s="90"/>
      <c r="I35" s="90"/>
      <c r="J35" s="90"/>
      <c r="K35" s="90"/>
      <c r="L35" s="90"/>
      <c r="M35" s="90"/>
      <c r="N35" s="90"/>
      <c r="O35" s="90"/>
      <c r="P35" s="90"/>
      <c r="Q35" s="83"/>
      <c r="R35" s="79"/>
      <c r="S35" s="79"/>
      <c r="T35" s="79"/>
      <c r="U35" s="79"/>
      <c r="V35" s="79"/>
      <c r="W35" s="79"/>
      <c r="X35" s="79"/>
    </row>
    <row r="36" customFormat="false" ht="15" hidden="false" customHeight="true" outlineLevel="0" collapsed="false">
      <c r="C36" s="78" t="n">
        <v>2025</v>
      </c>
      <c r="D36" s="79" t="s">
        <v>3</v>
      </c>
      <c r="E36" s="90"/>
      <c r="F36" s="90"/>
      <c r="G36" s="90" t="n">
        <f aca="false">+'Datos ICP (2)'!AG83</f>
        <v>0.0043138020854181</v>
      </c>
      <c r="H36" s="90" t="n">
        <f aca="false">+'Datos ICP (2)'!AH83</f>
        <v>0.00417571644342774</v>
      </c>
      <c r="I36" s="90" t="n">
        <f aca="false">+'Datos ICP (2)'!AI83</f>
        <v>0.00417422694650416</v>
      </c>
      <c r="J36" s="90" t="n">
        <f aca="false">+'Datos ICP (2)'!AJ83</f>
        <v>0.00431456613652492</v>
      </c>
      <c r="K36" s="90" t="n">
        <f aca="false">+'Datos ICP (2)'!AK83</f>
        <v>0.00430626208344687</v>
      </c>
      <c r="L36" s="90" t="n">
        <f aca="false">+'Datos ICP (2)'!AL83</f>
        <v>0.00383327468941586</v>
      </c>
      <c r="M36" s="90" t="n">
        <f aca="false">+'Datos ICP (2)'!AM83</f>
        <v>0.00423004876441735</v>
      </c>
      <c r="N36" s="90" t="n">
        <f aca="false">+'Datos ICP (2)'!AN83</f>
        <v>0.00396619021077105</v>
      </c>
      <c r="O36" s="90" t="n">
        <f aca="false">+'Datos ICP (2)'!AO83</f>
        <v>0.00383243965233548</v>
      </c>
      <c r="P36" s="90"/>
      <c r="Q36" s="83" t="n">
        <f aca="false">+'Datos ICP (2)'!AQ83</f>
        <v>0.0504736457030882</v>
      </c>
      <c r="R36" s="79"/>
      <c r="S36" s="79"/>
      <c r="T36" s="79"/>
      <c r="U36" s="79"/>
      <c r="V36" s="79"/>
      <c r="W36" s="79"/>
      <c r="X36" s="79"/>
    </row>
    <row r="37" customFormat="false" ht="15" hidden="false" customHeight="true" outlineLevel="0" collapsed="false">
      <c r="C37" s="78"/>
      <c r="D37" s="79" t="s">
        <v>26</v>
      </c>
      <c r="E37" s="90"/>
      <c r="F37" s="90"/>
      <c r="G37" s="90" t="n">
        <f aca="false">+'Datos ICP (2)'!AG84</f>
        <v>0.00306282692323312</v>
      </c>
      <c r="H37" s="90" t="n">
        <f aca="false">+'Datos ICP (2)'!AH84</f>
        <v>0.00297594968581905</v>
      </c>
      <c r="I37" s="90" t="n">
        <f aca="false">+'Datos ICP (2)'!AI84</f>
        <v>0.00308976252279503</v>
      </c>
      <c r="J37" s="90" t="n">
        <f aca="false">+'Datos ICP (2)'!AJ84</f>
        <v>0.00299705245742721</v>
      </c>
      <c r="K37" s="90" t="n">
        <f aca="false">+'Datos ICP (2)'!AK84</f>
        <v>0.00295054952791363</v>
      </c>
      <c r="L37" s="90" t="n">
        <f aca="false">+'Datos ICP (2)'!AL84</f>
        <v>0.00300054219083834</v>
      </c>
      <c r="M37" s="90" t="n">
        <f aca="false">+'Datos ICP (2)'!AM84</f>
        <v>0.00276161496613736</v>
      </c>
      <c r="N37" s="90" t="n">
        <f aca="false">+'Datos ICP (2)'!AN84</f>
        <v>0.00286519472447866</v>
      </c>
      <c r="O37" s="90" t="n">
        <f aca="false">+'Datos ICP (2)'!AO84</f>
        <v>0.00279501576319907</v>
      </c>
      <c r="P37" s="90"/>
      <c r="Q37" s="83" t="n">
        <f aca="false">+'Datos ICP (2)'!AQ84</f>
        <v>0.0356718476389973</v>
      </c>
      <c r="R37" s="79"/>
      <c r="S37" s="79"/>
      <c r="T37" s="79"/>
      <c r="U37" s="79"/>
      <c r="V37" s="79"/>
      <c r="W37" s="79"/>
      <c r="X37" s="79"/>
    </row>
    <row r="38" customFormat="false" ht="15" hidden="false" customHeight="true" outlineLevel="0" collapsed="false">
      <c r="C38" s="78"/>
      <c r="D38" s="84" t="s">
        <v>19</v>
      </c>
      <c r="E38" s="90"/>
      <c r="F38" s="90"/>
      <c r="G38" s="90" t="n">
        <f aca="false">+'Datos ICP (2)'!AG85</f>
        <v>0.000505159697865083</v>
      </c>
      <c r="H38" s="90" t="n">
        <f aca="false">+'Datos ICP (2)'!AH85</f>
        <v>0.00625513212573536</v>
      </c>
      <c r="I38" s="90" t="n">
        <f aca="false">+'Datos ICP (2)'!AI85</f>
        <v>0.00713560262650459</v>
      </c>
      <c r="J38" s="90" t="n">
        <f aca="false">+'Datos ICP (2)'!AJ85</f>
        <v>0.00635709776645532</v>
      </c>
      <c r="K38" s="90" t="n">
        <f aca="false">+'Datos ICP (2)'!AK85</f>
        <v>0.00671735597731105</v>
      </c>
      <c r="L38" s="90" t="n">
        <f aca="false">+'Datos ICP (2)'!AL85</f>
        <v>0.00660480209839287</v>
      </c>
      <c r="M38" s="90" t="n">
        <f aca="false">+'Datos ICP (2)'!AM85</f>
        <v>0.00622155116903866</v>
      </c>
      <c r="N38" s="90" t="n">
        <f aca="false">+'Datos ICP (2)'!AN85</f>
        <v>0.00668936911947071</v>
      </c>
      <c r="O38" s="90" t="n">
        <f aca="false">+'Datos ICP (2)'!AO85</f>
        <v>0.00644573230535284</v>
      </c>
      <c r="P38" s="90"/>
      <c r="Q38" s="83" t="n">
        <f aca="false">+'Datos ICP (2)'!AQ85</f>
        <v>0.0760655037371309</v>
      </c>
      <c r="R38" s="79"/>
      <c r="S38" s="79"/>
      <c r="T38" s="79"/>
      <c r="U38" s="79"/>
      <c r="V38" s="79"/>
      <c r="W38" s="79"/>
      <c r="X38" s="79"/>
    </row>
    <row r="39" customFormat="false" ht="15" hidden="false" customHeight="false" outlineLevel="0" collapsed="false">
      <c r="C39" s="78" t="n">
        <v>2026</v>
      </c>
      <c r="D39" s="79" t="s">
        <v>3</v>
      </c>
      <c r="E39" s="90" t="n">
        <f aca="false">+'Datos ICP (2)'!AE86</f>
        <v>0.00388234363273376</v>
      </c>
      <c r="F39" s="90" t="n">
        <f aca="false">+'Datos ICP (2)'!AF86</f>
        <v>0.00363126461056962</v>
      </c>
      <c r="G39" s="90" t="n">
        <f aca="false">+'Datos ICP (2)'!AG86</f>
        <v>0.0038819280865483</v>
      </c>
      <c r="H39" s="90" t="n">
        <f aca="false">+'Datos ICP (2)'!AH86</f>
        <v>-0.254362857499898</v>
      </c>
    </row>
    <row r="40" customFormat="false" ht="15" hidden="false" customHeight="false" outlineLevel="0" collapsed="false">
      <c r="C40" s="78"/>
      <c r="D40" s="79" t="s">
        <v>26</v>
      </c>
      <c r="E40" s="90" t="n">
        <f aca="false">+'Datos ICP (2)'!AE87</f>
        <v>0.00272443815472734</v>
      </c>
      <c r="F40" s="90" t="n">
        <f aca="false">+'Datos ICP (2)'!AF87</f>
        <v>0.00244521636660222</v>
      </c>
      <c r="G40" s="90" t="n">
        <f aca="false">+'Datos ICP (2)'!AG87</f>
        <v>0.00268777625151762</v>
      </c>
      <c r="H40" s="90" t="n">
        <f aca="false">+'Datos ICP (2)'!AH87</f>
        <v>-1</v>
      </c>
    </row>
    <row r="41" customFormat="false" ht="15" hidden="false" customHeight="false" outlineLevel="0" collapsed="false">
      <c r="C41" s="78"/>
      <c r="D41" s="84" t="s">
        <v>19</v>
      </c>
      <c r="E41" s="90" t="n">
        <f aca="false">+'Datos ICP (2)'!AE88</f>
        <v>0.00144037674111609</v>
      </c>
      <c r="F41" s="90" t="n">
        <f aca="false">+'Datos ICP (2)'!AF88</f>
        <v>0.00133158295744486</v>
      </c>
      <c r="G41" s="90" t="n">
        <f aca="false">+'Datos ICP (2)'!AG88</f>
        <v>0.0013878196345509</v>
      </c>
      <c r="H41" s="90" t="n">
        <f aca="false">+'Datos ICP (2)'!AH88</f>
        <v>0.00604951592611824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1"/>
      <c r="C1" s="92"/>
      <c r="J1" s="93" t="s">
        <v>46</v>
      </c>
      <c r="K1" s="91"/>
      <c r="L1" s="94"/>
      <c r="N1" s="93" t="s">
        <v>47</v>
      </c>
      <c r="O1" s="91"/>
      <c r="P1" s="94"/>
      <c r="R1" s="93" t="s">
        <v>48</v>
      </c>
      <c r="S1" s="91"/>
      <c r="T1" s="94"/>
    </row>
    <row r="2" customFormat="false" ht="15" hidden="false" customHeight="false" outlineLevel="0" collapsed="false">
      <c r="C2" s="92"/>
      <c r="O2" s="95" t="s">
        <v>49</v>
      </c>
      <c r="P2" s="96" t="n">
        <v>0</v>
      </c>
    </row>
    <row r="3" customFormat="false" ht="15" hidden="false" customHeight="false" outlineLevel="0" collapsed="false">
      <c r="C3" s="92"/>
      <c r="K3" s="95" t="s">
        <v>50</v>
      </c>
      <c r="L3" s="96" t="n">
        <v>0.3261</v>
      </c>
      <c r="O3" s="95" t="s">
        <v>51</v>
      </c>
      <c r="P3" s="96" t="n">
        <v>0</v>
      </c>
      <c r="S3" s="95" t="s">
        <v>52</v>
      </c>
      <c r="T3" s="96" t="n">
        <v>1</v>
      </c>
    </row>
    <row r="4" customFormat="false" ht="15" hidden="false" customHeight="false" outlineLevel="0" collapsed="false">
      <c r="C4" s="92"/>
      <c r="K4" s="95" t="s">
        <v>53</v>
      </c>
      <c r="L4" s="96" t="n">
        <v>0.5373</v>
      </c>
      <c r="O4" s="95" t="s">
        <v>54</v>
      </c>
      <c r="P4" s="96" t="n">
        <v>0</v>
      </c>
      <c r="S4" s="95" t="s">
        <v>55</v>
      </c>
      <c r="T4" s="96" t="n">
        <v>0</v>
      </c>
    </row>
    <row r="5" customFormat="false" ht="15" hidden="false" customHeight="false" outlineLevel="0" collapsed="false">
      <c r="A5" s="91"/>
      <c r="B5" s="91"/>
      <c r="C5" s="92"/>
      <c r="K5" s="95" t="s">
        <v>56</v>
      </c>
      <c r="L5" s="96" t="n">
        <v>0.1366</v>
      </c>
      <c r="O5" s="95" t="s">
        <v>57</v>
      </c>
      <c r="P5" s="96" t="n">
        <v>0.1563</v>
      </c>
    </row>
    <row r="6" customFormat="false" ht="15" hidden="false" customHeight="false" outlineLevel="0" collapsed="false">
      <c r="A6" s="91"/>
      <c r="B6" s="91"/>
      <c r="C6" s="92"/>
      <c r="K6" s="95" t="s">
        <v>58</v>
      </c>
      <c r="L6" s="96" t="n">
        <v>0</v>
      </c>
      <c r="O6" s="95" t="s">
        <v>59</v>
      </c>
      <c r="P6" s="96" t="n">
        <v>0.805</v>
      </c>
    </row>
    <row r="7" customFormat="false" ht="15" hidden="false" customHeight="false" outlineLevel="0" collapsed="false">
      <c r="B7" s="91"/>
      <c r="C7" s="92"/>
      <c r="L7" s="97" t="n">
        <f aca="false">SUM(L3:L6)</f>
        <v>1</v>
      </c>
      <c r="O7" s="95" t="s">
        <v>60</v>
      </c>
      <c r="P7" s="96" t="n">
        <v>0.0238</v>
      </c>
      <c r="Q7" s="97"/>
    </row>
    <row r="8" customFormat="false" ht="15" hidden="false" customHeight="false" outlineLevel="0" collapsed="false">
      <c r="C8" s="92"/>
      <c r="O8" s="95" t="s">
        <v>61</v>
      </c>
      <c r="P8" s="96" t="n">
        <v>0.0148</v>
      </c>
    </row>
    <row r="9" customFormat="false" ht="15" hidden="false" customHeight="false" outlineLevel="0" collapsed="false">
      <c r="C9" s="92"/>
      <c r="O9" s="95" t="s">
        <v>62</v>
      </c>
      <c r="P9" s="96" t="n">
        <v>0</v>
      </c>
    </row>
    <row r="10" customFormat="false" ht="15" hidden="false" customHeight="false" outlineLevel="0" collapsed="false">
      <c r="C10" s="92"/>
      <c r="O10" s="95" t="s">
        <v>63</v>
      </c>
      <c r="P10" s="96" t="n">
        <v>0</v>
      </c>
    </row>
    <row r="11" customFormat="false" ht="15" hidden="false" customHeight="false" outlineLevel="0" collapsed="false">
      <c r="C11" s="92"/>
      <c r="O11" s="95" t="s">
        <v>64</v>
      </c>
      <c r="P11" s="96" t="n">
        <v>0</v>
      </c>
    </row>
    <row r="12" customFormat="false" ht="15" hidden="true" customHeight="false" outlineLevel="0" collapsed="false">
      <c r="C12" s="92"/>
      <c r="O12" s="95"/>
      <c r="P12" s="96"/>
    </row>
    <row r="13" customFormat="false" ht="15" hidden="false" customHeight="false" outlineLevel="0" collapsed="false">
      <c r="C13" s="92"/>
      <c r="O13" s="95" t="s">
        <v>65</v>
      </c>
      <c r="P13" s="96" t="n">
        <v>0</v>
      </c>
    </row>
    <row r="14" customFormat="false" ht="15" hidden="true" customHeight="false" outlineLevel="0" collapsed="false">
      <c r="A14" s="91" t="s">
        <v>66</v>
      </c>
      <c r="B14" s="98" t="n">
        <v>0</v>
      </c>
      <c r="C14" s="92"/>
    </row>
    <row r="15" customFormat="false" ht="15" hidden="false" customHeight="false" outlineLevel="0" collapsed="false">
      <c r="A15" s="91"/>
      <c r="B15" s="98"/>
      <c r="C15" s="92"/>
      <c r="P15" s="97" t="n">
        <f aca="false">SUM(P2:P14)</f>
        <v>0.9999</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99"/>
      <c r="O21" s="100"/>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2026-05-19T13:56:58Z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