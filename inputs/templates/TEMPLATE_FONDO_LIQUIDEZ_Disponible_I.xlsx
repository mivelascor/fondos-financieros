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<sst xmlns="http://schemas.openxmlformats.org/spreadsheetml/2006/main" count="246" uniqueCount="71">
  <si>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</si>
  <si>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</si>
  <si>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</si>
  <si>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</si>
  <si>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</si>
  <si>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</si>
  <si>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</si>
  <si>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</si>
  <si>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</si>
  <si>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</si>
  <si>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</si>
  <si>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</si>
  <si>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</si>
  <si>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</si>
  <si>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</si>
  <si>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</si>
  <si>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</si>
  <si>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</si>
  <si>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</si>
  <si>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Disponible I</t>
  </si>
  <si>
    <t xml:space="preserve">8057-8</t>
  </si>
  <si>
    <t xml:space="preserve">Competencia Relevante (*)</t>
  </si>
  <si>
    <t xml:space="preserve">Unive</t>
  </si>
  <si>
    <t xml:space="preserve">Santander Money Market</t>
  </si>
  <si>
    <t xml:space="preserve">(*)</t>
  </si>
  <si>
    <t xml:space="preserve">Ingresar mes actual==&gt;</t>
  </si>
  <si>
    <t xml:space="preserve">Competencia</t>
  </si>
  <si>
    <t xml:space="preserve">FIP Liquidez Disponible I</t>
  </si>
  <si>
    <t xml:space="preserve">(*) Acum a Mar</t>
  </si>
  <si>
    <t xml:space="preserve">FONDO LIQUIDEZ DISPONIBLE I</t>
  </si>
  <si>
    <t xml:space="preserve">Disponible I</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</si>
  <si>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</si>
  <si>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</si>
  <si>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</si>
  <si>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</si>
  <si>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</si>
  <si>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</si>
  <si>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</si>
  <si>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DISPONIBLE I</t>
  </si>
  <si>
    <t xml:space="preserve">Año</t>
  </si>
  <si>
    <t xml:space="preserve">Fondo</t>
  </si>
  <si>
    <t xml:space="preserve">DIVIDENDO 2016</t>
  </si>
  <si>
    <t xml:space="preserve">Dividendo 2017</t>
  </si>
  <si>
    <t xml:space="preserve">Dividendo 2018</t>
  </si>
  <si>
    <t xml:space="preserve">Dividendo 2021</t>
  </si>
  <si>
    <t xml:space="preserve">Dividendo 2022</t>
  </si>
  <si>
    <t xml:space="preserve">Dividendo 2023</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</si>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</sst>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17">
    <numFmt numFmtId="164" formatCode="General"/>
    <numFmt numFmtId="165" formatCode="_ * #,##0_ ;_ * \-#,##0_ ;_ * \-_ ;_ @_ "/>
    <numFmt numFmtId="166" formatCode="0%"/>
    <numFmt numFmtId="167" formatCode="#,##0.0000"/>
    <numFmt numFmtId="168" formatCode="0.0000"/>
    <numFmt numFmtId="169" formatCode="0.00%"/>
    <numFmt numFmtId="170" formatCode="m/d/yyyy"/>
    <numFmt numFmtId="171" formatCode="#,##0.00"/>
    <numFmt numFmtId="172" formatCode="0.00"/>
    <numFmt numFmtId="173" formatCode="#,##0.00_ ;[RED]\-#,##0.00\ "/>
    <numFmt numFmtId="174" formatCode="dd\-mm\-yyyy"/>
    <numFmt numFmtId="175" formatCode="General"/>
    <numFmt numFmtId="176" formatCode="_ * #,##0.00_ ;_ * \-#,##0.00_ ;_ * \-_ ;_ @_ "/>
    <numFmt numFmtId="177" formatCode="0.000%"/>
    <numFmt numFmtId="178" formatCode="_ * #,##0.000_ ;_ * \-#,##0.000_ ;_ * \-_ ;_ @_ "/>
    <numFmt numFmtId="179" formatCode="#,##0"/>
    <numFmt numFmtId="180" formatCode="0.0%"/>
  </numFmts>
  <fonts count="37">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ptos Narrow"/>
      <family val="0"/>
      <charset val="1"/>
    </font>
    <font>
      <sz val="8.8"/>
      <color rgb="FF666666"/>
      <name val="Muli"/>
      <family val="0"/>
      <charset val="1"/>
    </font>
    <font>
      <sz val="11"/>
      <color rgb="FF000000"/>
      <name val="Aptos Narrow"/>
      <family val="2"/>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9"/>
      <color theme="1"/>
      <name val="Be Vietnam Pro Medium"/>
      <family val="0"/>
      <charset val="1"/>
    </font>
    <font>
      <b val="true"/>
      <sz val="11"/>
      <color theme="1"/>
      <name val="Aileron"/>
      <family val="3"/>
      <charset val="1"/>
    </font>
    <font>
      <sz val="11"/>
      <color theme="1"/>
      <name val="Aileron"/>
      <family val="3"/>
      <charset val="1"/>
    </font>
    <font>
      <sz val="11"/>
      <name val="Acumin Pro Extra Light"/>
      <family val="2"/>
      <charset val="1"/>
    </font>
    <font>
      <sz val="11"/>
      <name val="Calibri"/>
      <family val="2"/>
      <charset val="1"/>
    </font>
    <font>
      <b val="true"/>
      <sz val="11"/>
      <name val="Acumin Pro Extra Light"/>
      <family val="2"/>
      <charset val="1"/>
    </font>
    <font>
      <sz val="9"/>
      <color theme="0"/>
      <name val="Be Vietnam Pro Light"/>
      <family val="0"/>
      <charset val="1"/>
    </font>
    <font>
      <u val="single"/>
      <sz val="11"/>
      <color theme="1"/>
      <name val="Calibri"/>
      <family val="2"/>
      <charset val="1"/>
    </font>
  </fonts>
  <fills count="10">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rgb="FFDAF2D0"/>
        <bgColor rgb="FFF2F2F2"/>
      </patternFill>
    </fill>
    <fill>
      <patternFill patternType="solid">
        <fgColor rgb="FFF8F8F8"/>
        <bgColor rgb="FFF2F2F2"/>
      </patternFill>
    </fill>
    <fill>
      <patternFill patternType="solid">
        <fgColor theme="1"/>
        <bgColor rgb="FF003300"/>
      </patternFill>
    </fill>
  </fills>
  <borders count="4">
    <border diagonalUp="false" diagonalDown="false">
      <left/>
      <right/>
      <top/>
      <bottom/>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6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10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55" applyFont="true" applyBorder="false" applyAlignment="false" applyProtection="false">
      <alignment horizontal="general" vertical="bottom" textRotation="0" wrapText="false" indent="0" shrinkToFit="false"/>
      <protection locked="true" hidden="false"/>
    </xf>
    <xf numFmtId="167" fontId="7" fillId="0" borderId="0" xfId="55" applyFont="true" applyBorder="false" applyAlignment="false" applyProtection="false">
      <alignment horizontal="general" vertical="bottom" textRotation="0" wrapText="false" indent="0" shrinkToFit="false"/>
      <protection locked="true" hidden="false"/>
    </xf>
    <xf numFmtId="168" fontId="7" fillId="0" borderId="0" xfId="55" applyFont="true" applyBorder="false" applyAlignment="false" applyProtection="false">
      <alignment horizontal="general" vertical="bottom" textRotation="0" wrapText="false" indent="0" shrinkToFit="false"/>
      <protection locked="true" hidden="false"/>
    </xf>
    <xf numFmtId="164" fontId="7" fillId="2" borderId="0" xfId="55" applyFont="true" applyBorder="false" applyAlignment="false" applyProtection="false">
      <alignment horizontal="general" vertical="bottom" textRotation="0" wrapText="false" indent="0" shrinkToFit="false"/>
      <protection locked="true" hidden="false"/>
    </xf>
    <xf numFmtId="164" fontId="8" fillId="3" borderId="0" xfId="55" applyFont="true" applyBorder="false" applyAlignment="false" applyProtection="false">
      <alignment horizontal="general" vertical="bottom" textRotation="0" wrapText="false" indent="0" shrinkToFit="false"/>
      <protection locked="true" hidden="false"/>
    </xf>
    <xf numFmtId="164" fontId="9" fillId="3" borderId="0" xfId="55" applyFont="true" applyBorder="false" applyAlignment="true" applyProtection="false">
      <alignment horizontal="center" vertical="bottom" textRotation="0" wrapText="false" indent="0" shrinkToFit="false"/>
      <protection locked="true" hidden="false"/>
    </xf>
    <xf numFmtId="164" fontId="7" fillId="4" borderId="0" xfId="55" applyFont="true" applyBorder="false" applyAlignment="false" applyProtection="false">
      <alignment horizontal="general" vertical="bottom" textRotation="0" wrapText="false" indent="0" shrinkToFit="false"/>
      <protection locked="true" hidden="false"/>
    </xf>
    <xf numFmtId="164" fontId="7" fillId="0" borderId="0" xfId="55" applyFont="true" applyBorder="false" applyAlignment="true" applyProtection="false">
      <alignment horizontal="center" vertical="bottom" textRotation="0" wrapText="false" indent="0" shrinkToFit="false"/>
      <protection locked="true" hidden="false"/>
    </xf>
    <xf numFmtId="167" fontId="7" fillId="0" borderId="0" xfId="55" applyFont="true" applyBorder="false" applyAlignment="true" applyProtection="false">
      <alignment horizontal="center" vertical="bottom" textRotation="0" wrapText="false" indent="0" shrinkToFit="false"/>
      <protection locked="true" hidden="false"/>
    </xf>
    <xf numFmtId="164" fontId="7" fillId="0" borderId="1" xfId="56" applyFont="true" applyBorder="true" applyAlignment="false" applyProtection="false">
      <alignment horizontal="general" vertical="bottom" textRotation="0" wrapText="false" indent="0" shrinkToFit="false"/>
      <protection locked="true" hidden="false"/>
    </xf>
    <xf numFmtId="169" fontId="7" fillId="0" borderId="0" xfId="58" applyFont="true" applyBorder="false" applyAlignment="false" applyProtection="false">
      <alignment horizontal="general" vertical="bottom" textRotation="0" wrapText="false" indent="0" shrinkToFit="false"/>
      <protection locked="true" hidden="false"/>
    </xf>
    <xf numFmtId="164" fontId="9" fillId="2" borderId="0" xfId="55" applyFont="true" applyBorder="false" applyAlignment="true" applyProtection="false">
      <alignment horizontal="center" vertical="bottom" textRotation="0" wrapText="false" indent="0" shrinkToFit="false"/>
      <protection locked="true" hidden="false"/>
    </xf>
    <xf numFmtId="169" fontId="10" fillId="2" borderId="0" xfId="57" applyFont="true" applyBorder="false" applyAlignment="true" applyProtection="false">
      <alignment horizontal="center" vertical="bottom" textRotation="0" wrapText="false" indent="0" shrinkToFit="false"/>
      <protection locked="true" hidden="false"/>
    </xf>
    <xf numFmtId="169" fontId="11" fillId="2" borderId="0" xfId="57" applyFont="true" applyBorder="false" applyAlignment="true" applyProtection="false">
      <alignment horizontal="center" vertical="bottom" textRotation="0" wrapText="false" indent="0" shrinkToFit="false"/>
      <protection locked="true" hidden="false"/>
    </xf>
    <xf numFmtId="170" fontId="7" fillId="0" borderId="0" xfId="55" applyFont="true" applyBorder="false" applyAlignment="false" applyProtection="false">
      <alignment horizontal="general" vertical="bottom" textRotation="0" wrapText="false" indent="0" shrinkToFit="false"/>
      <protection locked="true" hidden="false"/>
    </xf>
    <xf numFmtId="171" fontId="7" fillId="0" borderId="0" xfId="55" applyFont="true" applyBorder="false" applyAlignment="false" applyProtection="false">
      <alignment horizontal="general" vertical="bottom" textRotation="0" wrapText="false" indent="0" shrinkToFit="false"/>
      <protection locked="true" hidden="false"/>
    </xf>
    <xf numFmtId="172" fontId="7" fillId="0" borderId="0" xfId="55" applyFont="true" applyBorder="false" applyAlignment="false" applyProtection="false">
      <alignment horizontal="general" vertical="bottom" textRotation="0" wrapText="false" indent="0" shrinkToFit="false"/>
      <protection locked="true" hidden="false"/>
    </xf>
    <xf numFmtId="173" fontId="7" fillId="0" borderId="0" xfId="55" applyFont="true" applyBorder="false" applyAlignment="false" applyProtection="false">
      <alignment horizontal="general" vertical="bottom" textRotation="0" wrapText="false" indent="0" shrinkToFit="false"/>
      <protection locked="true" hidden="false"/>
    </xf>
    <xf numFmtId="164" fontId="9" fillId="4" borderId="0" xfId="55" applyFont="true" applyBorder="false" applyAlignment="true" applyProtection="false">
      <alignment horizontal="center" vertical="bottom" textRotation="0" wrapText="false" indent="0" shrinkToFit="false"/>
      <protection locked="true" hidden="false"/>
    </xf>
    <xf numFmtId="169" fontId="10" fillId="4" borderId="0" xfId="57" applyFont="true" applyBorder="false" applyAlignment="true" applyProtection="false">
      <alignment horizontal="center" vertical="bottom" textRotation="0" wrapText="false" indent="0" shrinkToFit="false"/>
      <protection locked="true" hidden="false"/>
    </xf>
    <xf numFmtId="169" fontId="11" fillId="4" borderId="0" xfId="57" applyFont="true" applyBorder="false" applyAlignment="true" applyProtection="false">
      <alignment horizontal="center" vertical="bottom" textRotation="0" wrapText="false" indent="0" shrinkToFit="false"/>
      <protection locked="true" hidden="false"/>
    </xf>
    <xf numFmtId="174" fontId="7" fillId="0" borderId="0" xfId="55" applyFont="true" applyBorder="false" applyAlignment="false" applyProtection="false">
      <alignment horizontal="general" vertical="bottom" textRotation="0" wrapText="false" indent="0" shrinkToFit="false"/>
      <protection locked="true" hidden="false"/>
    </xf>
    <xf numFmtId="169" fontId="7" fillId="0" borderId="0" xfId="57" applyFont="true" applyBorder="false" applyAlignment="false" applyProtection="false">
      <alignment horizontal="general" vertical="bottom" textRotation="0" wrapText="false" indent="0" shrinkToFit="false"/>
      <protection locked="true" hidden="false"/>
    </xf>
    <xf numFmtId="164" fontId="10" fillId="4" borderId="0" xfId="55" applyFont="true" applyBorder="false" applyAlignment="true" applyProtection="false">
      <alignment horizontal="left" vertical="bottom" textRotation="0" wrapText="false" indent="0" shrinkToFit="false"/>
      <protection locked="true" hidden="false"/>
    </xf>
    <xf numFmtId="169" fontId="10" fillId="0" borderId="0" xfId="57" applyFont="true" applyBorder="false" applyAlignment="true" applyProtection="false">
      <alignment horizontal="center" vertical="bottom" textRotation="0" wrapText="false" indent="0" shrinkToFit="false"/>
      <protection locked="true" hidden="false"/>
    </xf>
    <xf numFmtId="175" fontId="7" fillId="2" borderId="0" xfId="55" applyFont="true" applyBorder="false" applyAlignment="false" applyProtection="false">
      <alignment horizontal="general" vertical="bottom" textRotation="0" wrapText="false" indent="0" shrinkToFit="false"/>
      <protection locked="true" hidden="false"/>
    </xf>
    <xf numFmtId="172" fontId="7" fillId="2" borderId="0" xfId="55" applyFont="true" applyBorder="false" applyAlignment="false" applyProtection="false">
      <alignment horizontal="general" vertical="bottom" textRotation="0" wrapText="false" indent="0" shrinkToFit="false"/>
      <protection locked="true" hidden="false"/>
    </xf>
    <xf numFmtId="164" fontId="7" fillId="2" borderId="0" xfId="55" applyFont="true" applyBorder="false" applyAlignment="true" applyProtection="false">
      <alignment horizontal="right" vertical="bottom" textRotation="0" wrapText="false" indent="0" shrinkToFit="false"/>
      <protection locked="true" hidden="false"/>
    </xf>
    <xf numFmtId="170" fontId="7" fillId="5" borderId="0" xfId="55" applyFont="true" applyBorder="false" applyAlignment="false" applyProtection="false">
      <alignment horizontal="general" vertical="bottom" textRotation="0" wrapText="false" indent="0" shrinkToFit="false"/>
      <protection locked="true" hidden="false"/>
    </xf>
    <xf numFmtId="170" fontId="7" fillId="2" borderId="0" xfId="55" applyFont="true" applyBorder="false" applyAlignment="false" applyProtection="false">
      <alignment horizontal="general" vertical="bottom" textRotation="0" wrapText="false" indent="0" shrinkToFit="false"/>
      <protection locked="true" hidden="false"/>
    </xf>
    <xf numFmtId="171" fontId="7" fillId="2" borderId="0" xfId="55" applyFont="true" applyBorder="false" applyAlignment="false" applyProtection="false">
      <alignment horizontal="general" vertical="bottom" textRotation="0" wrapText="false" indent="0" shrinkToFit="false"/>
      <protection locked="true" hidden="false"/>
    </xf>
    <xf numFmtId="164" fontId="7" fillId="0" borderId="0" xfId="55" applyFont="true" applyBorder="false" applyAlignment="true" applyProtection="false">
      <alignment horizontal="right" vertical="bottom" textRotation="0" wrapText="false" indent="0" shrinkToFit="false"/>
      <protection locked="true" hidden="false"/>
    </xf>
    <xf numFmtId="176" fontId="7" fillId="0" borderId="0" xfId="20" applyFont="true" applyBorder="false" applyAlignment="false" applyProtection="false">
      <alignment horizontal="general" vertical="bottom" textRotation="0" wrapText="false" indent="0" shrinkToFit="false"/>
      <protection locked="true" hidden="false"/>
    </xf>
    <xf numFmtId="164" fontId="8" fillId="3" borderId="0" xfId="55" applyFont="true" applyBorder="false" applyAlignment="true" applyProtection="false">
      <alignment horizontal="right" vertical="bottom" textRotation="0" wrapText="false" indent="0" shrinkToFit="false"/>
      <protection locked="true" hidden="false"/>
    </xf>
    <xf numFmtId="164" fontId="12" fillId="4" borderId="0" xfId="55" applyFont="true" applyBorder="false" applyAlignment="true" applyProtection="false">
      <alignment horizontal="center" vertical="bottom" textRotation="0" wrapText="false" indent="0" shrinkToFit="false"/>
      <protection locked="true" hidden="false"/>
    </xf>
    <xf numFmtId="164" fontId="13" fillId="2" borderId="0" xfId="55" applyFont="true" applyBorder="false" applyAlignment="true" applyProtection="false">
      <alignment horizontal="center" vertical="bottom" textRotation="0" wrapText="false" indent="0" shrinkToFit="false"/>
      <protection locked="true" hidden="false"/>
    </xf>
    <xf numFmtId="164" fontId="13" fillId="4" borderId="0" xfId="55" applyFont="true" applyBorder="false" applyAlignment="true" applyProtection="false">
      <alignment horizontal="center" vertical="bottom" textRotation="0" wrapText="false" indent="0" shrinkToFit="false"/>
      <protection locked="true" hidden="false"/>
    </xf>
    <xf numFmtId="164" fontId="9" fillId="0" borderId="0" xfId="55" applyFont="true" applyBorder="false" applyAlignment="true" applyProtection="false">
      <alignment horizontal="center" vertical="bottom" textRotation="0" wrapText="false" indent="0" shrinkToFit="false"/>
      <protection locked="true" hidden="false"/>
    </xf>
    <xf numFmtId="176" fontId="7" fillId="2" borderId="0" xfId="20" applyFont="true" applyBorder="false" applyAlignment="false" applyProtection="false">
      <alignment horizontal="general" vertical="bottom" textRotation="0" wrapText="false" indent="0" shrinkToFit="false"/>
      <protection locked="true" hidden="false"/>
    </xf>
    <xf numFmtId="164" fontId="9" fillId="4" borderId="0" xfId="55" applyFont="true" applyBorder="true" applyAlignment="true" applyProtection="false">
      <alignment horizontal="center" vertical="center" textRotation="0" wrapText="false" indent="0" shrinkToFit="false"/>
      <protection locked="true" hidden="false"/>
    </xf>
    <xf numFmtId="169" fontId="14" fillId="2" borderId="0" xfId="57" applyFont="true" applyBorder="false" applyAlignment="true" applyProtection="false">
      <alignment horizontal="center" vertical="bottom" textRotation="0" wrapText="false" indent="0" shrinkToFit="false"/>
      <protection locked="true" hidden="false"/>
    </xf>
    <xf numFmtId="169" fontId="14" fillId="4" borderId="0" xfId="57" applyFont="true" applyBorder="false" applyAlignment="true" applyProtection="false">
      <alignment horizontal="center" vertical="bottom" textRotation="0" wrapText="false" indent="0" shrinkToFit="false"/>
      <protection locked="true" hidden="false"/>
    </xf>
    <xf numFmtId="164" fontId="15" fillId="4" borderId="0" xfId="55" applyFont="true" applyBorder="false" applyAlignment="true" applyProtection="false">
      <alignment horizontal="left" vertical="bottom" textRotation="0" wrapText="false" indent="0" shrinkToFit="false"/>
      <protection locked="true" hidden="false"/>
    </xf>
    <xf numFmtId="177" fontId="7" fillId="0" borderId="0" xfId="19" applyFont="true" applyBorder="false" applyAlignment="false" applyProtection="false">
      <alignment horizontal="general" vertical="bottom" textRotation="0" wrapText="false" indent="0" shrinkToFit="false"/>
      <protection locked="true" hidden="false"/>
    </xf>
    <xf numFmtId="169" fontId="11" fillId="0" borderId="0" xfId="57" applyFont="true" applyBorder="false" applyAlignment="true" applyProtection="false">
      <alignment horizontal="center" vertical="bottom" textRotation="0" wrapText="false" indent="0" shrinkToFit="false"/>
      <protection locked="true" hidden="false"/>
    </xf>
    <xf numFmtId="178" fontId="7" fillId="0" borderId="0" xfId="59" applyFont="true" applyBorder="false" applyAlignment="false" applyProtection="false">
      <alignment horizontal="general" vertical="bottom" textRotation="0" wrapText="false" indent="0" shrinkToFit="false"/>
      <protection locked="true" hidden="false"/>
    </xf>
    <xf numFmtId="164" fontId="10" fillId="0" borderId="0" xfId="55" applyFont="true" applyBorder="false" applyAlignment="true" applyProtection="false">
      <alignment horizontal="left" vertical="bottom" textRotation="0" wrapText="false" indent="0" shrinkToFit="false"/>
      <protection locked="true" hidden="false"/>
    </xf>
    <xf numFmtId="164" fontId="16" fillId="3" borderId="0" xfId="55" applyFont="true" applyBorder="false" applyAlignment="true" applyProtection="false">
      <alignment horizontal="center" vertical="bottom" textRotation="0" wrapText="false" indent="0" shrinkToFit="false"/>
      <protection locked="true" hidden="false"/>
    </xf>
    <xf numFmtId="164" fontId="17" fillId="3" borderId="0" xfId="55" applyFont="true" applyBorder="false" applyAlignment="true" applyProtection="false">
      <alignment horizontal="center" vertical="bottom" textRotation="0" wrapText="false" indent="0" shrinkToFit="false"/>
      <protection locked="true" hidden="false"/>
    </xf>
    <xf numFmtId="164" fontId="18" fillId="4" borderId="0" xfId="55" applyFont="true" applyBorder="false" applyAlignment="true" applyProtection="false">
      <alignment horizontal="left" vertical="bottom" textRotation="0" wrapText="false" indent="0" shrinkToFit="false"/>
      <protection locked="true" hidden="false"/>
    </xf>
    <xf numFmtId="164" fontId="17" fillId="6" borderId="0" xfId="55" applyFont="true" applyBorder="false" applyAlignment="true" applyProtection="false">
      <alignment horizontal="center" vertical="bottom" textRotation="0" wrapText="false" indent="0" shrinkToFit="false"/>
      <protection locked="true" hidden="false"/>
    </xf>
    <xf numFmtId="169" fontId="19" fillId="6" borderId="0" xfId="57" applyFont="true" applyBorder="false" applyAlignment="true" applyProtection="false">
      <alignment horizontal="center" vertical="bottom" textRotation="0" wrapText="false" indent="0" shrinkToFit="false"/>
      <protection locked="true" hidden="false"/>
    </xf>
    <xf numFmtId="169" fontId="17" fillId="2" borderId="0" xfId="57" applyFont="true" applyBorder="false" applyAlignment="true" applyProtection="false">
      <alignment horizontal="center" vertical="bottom" textRotation="0" wrapText="false" indent="0" shrinkToFit="false"/>
      <protection locked="true" hidden="false"/>
    </xf>
    <xf numFmtId="164" fontId="17" fillId="2" borderId="0" xfId="55" applyFont="true" applyBorder="false" applyAlignment="true" applyProtection="false">
      <alignment horizontal="center" vertical="bottom" textRotation="0" wrapText="false" indent="0" shrinkToFit="false"/>
      <protection locked="true" hidden="false"/>
    </xf>
    <xf numFmtId="169" fontId="19" fillId="2" borderId="0" xfId="57" applyFont="true" applyBorder="false" applyAlignment="true" applyProtection="false">
      <alignment horizontal="center" vertical="bottom" textRotation="0" wrapText="false" indent="0" shrinkToFit="false"/>
      <protection locked="true" hidden="false"/>
    </xf>
    <xf numFmtId="164" fontId="16" fillId="6" borderId="0" xfId="55" applyFont="true" applyBorder="false" applyAlignment="true" applyProtection="false">
      <alignment horizontal="center" vertical="center" textRotation="0" wrapText="false" indent="0" shrinkToFit="false"/>
      <protection locked="true" hidden="false"/>
    </xf>
    <xf numFmtId="164" fontId="16" fillId="2" borderId="0" xfId="55" applyFont="true" applyBorder="false" applyAlignment="true" applyProtection="false">
      <alignment horizontal="center" vertical="center" textRotation="0" wrapText="false" indent="0" shrinkToFit="false"/>
      <protection locked="true" hidden="false"/>
    </xf>
    <xf numFmtId="169" fontId="7" fillId="0" borderId="0" xfId="55" applyFont="true" applyBorder="false" applyAlignment="false" applyProtection="false">
      <alignment horizontal="general" vertical="bottom" textRotation="0" wrapText="false" indent="0" shrinkToFit="false"/>
      <protection locked="true" hidden="false"/>
    </xf>
    <xf numFmtId="164" fontId="16" fillId="2" borderId="0" xfId="55" applyFont="true" applyBorder="true" applyAlignment="true" applyProtection="false">
      <alignment horizontal="center" vertical="center" textRotation="0" wrapText="false" indent="0" shrinkToFit="false"/>
      <protection locked="true" hidden="false"/>
    </xf>
    <xf numFmtId="169" fontId="7" fillId="0" borderId="0" xfId="19" applyFont="true" applyBorder="false" applyAlignment="false" applyProtection="false">
      <alignment horizontal="general" vertical="bottom" textRotation="0" wrapText="false" indent="0" shrinkToFit="false"/>
      <protection locked="true" hidden="false"/>
    </xf>
    <xf numFmtId="167" fontId="7" fillId="0" borderId="0" xfId="57" applyFont="true" applyBorder="false" applyAlignment="false" applyProtection="false">
      <alignment horizontal="general" vertical="bottom" textRotation="0" wrapText="false" indent="0" shrinkToFit="false"/>
      <protection locked="true" hidden="false"/>
    </xf>
    <xf numFmtId="173" fontId="7" fillId="5" borderId="0" xfId="55" applyFont="true" applyBorder="false" applyAlignment="false" applyProtection="false">
      <alignment horizontal="general" vertical="bottom" textRotation="0" wrapText="false" indent="0" shrinkToFit="false"/>
      <protection locked="true" hidden="false"/>
    </xf>
    <xf numFmtId="164" fontId="20" fillId="0" borderId="0" xfId="55" applyFont="true" applyBorder="false" applyAlignment="false" applyProtection="false">
      <alignment horizontal="general" vertical="bottom" textRotation="0" wrapText="false" indent="0" shrinkToFit="false"/>
      <protection locked="true" hidden="false"/>
    </xf>
    <xf numFmtId="165" fontId="7" fillId="0" borderId="0" xfId="59" applyFont="true" applyBorder="false" applyAlignment="false" applyProtection="false">
      <alignment horizontal="general" vertical="bottom" textRotation="0" wrapText="false" indent="0" shrinkToFit="false"/>
      <protection locked="true" hidden="false"/>
    </xf>
    <xf numFmtId="165" fontId="7" fillId="0" borderId="0" xfId="55" applyFont="true" applyBorder="false" applyAlignment="false" applyProtection="false">
      <alignment horizontal="general" vertical="bottom" textRotation="0" wrapText="false" indent="0" shrinkToFit="false"/>
      <protection locked="true" hidden="false"/>
    </xf>
    <xf numFmtId="169" fontId="21" fillId="0" borderId="0" xfId="57" applyFont="true" applyBorder="false" applyAlignment="false" applyProtection="false">
      <alignment horizontal="general" vertical="bottom" textRotation="0" wrapText="false" indent="0" shrinkToFit="false"/>
      <protection locked="true" hidden="false"/>
    </xf>
    <xf numFmtId="167" fontId="22" fillId="7" borderId="2" xfId="0" applyFont="true" applyBorder="true" applyAlignment="false" applyProtection="false">
      <alignment horizontal="general" vertical="bottom" textRotation="0" wrapText="false" indent="0" shrinkToFit="false"/>
      <protection locked="true" hidden="false"/>
    </xf>
    <xf numFmtId="170" fontId="22" fillId="0" borderId="0" xfId="0" applyFont="true" applyBorder="false" applyAlignment="false" applyProtection="false">
      <alignment horizontal="general" vertical="bottom" textRotation="0" wrapText="false" indent="0" shrinkToFit="false"/>
      <protection locked="true" hidden="false"/>
    </xf>
    <xf numFmtId="172" fontId="22" fillId="0" borderId="0" xfId="0" applyFont="true" applyBorder="false" applyAlignment="false" applyProtection="false">
      <alignment horizontal="general" vertical="bottom" textRotation="0" wrapText="false" indent="0" shrinkToFit="false"/>
      <protection locked="true" hidden="false"/>
    </xf>
    <xf numFmtId="164" fontId="23" fillId="8" borderId="3" xfId="0" applyFont="true" applyBorder="true" applyAlignment="true" applyProtection="false">
      <alignment horizontal="general" vertical="bottom" textRotation="0" wrapText="true" indent="0" shrinkToFit="false"/>
      <protection locked="true" hidden="false"/>
    </xf>
    <xf numFmtId="167" fontId="22" fillId="0" borderId="2" xfId="0" applyFont="true" applyBorder="true" applyAlignment="false" applyProtection="false">
      <alignment horizontal="general" vertical="bottom" textRotation="0" wrapText="false" indent="0" shrinkToFit="false"/>
      <protection locked="true" hidden="false"/>
    </xf>
    <xf numFmtId="164" fontId="23" fillId="8" borderId="3" xfId="0" applyFont="true" applyBorder="true" applyAlignment="false" applyProtection="false">
      <alignment horizontal="general" vertical="bottom" textRotation="0" wrapText="false" indent="0" shrinkToFit="false"/>
      <protection locked="true" hidden="false"/>
    </xf>
    <xf numFmtId="179" fontId="24" fillId="7"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9" fillId="0" borderId="0" xfId="0" applyFont="true" applyBorder="false" applyAlignment="true" applyProtection="false">
      <alignment horizontal="left"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30" fillId="0" borderId="0" xfId="0" applyFont="true" applyBorder="false" applyAlignment="true" applyProtection="false">
      <alignment horizontal="left" vertical="center" textRotation="0" wrapText="false" indent="0" shrinkToFit="false"/>
      <protection locked="true" hidden="false"/>
    </xf>
    <xf numFmtId="164" fontId="30" fillId="0" borderId="0" xfId="0" applyFont="true" applyBorder="false" applyAlignment="true" applyProtection="false">
      <alignment horizontal="general"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false" indent="0" shrinkToFit="false"/>
      <protection locked="true" hidden="false"/>
    </xf>
    <xf numFmtId="164" fontId="30" fillId="0"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31" fillId="0" borderId="0" xfId="0" applyFont="true" applyBorder="false" applyAlignment="true" applyProtection="false">
      <alignment horizontal="left"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true" applyProtection="false">
      <alignment horizontal="center" vertical="center" textRotation="0" wrapText="false" indent="0" shrinkToFit="false"/>
      <protection locked="true" hidden="false"/>
    </xf>
    <xf numFmtId="169" fontId="31" fillId="0" borderId="0" xfId="0" applyFont="true" applyBorder="false" applyAlignment="true" applyProtection="false">
      <alignment horizontal="center" vertical="center"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center" vertical="bottom" textRotation="0" wrapText="false" indent="0" shrinkToFit="false"/>
      <protection locked="true" hidden="false"/>
    </xf>
    <xf numFmtId="164" fontId="35" fillId="9" borderId="0" xfId="0" applyFont="true" applyBorder="false" applyAlignment="false" applyProtection="false">
      <alignment horizontal="general" vertical="bottom" textRotation="0" wrapText="false" indent="0" shrinkToFit="false"/>
      <protection locked="true" hidden="false"/>
    </xf>
    <xf numFmtId="169" fontId="35" fillId="9"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80" fontId="35" fillId="9" borderId="0" xfId="0" applyFont="true" applyBorder="fals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cellXfs>
  <cellStyles count="46">
    <cellStyle name="Normal" xfId="0" builtinId="0"/>
    <cellStyle name="Comma" xfId="15" builtinId="3"/>
    <cellStyle name="Comma [0]" xfId="16" builtinId="6"/>
    <cellStyle name="Currency" xfId="17" builtinId="4"/>
    <cellStyle name="Currency [0]" xfId="18" builtinId="7"/>
    <cellStyle name="Percent" xfId="19" builtinId="5"/>
    <cellStyle name="Millares [0] 2" xfId="20"/>
    <cellStyle name="Millares [0] 2 10" xfId="21"/>
    <cellStyle name="Millares [0] 2 2" xfId="22"/>
    <cellStyle name="Millares [0] 2 2 2" xfId="23"/>
    <cellStyle name="Millares [0] 2 2 2 2" xfId="24"/>
    <cellStyle name="Millares [0] 2 2 3" xfId="25"/>
    <cellStyle name="Millares [0] 2 2 3 2" xfId="26"/>
    <cellStyle name="Millares [0] 2 2 4" xfId="27"/>
    <cellStyle name="Millares [0] 2 2 5" xfId="28"/>
    <cellStyle name="Millares [0] 2 3" xfId="29"/>
    <cellStyle name="Millares [0] 2 3 2" xfId="30"/>
    <cellStyle name="Millares [0] 2 3 3" xfId="31"/>
    <cellStyle name="Millares [0] 2 4" xfId="32"/>
    <cellStyle name="Millares [0] 2 4 2" xfId="33"/>
    <cellStyle name="Millares [0] 2 5" xfId="34"/>
    <cellStyle name="Millares [0] 2 5 2" xfId="35"/>
    <cellStyle name="Millares [0] 2 6" xfId="36"/>
    <cellStyle name="Millares [0] 2 6 2" xfId="37"/>
    <cellStyle name="Millares [0] 2 7" xfId="38"/>
    <cellStyle name="Millares [0] 2 7 2" xfId="39"/>
    <cellStyle name="Millares [0] 2 8" xfId="40"/>
    <cellStyle name="Millares [0] 2 9" xfId="41"/>
    <cellStyle name="Millares [0] 3" xfId="42"/>
    <cellStyle name="Millares [0] 3 2" xfId="43"/>
    <cellStyle name="Millares [0] 3 2 2" xfId="44"/>
    <cellStyle name="Millares [0] 3 3" xfId="45"/>
    <cellStyle name="Millares [0] 3 4" xfId="46"/>
    <cellStyle name="Millares [0] 4" xfId="47"/>
    <cellStyle name="Millares [0] 4 2" xfId="48"/>
    <cellStyle name="Millares [0] 4 3" xfId="49"/>
    <cellStyle name="Millares [0] 5" xfId="50"/>
    <cellStyle name="Millares [0] 5 2" xfId="51"/>
    <cellStyle name="Millares [0] 6" xfId="52"/>
    <cellStyle name="Millares [0] 7" xfId="53"/>
    <cellStyle name="Millares [0] 8" xfId="54"/>
    <cellStyle name="Normal 2" xfId="55"/>
    <cellStyle name="Normal 54" xfId="56"/>
    <cellStyle name="Porcentaje 2" xfId="57"/>
    <cellStyle name="Porcentaje 29" xfId="58"/>
    <cellStyle name="Excel Built-in Comma [0]" xfId="59"/>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F2F2F2"/>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CCFFFF"/>
      <rgbColor rgb="FFDAF2D0"/>
      <rgbColor rgb="FFFFFF99"/>
      <rgbColor rgb="FF9F9F9F"/>
      <rgbColor rgb="FFFF99CC"/>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Disponible I</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98577793"/>
        <c:axId val="21619261"/>
      </c:lineChart>
      <c:dateAx>
        <c:axId val="98577793"/>
        <c:scaling>
          <c:orientation val="minMax"/>
          <c:max val="43373"/>
          <c:min val="38687"/>
        </c:scaling>
        <c:delete val="0"/>
        <c:axPos val="b"/>
        <c:numFmt formatCode="mmm/&quot;yyyy&quot;"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21619261"/>
        <c:crosses val="autoZero"/>
        <c:auto val="1"/>
        <c:lblOffset val="100"/>
        <c:baseTimeUnit val="months"/>
        <c:majorUnit val="6"/>
        <c:majorTimeUnit val="months"/>
        <c:minorUnit val="6"/>
        <c:minorTimeUnit val="months"/>
        <c:noMultiLvlLbl val="0"/>
      </c:dateAx>
      <c:valAx>
        <c:axId val="21619261"/>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98577793"/>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0.2979</c:v>
                </c:pt>
                <c:pt idx="1">
                  <c:v>0.1781</c:v>
                </c:pt>
                <c:pt idx="2">
                  <c:v>0.524</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0.0226</c:v>
                </c:pt>
                <c:pt idx="3">
                  <c:v>0.9774</c:v>
                </c:pt>
                <c:pt idx="4">
                  <c:v>0</c:v>
                </c:pt>
                <c:pt idx="5">
                  <c:v>0</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7917720" y="142920"/>
        <a:ext cx="643968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1"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2"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3"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42578125" defaultRowHeight="15" zeroHeight="false" outlineLevelRow="0" outlineLevelCol="0"/>
  <cols>
    <col collapsed="false" customWidth="true" hidden="false" outlineLevel="0" max="1" min="1" style="0" width="71"/>
  </cols>
  <sheetData>
    <row r="2" customFormat="false" ht="191.25"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C10" colorId="64" zoomScale="70" zoomScaleNormal="70" zoomScalePageLayoutView="100" workbookViewId="0">
      <selection pane="topLeft" activeCell="AW20" activeCellId="0" sqref="AW20"/>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4" min="34" style="3" width="7.86"/>
    <col collapsed="false" customWidth="true" hidden="false" outlineLevel="0" max="35" min="35" style="3" width="7.29"/>
    <col collapsed="false" customWidth="true" hidden="false" outlineLevel="0" max="36" min="36" style="3" width="8.42"/>
    <col collapsed="false" customWidth="true" hidden="false" outlineLevel="0" max="37" min="37" style="3" width="10.57"/>
    <col collapsed="false" customWidth="true" hidden="false" outlineLevel="0" max="38" min="38" style="3" width="8.15"/>
    <col collapsed="false" customWidth="true" hidden="false" outlineLevel="0" max="39" min="39" style="3" width="7.57"/>
    <col collapsed="false" customWidth="true" hidden="false" outlineLevel="0" max="40" min="40" style="3" width="7.29"/>
    <col collapsed="false" customWidth="true" hidden="false" outlineLevel="0" max="41" min="41" style="3" width="7.15"/>
    <col collapsed="false" customWidth="true" hidden="false" outlineLevel="0" max="42" min="42" style="3" width="7.71"/>
    <col collapsed="false" customWidth="true" hidden="false" outlineLevel="0" max="43" min="43" style="3" width="8.2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27.86"/>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c r="AF4" s="15"/>
      <c r="AG4" s="15"/>
      <c r="AH4" s="15"/>
      <c r="AI4" s="15"/>
      <c r="AJ4" s="15"/>
      <c r="AK4" s="15"/>
      <c r="AL4" s="15"/>
      <c r="AM4" s="15"/>
      <c r="AN4" s="15"/>
      <c r="AO4" s="15"/>
      <c r="AP4" s="15"/>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c r="AF5" s="22"/>
      <c r="AG5" s="22"/>
      <c r="AH5" s="22"/>
      <c r="AI5" s="22"/>
      <c r="AJ5" s="22"/>
      <c r="AK5" s="22"/>
      <c r="AL5" s="22"/>
      <c r="AM5" s="22"/>
      <c r="AN5" s="22"/>
      <c r="AO5" s="22"/>
      <c r="AP5" s="22"/>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c r="AF6" s="15"/>
      <c r="AG6" s="15"/>
      <c r="AH6" s="15"/>
      <c r="AI6" s="15"/>
      <c r="AJ6" s="15"/>
      <c r="AK6" s="15"/>
      <c r="AL6" s="15"/>
      <c r="AM6" s="15"/>
      <c r="AN6" s="15"/>
      <c r="AO6" s="15"/>
      <c r="AP6" s="15"/>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c r="AF7" s="22"/>
      <c r="AG7" s="22"/>
      <c r="AH7" s="22"/>
      <c r="AI7" s="22"/>
      <c r="AJ7" s="22"/>
      <c r="AK7" s="22"/>
      <c r="AL7" s="22"/>
      <c r="AM7" s="22"/>
      <c r="AN7" s="22"/>
      <c r="AO7" s="22"/>
      <c r="AP7" s="22"/>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c r="AF8" s="15"/>
      <c r="AG8" s="15"/>
      <c r="AH8" s="15"/>
      <c r="AI8" s="15"/>
      <c r="AJ8" s="15"/>
      <c r="AK8" s="15"/>
      <c r="AL8" s="15"/>
      <c r="AM8" s="15"/>
      <c r="AN8" s="15"/>
      <c r="AO8" s="15"/>
      <c r="AP8" s="15"/>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c r="AF9" s="22"/>
      <c r="AG9" s="22"/>
      <c r="AH9" s="22"/>
      <c r="AI9" s="22"/>
      <c r="AJ9" s="22"/>
      <c r="AK9" s="22"/>
      <c r="AL9" s="22"/>
      <c r="AM9" s="22"/>
      <c r="AN9" s="22"/>
      <c r="AO9" s="22"/>
      <c r="AP9" s="22"/>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c r="AF10" s="15"/>
      <c r="AG10" s="15"/>
      <c r="AH10" s="15"/>
      <c r="AI10" s="15"/>
      <c r="AJ10" s="15"/>
      <c r="AK10" s="15"/>
      <c r="AL10" s="15"/>
      <c r="AM10" s="15"/>
      <c r="AN10" s="15"/>
      <c r="AO10" s="15"/>
      <c r="AP10" s="15"/>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c r="AF11" s="22"/>
      <c r="AG11" s="22"/>
      <c r="AH11" s="22"/>
      <c r="AI11" s="22"/>
      <c r="AJ11" s="22"/>
      <c r="AK11" s="22"/>
      <c r="AL11" s="22"/>
      <c r="AM11" s="22"/>
      <c r="AN11" s="22"/>
      <c r="AO11" s="22"/>
      <c r="AP11" s="22"/>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c r="AF12" s="15"/>
      <c r="AG12" s="15"/>
      <c r="AH12" s="15"/>
      <c r="AI12" s="15"/>
      <c r="AJ12" s="15"/>
      <c r="AK12" s="15"/>
      <c r="AL12" s="15"/>
      <c r="AM12" s="15"/>
      <c r="AN12" s="15"/>
      <c r="AO12" s="15"/>
      <c r="AP12" s="15"/>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c r="AF13" s="22"/>
      <c r="AG13" s="22"/>
      <c r="AH13" s="22"/>
      <c r="AI13" s="22"/>
      <c r="AJ13" s="22"/>
      <c r="AK13" s="22"/>
      <c r="AL13" s="22"/>
      <c r="AM13" s="22"/>
      <c r="AN13" s="22"/>
      <c r="AO13" s="22"/>
      <c r="AP13" s="22"/>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c r="AF14" s="15"/>
      <c r="AG14" s="15"/>
      <c r="AH14" s="15"/>
      <c r="AI14" s="15"/>
      <c r="AJ14" s="15"/>
      <c r="AK14" s="27"/>
      <c r="AL14" s="27"/>
      <c r="AM14" s="27"/>
      <c r="AN14" s="15"/>
      <c r="AO14" s="15"/>
      <c r="AP14" s="15"/>
      <c r="AQ14" s="16" t="n">
        <f aca="false">+AA15/AA14-1</f>
        <v>0.0274301662224075</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18044.25</v>
      </c>
      <c r="T15" s="18" t="n">
        <f aca="false">+B154</f>
        <v>18082.87</v>
      </c>
      <c r="U15" s="19" t="n">
        <f aca="false">+B155</f>
        <v>18120.6225</v>
      </c>
      <c r="V15" s="18" t="n">
        <f aca="false">+B156</f>
        <v>18159.66</v>
      </c>
      <c r="W15" s="18" t="n">
        <f aca="false">+B157</f>
        <v>18198.62</v>
      </c>
      <c r="X15" s="18" t="n">
        <f aca="false">+B158</f>
        <v>18235.9</v>
      </c>
      <c r="Y15" s="28" t="n">
        <f aca="false">+B159</f>
        <v>18277.4</v>
      </c>
      <c r="Z15" s="29" t="n">
        <f aca="false">+B160</f>
        <v>18319.31</v>
      </c>
      <c r="AA15" s="3" t="n">
        <f aca="false">+B161</f>
        <v>18362.684</v>
      </c>
      <c r="AC15" s="6"/>
      <c r="AD15" s="21" t="n">
        <v>2019</v>
      </c>
      <c r="AE15" s="22"/>
      <c r="AF15" s="22"/>
      <c r="AG15" s="22"/>
      <c r="AH15" s="22"/>
      <c r="AI15" s="22"/>
      <c r="AJ15" s="22"/>
      <c r="AK15" s="22"/>
      <c r="AL15" s="22"/>
      <c r="AM15" s="22"/>
      <c r="AN15" s="22"/>
      <c r="AO15" s="22"/>
      <c r="AP15" s="22"/>
      <c r="AQ15" s="23"/>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18407.69</v>
      </c>
      <c r="Q16" s="3" t="n">
        <f aca="false">+B163</f>
        <v>18449.16</v>
      </c>
      <c r="R16" s="3" t="n">
        <f aca="false">+B164</f>
        <v>18496.82</v>
      </c>
      <c r="S16" s="3" t="n">
        <f aca="false">+B165</f>
        <v>18543.07</v>
      </c>
      <c r="T16" s="3" t="n">
        <f aca="false">+B166</f>
        <v>18591.02</v>
      </c>
      <c r="U16" s="19" t="n">
        <f aca="false">+B167</f>
        <v>18632.31</v>
      </c>
      <c r="V16" s="19" t="n">
        <f aca="false">+B168</f>
        <v>18672.31</v>
      </c>
      <c r="W16" s="19" t="n">
        <f aca="false">+B169</f>
        <v>18712.55</v>
      </c>
      <c r="X16" s="3" t="n">
        <f aca="false">+B170</f>
        <v>18744.77</v>
      </c>
      <c r="Y16" s="19" t="n">
        <f aca="false">+B171</f>
        <v>18776.102</v>
      </c>
      <c r="Z16" s="3" t="n">
        <f aca="false">+B172</f>
        <v>0</v>
      </c>
      <c r="AA16" s="19" t="n">
        <f aca="false">+B173</f>
        <v>0</v>
      </c>
      <c r="AD16" s="21" t="n">
        <v>2020</v>
      </c>
      <c r="AE16" s="22"/>
      <c r="AF16" s="22"/>
      <c r="AG16" s="22"/>
      <c r="AH16" s="22"/>
      <c r="AI16" s="22"/>
      <c r="AJ16" s="22"/>
      <c r="AK16" s="22"/>
      <c r="AL16" s="22"/>
      <c r="AM16" s="22"/>
      <c r="AN16" s="22"/>
      <c r="AO16" s="22"/>
      <c r="AP16" s="22"/>
      <c r="AQ16" s="23"/>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0</v>
      </c>
      <c r="Q17" s="19" t="n">
        <f aca="false">+B175</f>
        <v>0</v>
      </c>
      <c r="R17" s="19" t="n">
        <f aca="false">+B176</f>
        <v>0</v>
      </c>
      <c r="S17" s="19" t="n">
        <f aca="false">+B177</f>
        <v>0</v>
      </c>
      <c r="T17" s="19" t="n">
        <f aca="false">+B178</f>
        <v>0</v>
      </c>
      <c r="U17" s="19" t="n">
        <f aca="false">+B179</f>
        <v>0</v>
      </c>
      <c r="V17" s="19" t="n">
        <f aca="false">+B180</f>
        <v>0</v>
      </c>
      <c r="W17" s="19" t="n">
        <f aca="false">+B181</f>
        <v>0</v>
      </c>
      <c r="X17" s="19" t="n">
        <f aca="false">+B182</f>
        <v>0</v>
      </c>
      <c r="Y17" s="19" t="n">
        <f aca="false">+B183</f>
        <v>0</v>
      </c>
      <c r="Z17" s="19" t="n">
        <f aca="false">+B184</f>
        <v>0</v>
      </c>
      <c r="AA17" s="19" t="n">
        <f aca="false">+B185</f>
        <v>0</v>
      </c>
      <c r="AD17" s="21" t="n">
        <v>2021</v>
      </c>
      <c r="AE17" s="22"/>
      <c r="AF17" s="22"/>
      <c r="AG17" s="22"/>
      <c r="AH17" s="22"/>
      <c r="AI17" s="22"/>
      <c r="AJ17" s="22"/>
      <c r="AK17" s="22"/>
      <c r="AL17" s="22"/>
      <c r="AM17" s="22"/>
      <c r="AN17" s="22"/>
      <c r="AO17" s="22"/>
      <c r="AP17" s="22"/>
      <c r="AQ17" s="23"/>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Q18" s="3" t="n">
        <f aca="false">+B187</f>
        <v>0</v>
      </c>
      <c r="R18" s="19" t="n">
        <f aca="false">+B188</f>
        <v>0</v>
      </c>
      <c r="S18" s="3" t="n">
        <f aca="false">+B189</f>
        <v>0</v>
      </c>
      <c r="T18" s="3" t="n">
        <f aca="false">+B190</f>
        <v>0</v>
      </c>
      <c r="U18" s="3" t="n">
        <f aca="false">+B191</f>
        <v>0</v>
      </c>
      <c r="V18" s="3" t="n">
        <f aca="false">+B192</f>
        <v>0</v>
      </c>
      <c r="W18" s="3" t="n">
        <f aca="false">+B193</f>
        <v>0</v>
      </c>
      <c r="X18" s="3" t="n">
        <f aca="false">+B194</f>
        <v>0</v>
      </c>
      <c r="Y18" s="3" t="n">
        <f aca="false">+B195</f>
        <v>0</v>
      </c>
      <c r="Z18" s="3" t="n">
        <f aca="false">+B196</f>
        <v>0</v>
      </c>
      <c r="AA18" s="3" t="n">
        <f aca="false">+B197</f>
        <v>0</v>
      </c>
      <c r="AD18" s="21" t="n">
        <v>2022</v>
      </c>
      <c r="AE18" s="22"/>
      <c r="AF18" s="22"/>
      <c r="AG18" s="22"/>
      <c r="AH18" s="22"/>
      <c r="AI18" s="22"/>
      <c r="AJ18" s="22"/>
      <c r="AK18" s="22"/>
      <c r="AL18" s="22"/>
      <c r="AM18" s="22"/>
      <c r="AN18" s="22"/>
      <c r="AO18" s="22"/>
      <c r="AP18" s="22"/>
      <c r="AQ18" s="23"/>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0</v>
      </c>
      <c r="Q19" s="19" t="n">
        <f aca="false">+B199</f>
        <v>0</v>
      </c>
      <c r="R19" s="3" t="n">
        <f aca="false">+B200</f>
        <v>0</v>
      </c>
      <c r="S19" s="3" t="n">
        <f aca="false">+B201</f>
        <v>0</v>
      </c>
      <c r="T19" s="3" t="n">
        <f aca="false">+B202</f>
        <v>0</v>
      </c>
      <c r="U19" s="3" t="n">
        <f aca="false">+B203</f>
        <v>0</v>
      </c>
      <c r="V19" s="3" t="n">
        <f aca="false">+B204</f>
        <v>0</v>
      </c>
      <c r="W19" s="3" t="n">
        <f aca="false">+B205</f>
        <v>0</v>
      </c>
      <c r="X19" s="3" t="n">
        <f aca="false">+B206</f>
        <v>0</v>
      </c>
      <c r="Y19" s="3" t="n">
        <f aca="false">+B207</f>
        <v>0</v>
      </c>
      <c r="Z19" s="3" t="n">
        <f aca="false">+B208</f>
        <v>0</v>
      </c>
      <c r="AA19" s="3" t="n">
        <f aca="false">+B209</f>
        <v>0</v>
      </c>
      <c r="AD19" s="21" t="n">
        <v>2023</v>
      </c>
      <c r="AE19" s="22"/>
      <c r="AF19" s="22"/>
      <c r="AG19" s="22"/>
      <c r="AH19" s="22"/>
      <c r="AI19" s="22"/>
      <c r="AJ19" s="22"/>
      <c r="AK19" s="22"/>
      <c r="AL19" s="22"/>
      <c r="AM19" s="22"/>
      <c r="AN19" s="22"/>
      <c r="AO19" s="22"/>
      <c r="AP19" s="22"/>
      <c r="AQ19" s="23"/>
      <c r="AR19" s="26"/>
      <c r="AS19" s="9"/>
      <c r="AV19" s="30" t="s">
        <v>25</v>
      </c>
      <c r="AW19" s="31" t="n">
        <v>46142</v>
      </c>
      <c r="AX19" s="32" t="n">
        <f aca="false">EOMONTH($AW19,AX18)</f>
        <v>46112</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0</v>
      </c>
      <c r="Q20" s="19" t="n">
        <f aca="false">+B211</f>
        <v>0</v>
      </c>
      <c r="R20" s="3" t="n">
        <f aca="false">+B212</f>
        <v>0</v>
      </c>
      <c r="S20" s="3" t="n">
        <f aca="false">+B213</f>
        <v>0</v>
      </c>
      <c r="T20" s="3" t="n">
        <f aca="false">+B214</f>
        <v>0</v>
      </c>
      <c r="U20" s="3" t="n">
        <f aca="false">+B215</f>
        <v>0</v>
      </c>
      <c r="V20" s="3" t="n">
        <f aca="false">+B216</f>
        <v>0</v>
      </c>
      <c r="W20" s="3" t="n">
        <f aca="false">+B217</f>
        <v>0</v>
      </c>
      <c r="X20" s="3" t="n">
        <f aca="false">+B218</f>
        <v>0</v>
      </c>
      <c r="Y20" s="19" t="n">
        <f aca="false">+B219</f>
        <v>0</v>
      </c>
      <c r="Z20" s="3" t="n">
        <f aca="false">+B220</f>
        <v>0</v>
      </c>
      <c r="AA20" s="3" t="n">
        <f aca="false">+B221</f>
        <v>0</v>
      </c>
      <c r="AD20" s="21" t="n">
        <v>2024</v>
      </c>
      <c r="AE20" s="22"/>
      <c r="AF20" s="22"/>
      <c r="AG20" s="22"/>
      <c r="AH20" s="22"/>
      <c r="AI20" s="22"/>
      <c r="AJ20" s="22"/>
      <c r="AK20" s="22"/>
      <c r="AL20" s="22" t="n">
        <f aca="false">+W21/V21-1</f>
        <v>0.00480235203759283</v>
      </c>
      <c r="AM20" s="22" t="n">
        <f aca="false">+X21/W21-1</f>
        <v>0.00478104349541386</v>
      </c>
      <c r="AN20" s="22" t="n">
        <f aca="false">+Y21/X21-1</f>
        <v>0.00451044051641847</v>
      </c>
      <c r="AO20" s="22" t="n">
        <f aca="false">+Z21/Y21-1</f>
        <v>0.0043843255475724</v>
      </c>
      <c r="AP20" s="22" t="n">
        <f aca="false">+AA21/Z21-1</f>
        <v>0.00444626417327787</v>
      </c>
      <c r="AQ20" s="23" t="n">
        <f aca="false">+(AA21/V21-1)/COUNTA(AE20:AP20)*12</f>
        <v>0.0555252649965111</v>
      </c>
      <c r="AR20" s="9"/>
      <c r="AS20" s="9"/>
      <c r="AV20" s="28" t="s">
        <v>3</v>
      </c>
      <c r="AW20" s="33" t="n">
        <f aca="false">LOOKUP(AW19,$A$3:$A$2973,$B$3:$B$2973)</f>
        <v>19916.8502383877</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3" t="n">
        <f aca="false">+B222</f>
        <v>0</v>
      </c>
      <c r="Q21" s="19" t="n">
        <f aca="false">+B223</f>
        <v>0</v>
      </c>
      <c r="R21" s="3" t="n">
        <f aca="false">+B224</f>
        <v>0</v>
      </c>
      <c r="S21" s="3" t="n">
        <f aca="false">+B225</f>
        <v>0</v>
      </c>
      <c r="T21" s="3" t="n">
        <f aca="false">+B226</f>
        <v>0</v>
      </c>
      <c r="U21" s="19" t="n">
        <f aca="false">+B227</f>
        <v>0</v>
      </c>
      <c r="V21" s="3" t="n">
        <f aca="false">+B228</f>
        <v>24217.3</v>
      </c>
      <c r="W21" s="3" t="n">
        <f aca="false">+B229</f>
        <v>24333.6</v>
      </c>
      <c r="X21" s="3" t="n">
        <f aca="false">+B230</f>
        <v>24449.94</v>
      </c>
      <c r="Y21" s="19" t="n">
        <f aca="false">+B231</f>
        <v>24560.22</v>
      </c>
      <c r="Z21" s="3" t="n">
        <f aca="false">+B232</f>
        <v>24667.9</v>
      </c>
      <c r="AA21" s="3" t="n">
        <f aca="false">+B233</f>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28"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1066.0204</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-0.243672722859896</v>
      </c>
      <c r="AI22" s="9"/>
      <c r="AJ22" s="9"/>
      <c r="AK22" s="9"/>
      <c r="AL22" s="9"/>
      <c r="AM22" s="9"/>
      <c r="AN22" s="9"/>
      <c r="AO22" s="9"/>
      <c r="AP22" s="9"/>
      <c r="AQ22" s="23" t="n">
        <f aca="false">+(S23/P23-1)/COUNTA(AE22:AP22)*12</f>
        <v>-0.71393888658704</v>
      </c>
      <c r="AV22" s="28" t="s">
        <v>27</v>
      </c>
      <c r="AW22" s="33" t="n">
        <f aca="false">LOOKUP(AW19,$F$2:$F$2972,$H$2:$H$2972)</f>
        <v>1119.8836</v>
      </c>
      <c r="AX22" s="33" t="n">
        <f aca="false">LOOKUP(AX19,$F$2:$F$2972,$H$2:$H$2972)</f>
        <v>1113.8745</v>
      </c>
      <c r="AY22" s="33" t="n">
        <f aca="false">LOOKUP(AY19,$F$2:$F$2972,$H$2:$H$2972)</f>
        <v>1101.9687</v>
      </c>
      <c r="AZ22" s="33" t="n">
        <f aca="false">LOOKUP(AZ19,$F$2:$F$2972,$H$2:$H$2972)</f>
        <v>1082.6213</v>
      </c>
      <c r="BA22" s="33" t="n">
        <f aca="false">LOOKUP(BA19,$F$2:$F$2972,$H$2:$H$2972)</f>
        <v>1045.8511</v>
      </c>
      <c r="BB22" s="33" t="n">
        <f aca="false">LOOKUP(BB19,$F$2:$F$2972,$H$2:$H$2972)</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3" t="n">
        <f aca="false">+B249</f>
        <v>19916.8502383877</v>
      </c>
      <c r="U23" s="19"/>
      <c r="Y23" s="19"/>
      <c r="AD23" s="26"/>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28</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35" t="n">
        <f aca="false">LOOKUP(DATE($O29,X$25,X$24),$A$2:$A$2943,$H$2:$H$2943)</f>
        <v>0</v>
      </c>
      <c r="Y29" s="41" t="n">
        <f aca="false">LOOKUP(DATE($O29,Y$25,Y$24),$A$2:$A$2943,$H$2:$H$2943)</f>
        <v>0</v>
      </c>
      <c r="Z29" s="41" t="n">
        <f aca="false">LOOKUP(DATE($O29,Z$25,Z$24),$A$2:$A$2943,$H$2:$H$2943)</f>
        <v>0</v>
      </c>
      <c r="AA29" s="41"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-0.243672722859896</v>
      </c>
      <c r="AY29" s="43" t="n">
        <f aca="false">$AW20/AY20-1</f>
        <v>-0.237979628862347</v>
      </c>
      <c r="AZ29" s="43" t="n">
        <f aca="false">$AW20/AZ20-1</f>
        <v>-0.228910732364632</v>
      </c>
      <c r="BA29" s="43" t="n">
        <f aca="false">$AW20/BA20-1</f>
        <v>-0.209569757039683</v>
      </c>
      <c r="BB29" s="43" t="n">
        <f aca="false">+AQ86</f>
        <v>-0.71393888658704</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LOOKUP(DATE($O30,P$25,P$24),$A$2:$A$2943,$H$2:$H$2943)</f>
        <v>0</v>
      </c>
      <c r="Q30" s="35" t="n">
        <f aca="false">LOOKUP(DATE($O30,Q$25,Q$24),$A$2:$A$2943,$H$2:$H$2943)</f>
        <v>0</v>
      </c>
      <c r="R30" s="35" t="n">
        <f aca="false">LOOKUP(DATE($O30,R$25,R$24),$A$2:$A$2943,$H$2:$H$2943)</f>
        <v>0</v>
      </c>
      <c r="S30" s="35" t="n">
        <f aca="false">LOOKUP(DATE($O30,S$25,S$24),$A$2:$A$2943,$H$2:$H$2943)</f>
        <v>0</v>
      </c>
      <c r="T30" s="35" t="n">
        <f aca="false">LOOKUP(DATE($O30,T$25,T$24),$A$2:$A$2943,$H$2:$H$2943)</f>
        <v>0</v>
      </c>
      <c r="U30" s="35" t="n">
        <f aca="false">LOOKUP(DATE($O30,U$25,U$24),$A$2:$A$2943,$H$2:$H$2943)</f>
        <v>0</v>
      </c>
      <c r="V30" s="35" t="n">
        <f aca="false">LOOKUP(DATE($O30,V$25,V$24),$A$2:$A$2943,$H$2:$H$2943)</f>
        <v>0</v>
      </c>
      <c r="W30" s="35" t="n">
        <f aca="false">LOOKUP(DATE($O30,W$25,W$24),$A$2:$A$2943,$H$2:$H$2943)</f>
        <v>0</v>
      </c>
      <c r="X30" s="35" t="n">
        <f aca="false">LOOKUP(DATE($O30,X$25,X$24),$A$2:$A$2943,$H$2:$H$2943)</f>
        <v>0</v>
      </c>
      <c r="Y30" s="35" t="n">
        <f aca="false">LOOKUP(DATE($O30,Y$25,Y$24),$A$2:$A$2943,$H$2:$H$2943)</f>
        <v>0</v>
      </c>
      <c r="Z30" s="35" t="n">
        <f aca="false">LOOKUP(DATE($O30,Z$25,Z$24),$A$2:$A$2943,$H$2:$H$2943)</f>
        <v>0</v>
      </c>
      <c r="AA30" s="35" t="n">
        <f aca="false">LOOKUP(DATE($O30,AA$25,AA$24),$A$2:$A$2943,$H$2:$H$2943)</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LOOKUP(DATE($O31,P$25,P$24),$A$2:$A$2943,$H$2:$H$2943)</f>
        <v>0</v>
      </c>
      <c r="Q31" s="35" t="n">
        <f aca="false">LOOKUP(DATE($O31,Q$25,Q$24)+1,$A$2:$A$2943,$H$2:$H$2943)</f>
        <v>0</v>
      </c>
      <c r="R31" s="35" t="n">
        <f aca="false">LOOKUP(DATE($O31,R$25,R$24)+1,$A$2:$A$2943,$H$2:$H$2943)</f>
        <v>0</v>
      </c>
      <c r="S31" s="35" t="n">
        <f aca="false">LOOKUP(DATE($O31,S$25,S$24)+1,$A$2:$A$2943,$H$2:$H$2943)</f>
        <v>0</v>
      </c>
      <c r="T31" s="35" t="n">
        <f aca="false">LOOKUP(DATE($O31,T$25,T$24)+1,$A$2:$A$2943,$H$2:$H$2943)</f>
        <v>0</v>
      </c>
      <c r="U31" s="35" t="n">
        <f aca="false">LOOKUP(DATE($O31,U$25,U$24)+1,$A$2:$A$2943,$H$2:$H$2943)</f>
        <v>0</v>
      </c>
      <c r="V31" s="35" t="n">
        <f aca="false">LOOKUP(DATE($O31,V$25,V$24)+1,$A$2:$A$2943,$H$2:$H$2943)</f>
        <v>0</v>
      </c>
      <c r="W31" s="35" t="n">
        <f aca="false">LOOKUP(DATE($O31,W$25,W$24)+1,$A$2:$A$2943,$H$2:$H$2943)</f>
        <v>0</v>
      </c>
      <c r="X31" s="35" t="n">
        <f aca="false">LOOKUP(DATE($O31,X$25,X$24)+1,$A$2:$A$2943,$H$2:$H$2943)</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0.00539477292998458</v>
      </c>
      <c r="AY31" s="43" t="n">
        <f aca="false">$AW22/AY22-1</f>
        <v>0.0162571768145501</v>
      </c>
      <c r="AZ31" s="43" t="n">
        <f aca="false">$AW22/AZ22-1</f>
        <v>0.0344185912470039</v>
      </c>
      <c r="BA31" s="43" t="n">
        <f aca="false">$AW22/BA22-1</f>
        <v>0.070786845278453</v>
      </c>
      <c r="BB31" s="43" t="n">
        <f aca="false">+AQ88</f>
        <v>0.0487715304436502</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c r="R32" s="20"/>
      <c r="S32" s="20"/>
      <c r="T32" s="20"/>
      <c r="U32" s="20"/>
      <c r="V32" s="20"/>
      <c r="W32" s="20"/>
      <c r="X32" s="20"/>
      <c r="Y32" s="20"/>
      <c r="Z32" s="20" t="n">
        <f aca="false">+G196</f>
        <v>0</v>
      </c>
      <c r="AA32" s="20" t="n">
        <f aca="false">+G197+S156</f>
        <v>0</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c r="Q33" s="20"/>
      <c r="R33" s="20"/>
      <c r="S33" s="20"/>
      <c r="T33" s="20"/>
      <c r="U33" s="20"/>
      <c r="V33" s="20"/>
      <c r="W33" s="20"/>
      <c r="X33" s="20"/>
      <c r="Y33" s="20"/>
      <c r="Z33" s="20" t="n">
        <f aca="false">+G208+S156</f>
        <v>0</v>
      </c>
      <c r="AA33" s="20" t="n">
        <f aca="false">+G209+S156</f>
        <v>0</v>
      </c>
      <c r="AD33" s="21" t="n">
        <v>2021</v>
      </c>
      <c r="AE33" s="22"/>
      <c r="AF33" s="22"/>
      <c r="AG33" s="22"/>
      <c r="AH33" s="22"/>
      <c r="AI33" s="22"/>
      <c r="AJ33" s="22"/>
      <c r="AK33" s="22"/>
      <c r="AL33" s="22"/>
      <c r="AM33" s="22"/>
      <c r="AN33" s="22"/>
      <c r="AO33" s="22"/>
      <c r="AP33" s="22"/>
      <c r="AQ33" s="23"/>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c r="Q34" s="20"/>
      <c r="R34" s="20"/>
      <c r="S34" s="20"/>
      <c r="T34" s="20"/>
      <c r="U34" s="20"/>
      <c r="V34" s="20"/>
      <c r="W34" s="20"/>
      <c r="X34" s="20"/>
      <c r="Y34" s="20"/>
      <c r="Z34" s="20" t="n">
        <f aca="false">+H220</f>
        <v>0</v>
      </c>
      <c r="AA34" s="20" t="n">
        <f aca="false">+H221</f>
        <v>0</v>
      </c>
      <c r="AD34" s="21" t="n">
        <v>2022</v>
      </c>
      <c r="AE34" s="22"/>
      <c r="AF34" s="22"/>
      <c r="AG34" s="22"/>
      <c r="AH34" s="22"/>
      <c r="AI34" s="22"/>
      <c r="AJ34" s="22"/>
      <c r="AK34" s="22"/>
      <c r="AL34" s="22"/>
      <c r="AM34" s="22"/>
      <c r="AN34" s="22"/>
      <c r="AO34" s="22"/>
      <c r="AP34" s="22"/>
      <c r="AQ34" s="23"/>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c r="Q35" s="20"/>
      <c r="R35" s="20"/>
      <c r="S35" s="20"/>
      <c r="T35" s="20"/>
      <c r="U35" s="20"/>
      <c r="V35" s="20" t="n">
        <f aca="false">+H228</f>
        <v>999.9674</v>
      </c>
      <c r="W35" s="20" t="n">
        <f aca="false">+H229</f>
        <v>1001.8066</v>
      </c>
      <c r="X35" s="20" t="n">
        <f aca="false">+H230</f>
        <v>1007.4568</v>
      </c>
      <c r="Y35" s="20" t="n">
        <f aca="false">+H231</f>
        <v>1012.6608</v>
      </c>
      <c r="Z35" s="20" t="n">
        <f aca="false">+H232</f>
        <v>1018.0563</v>
      </c>
      <c r="AA35" s="20" t="n">
        <f aca="false">+H233</f>
        <v>1023.2961</v>
      </c>
      <c r="AD35" s="21" t="n">
        <v>2023</v>
      </c>
      <c r="AE35" s="22"/>
      <c r="AF35" s="22"/>
      <c r="AG35" s="22"/>
      <c r="AH35" s="22"/>
      <c r="AI35" s="22"/>
      <c r="AJ35" s="22"/>
      <c r="AK35" s="22"/>
      <c r="AL35" s="22"/>
      <c r="AM35" s="22"/>
      <c r="AN35" s="22"/>
      <c r="AO35" s="22"/>
      <c r="AP35" s="22"/>
      <c r="AQ35" s="23"/>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+H234</f>
        <v>1027.8091</v>
      </c>
      <c r="Q36" s="20" t="n">
        <f aca="false">+H235</f>
        <v>1032.4079</v>
      </c>
      <c r="R36" s="20" t="n">
        <f aca="false">+H236</f>
        <v>1038.598</v>
      </c>
      <c r="S36" s="20" t="n">
        <f aca="false">+H237</f>
        <v>1045.8511</v>
      </c>
      <c r="T36" s="20" t="n">
        <f aca="false">+H238</f>
        <v>1052.6607</v>
      </c>
      <c r="U36" s="20" t="n">
        <f aca="false">+H239</f>
        <v>1058.5628</v>
      </c>
      <c r="V36" s="20" t="n">
        <f aca="false">+H240</f>
        <v>1064.645</v>
      </c>
      <c r="W36" s="20" t="n">
        <f aca="false">+H241</f>
        <v>1070.7846</v>
      </c>
      <c r="X36" s="20" t="n">
        <f aca="false">+H242</f>
        <v>1076.3961</v>
      </c>
      <c r="Y36" s="20" t="n">
        <f aca="false">+H243</f>
        <v>1082.6213</v>
      </c>
      <c r="Z36" s="20" t="n">
        <f aca="false">+H244</f>
        <v>1089.0708</v>
      </c>
      <c r="AA36" s="20" t="n">
        <f aca="false">+H245</f>
        <v>1095.9178</v>
      </c>
      <c r="AD36" s="21" t="n">
        <v>2024</v>
      </c>
      <c r="AE36" s="22"/>
      <c r="AF36" s="22"/>
      <c r="AG36" s="22"/>
      <c r="AH36" s="22"/>
      <c r="AI36" s="22"/>
      <c r="AJ36" s="22"/>
      <c r="AK36" s="22"/>
      <c r="AL36" s="22" t="n">
        <f aca="false">+(W35/V35-1)</f>
        <v>0.00183925995987466</v>
      </c>
      <c r="AM36" s="22" t="n">
        <f aca="false">+(X35/W35-1)</f>
        <v>0.00564001075656728</v>
      </c>
      <c r="AN36" s="22" t="n">
        <f aca="false">+(Y35/X35-1)</f>
        <v>0.00516548203357203</v>
      </c>
      <c r="AO36" s="22" t="n">
        <f aca="false">+(Z35/Y35-1)</f>
        <v>0.00532804271677145</v>
      </c>
      <c r="AP36" s="22" t="n">
        <f aca="false">+(AA35/Z35-1)</f>
        <v>0.00514686663203201</v>
      </c>
      <c r="AQ36" s="23" t="n">
        <f aca="false">+(AA35/V35-1)/COUNTA(AE36:AP36)*12</f>
        <v>0.055990705296993</v>
      </c>
      <c r="AR36" s="9"/>
      <c r="AS36" s="9"/>
    </row>
    <row r="37" customFormat="false" ht="15" hidden="false" customHeight="false" outlineLevel="0" collapsed="false">
      <c r="A37" s="17"/>
      <c r="B37" s="20"/>
      <c r="C37" s="25"/>
      <c r="D37" s="19"/>
      <c r="E37" s="19"/>
      <c r="F37" s="19"/>
      <c r="O37" s="3" t="n">
        <v>2026</v>
      </c>
      <c r="P37" s="20" t="n">
        <f aca="false">+H246</f>
        <v>1101.9687</v>
      </c>
      <c r="Q37" s="20" t="n">
        <f aca="false">+H247</f>
        <v>1107.5771</v>
      </c>
      <c r="R37" s="20" t="n">
        <f aca="false">+H248</f>
        <v>1113.8745</v>
      </c>
      <c r="S37" s="20" t="n">
        <f aca="false">+H249</f>
        <v>1119.8836</v>
      </c>
      <c r="T37" s="20"/>
      <c r="U37" s="20"/>
      <c r="V37" s="20"/>
      <c r="W37" s="20"/>
      <c r="X37" s="20"/>
      <c r="Y37" s="20"/>
      <c r="Z37" s="20"/>
      <c r="AA37" s="20"/>
      <c r="AD37" s="21" t="n">
        <v>2025</v>
      </c>
      <c r="AE37" s="22" t="n">
        <f aca="false">+(P36/AA35-1)</f>
        <v>0.0044102581843124</v>
      </c>
      <c r="AF37" s="22" t="n">
        <f aca="false">+(Q36/P36-1)</f>
        <v>0.00447437174860577</v>
      </c>
      <c r="AG37" s="22" t="n">
        <f aca="false">+(R36/Q36-1)</f>
        <v>0.00599578906748</v>
      </c>
      <c r="AH37" s="22" t="n">
        <f aca="false">+(S36/R36-1)</f>
        <v>0.00698354897660125</v>
      </c>
      <c r="AI37" s="22" t="n">
        <f aca="false">+(T36/S36-1)</f>
        <v>0.00651106070453023</v>
      </c>
      <c r="AJ37" s="22" t="n">
        <f aca="false">+(U36/T36-1)</f>
        <v>0.00560683988677457</v>
      </c>
      <c r="AK37" s="22" t="n">
        <f aca="false">+(V36/U36-1)</f>
        <v>0.00574571485036124</v>
      </c>
      <c r="AL37" s="22" t="n">
        <f aca="false">+(W36/V36-1)</f>
        <v>0.00576680489740711</v>
      </c>
      <c r="AM37" s="22" t="n">
        <f aca="false">+(X36/W36-1)</f>
        <v>0.00524054978003985</v>
      </c>
      <c r="AN37" s="22" t="n">
        <f aca="false">+(Y36/X36-1)</f>
        <v>0.00578337286803632</v>
      </c>
      <c r="AO37" s="22" t="n">
        <f aca="false">+(Z36/Y36-1)</f>
        <v>0.00595730011962625</v>
      </c>
      <c r="AP37" s="22" t="n">
        <f aca="false">+(AA36/Z36-1)</f>
        <v>0.00628701090874895</v>
      </c>
      <c r="AQ37" s="23" t="n">
        <f aca="false">+(AA36/P36-1)/COUNTA(AE37:AP37)*12</f>
        <v>0.0662659048261005</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0.00552130825870334</v>
      </c>
      <c r="AF38" s="22" t="n">
        <f aca="false">+(Q37/P37-1)</f>
        <v>0.00508943675078988</v>
      </c>
      <c r="AG38" s="22" t="n">
        <f aca="false">+(R37/Q37-1)</f>
        <v>0.00568574413465206</v>
      </c>
      <c r="AH38" s="22" t="n">
        <f aca="false">+(S37/R37-1)</f>
        <v>0.00539477292998458</v>
      </c>
      <c r="AQ38" s="23" t="n">
        <f aca="false">+(S37/P37-1)/COUNTA(AE38:AP38)*12</f>
        <v>0.0487715304436502</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c r="AG41" s="15"/>
      <c r="AH41" s="15"/>
      <c r="AI41" s="15"/>
      <c r="AJ41" s="15"/>
      <c r="AK41" s="15"/>
      <c r="AL41" s="15"/>
      <c r="AM41" s="15"/>
      <c r="AN41" s="15"/>
      <c r="AO41" s="15"/>
      <c r="AP41" s="15"/>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1063.8688</v>
      </c>
      <c r="AA42" s="4" t="n">
        <f aca="false">+K149</f>
        <v>1066.0204</v>
      </c>
      <c r="AD42" s="21" t="n">
        <v>2017</v>
      </c>
      <c r="AE42" s="22"/>
      <c r="AF42" s="22"/>
      <c r="AG42" s="22"/>
      <c r="AH42" s="22"/>
      <c r="AI42" s="22"/>
      <c r="AJ42" s="22"/>
      <c r="AK42" s="22"/>
      <c r="AL42" s="22"/>
      <c r="AM42" s="22"/>
      <c r="AN42" s="22"/>
      <c r="AO42" s="22"/>
      <c r="AP42" s="22"/>
      <c r="AQ42" s="23" t="n">
        <f aca="false">+AA42/AA41-1</f>
        <v>0.0291466915304779</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1068.2126</v>
      </c>
      <c r="Q43" s="35" t="n">
        <f aca="false">+K151</f>
        <v>1070.2119</v>
      </c>
      <c r="R43" s="35" t="n">
        <f aca="false">+K152</f>
        <v>1072.548</v>
      </c>
      <c r="S43" s="35" t="n">
        <f aca="false">+K153</f>
        <v>1074.6551</v>
      </c>
      <c r="T43" s="20" t="n">
        <f aca="false">+K154</f>
        <v>1076.9917</v>
      </c>
      <c r="U43" s="20" t="n">
        <f aca="false">+K155</f>
        <v>1079.3907</v>
      </c>
      <c r="V43" s="20" t="n">
        <f aca="false">+K156</f>
        <v>1081.8116</v>
      </c>
      <c r="W43" s="20" t="n">
        <f aca="false">+K157</f>
        <v>1084.2472</v>
      </c>
      <c r="X43" s="20" t="n">
        <f aca="false">+K158</f>
        <v>1086.6424</v>
      </c>
      <c r="Y43" s="20" t="n">
        <f aca="false">+K159</f>
        <v>4807.6121</v>
      </c>
      <c r="Z43" s="20" t="n">
        <f aca="false">+K160</f>
        <v>4812.5415</v>
      </c>
      <c r="AA43" s="20" t="n">
        <f aca="false">+K161</f>
        <v>4819.2415</v>
      </c>
      <c r="AD43" s="14" t="n">
        <v>2018</v>
      </c>
      <c r="AE43" s="15"/>
      <c r="AF43" s="15"/>
      <c r="AG43" s="15"/>
      <c r="AH43" s="15"/>
      <c r="AI43" s="15"/>
      <c r="AJ43" s="15"/>
      <c r="AK43" s="27"/>
      <c r="AL43" s="27"/>
      <c r="AM43" s="27"/>
      <c r="AN43" s="15"/>
      <c r="AO43" s="15"/>
      <c r="AP43" s="15"/>
      <c r="AQ43" s="16" t="n">
        <f aca="false">+AA43/AA42-1</f>
        <v>3.5207779325799</v>
      </c>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4825.82</v>
      </c>
      <c r="Q44" s="3" t="n">
        <f aca="false">+K163</f>
        <v>4832.1058</v>
      </c>
      <c r="R44" s="18" t="n">
        <f aca="false">+K164</f>
        <v>4839.1073</v>
      </c>
      <c r="S44" s="18" t="n">
        <f aca="false">+K165</f>
        <v>4845.9628</v>
      </c>
      <c r="T44" s="18" t="n">
        <f aca="false">+K166</f>
        <v>4852.5891</v>
      </c>
      <c r="U44" s="3" t="n">
        <f aca="false">+K167</f>
        <v>4858.4077</v>
      </c>
      <c r="V44" s="3" t="n">
        <f aca="false">+K168</f>
        <v>4863.4466</v>
      </c>
      <c r="W44" s="3" t="n">
        <f aca="false">+K169</f>
        <v>4868.1253</v>
      </c>
      <c r="X44" s="48" t="n">
        <f aca="false">+K170</f>
        <v>4873.326</v>
      </c>
      <c r="Y44" s="48" t="n">
        <f aca="false">+K171</f>
        <v>4876.4951</v>
      </c>
      <c r="Z44" s="3" t="n">
        <f aca="false">+K172</f>
        <v>4879.8683</v>
      </c>
      <c r="AA44" s="3" t="n">
        <f aca="false">+K173</f>
        <v>4882.8959</v>
      </c>
      <c r="AD44" s="21" t="n">
        <v>2019</v>
      </c>
      <c r="AE44" s="22"/>
      <c r="AF44" s="22"/>
      <c r="AG44" s="22"/>
      <c r="AH44" s="22"/>
      <c r="AI44" s="22"/>
      <c r="AJ44" s="22"/>
      <c r="AK44" s="22"/>
      <c r="AL44" s="22"/>
      <c r="AM44" s="22"/>
      <c r="AN44" s="22"/>
      <c r="AO44" s="22"/>
      <c r="AP44" s="22"/>
      <c r="AQ44" s="23"/>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4885.3887</v>
      </c>
      <c r="Q45" s="3" t="n">
        <f aca="false">+K175</f>
        <v>4887.7164</v>
      </c>
      <c r="R45" s="3" t="n">
        <f aca="false">+K176</f>
        <v>4892.3528</v>
      </c>
      <c r="S45" s="3" t="n">
        <f aca="false">+K177</f>
        <v>4903.1164</v>
      </c>
      <c r="T45" s="3" t="n">
        <f aca="false">+K178</f>
        <v>4903.90225</v>
      </c>
      <c r="U45" s="3" t="n">
        <f aca="false">+K179</f>
        <v>4904.6881</v>
      </c>
      <c r="V45" s="3" t="n">
        <f aca="false">+K180</f>
        <v>4905.1791</v>
      </c>
      <c r="W45" s="3" t="n">
        <f aca="false">+K181</f>
        <v>4906.1183</v>
      </c>
      <c r="X45" s="3" t="n">
        <f aca="false">+K182</f>
        <v>4906.466</v>
      </c>
      <c r="Y45" s="3" t="n">
        <f aca="false">+K183</f>
        <v>4906.7963</v>
      </c>
      <c r="Z45" s="3" t="n">
        <f aca="false">+K184</f>
        <v>0</v>
      </c>
      <c r="AA45" s="3" t="n">
        <f aca="false">+K185</f>
        <v>0</v>
      </c>
      <c r="AD45" s="21" t="n">
        <v>2020</v>
      </c>
      <c r="AE45" s="22"/>
      <c r="AF45" s="22"/>
      <c r="AG45" s="22"/>
      <c r="AH45" s="22"/>
      <c r="AI45" s="22"/>
      <c r="AJ45" s="22"/>
      <c r="AK45" s="22"/>
      <c r="AL45" s="22"/>
      <c r="AM45" s="22"/>
      <c r="AN45" s="22"/>
      <c r="AO45" s="22"/>
      <c r="AP45" s="22"/>
      <c r="AQ45" s="23"/>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Q46" s="3" t="n">
        <f aca="false">+K187</f>
        <v>0</v>
      </c>
      <c r="R46" s="3" t="n">
        <f aca="false">+K188</f>
        <v>0</v>
      </c>
      <c r="S46" s="3" t="n">
        <f aca="false">+K189</f>
        <v>0</v>
      </c>
      <c r="T46" s="3" t="n">
        <f aca="false">+K190</f>
        <v>0</v>
      </c>
      <c r="U46" s="3" t="n">
        <f aca="false">+K191</f>
        <v>0</v>
      </c>
      <c r="V46" s="3" t="n">
        <f aca="false">+K192</f>
        <v>0</v>
      </c>
      <c r="W46" s="3" t="n">
        <f aca="false">+K193</f>
        <v>0</v>
      </c>
      <c r="X46" s="18" t="n">
        <f aca="false">+K194</f>
        <v>0</v>
      </c>
      <c r="Y46" s="3" t="n">
        <f aca="false">+K195</f>
        <v>0</v>
      </c>
      <c r="Z46" s="18" t="n">
        <f aca="false">+K196</f>
        <v>0</v>
      </c>
      <c r="AA46" s="3" t="n">
        <f aca="false">+K197</f>
        <v>0</v>
      </c>
      <c r="AD46" s="21" t="n">
        <v>2021</v>
      </c>
      <c r="AE46" s="22"/>
      <c r="AF46" s="22"/>
      <c r="AG46" s="22"/>
      <c r="AH46" s="22"/>
      <c r="AI46" s="22"/>
      <c r="AJ46" s="22"/>
      <c r="AK46" s="22"/>
      <c r="AL46" s="22"/>
      <c r="AM46" s="22"/>
      <c r="AN46" s="22"/>
      <c r="AO46" s="22"/>
      <c r="AP46" s="22"/>
      <c r="AQ46" s="23"/>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0</v>
      </c>
      <c r="Q47" s="3" t="n">
        <f aca="false">+K199</f>
        <v>0</v>
      </c>
      <c r="R47" s="3" t="n">
        <f aca="false">+K200</f>
        <v>0</v>
      </c>
      <c r="S47" s="3" t="n">
        <f aca="false">+K201</f>
        <v>0</v>
      </c>
      <c r="T47" s="3" t="n">
        <f aca="false">+K202</f>
        <v>0</v>
      </c>
      <c r="U47" s="18" t="n">
        <f aca="false">+K203</f>
        <v>0</v>
      </c>
      <c r="V47" s="3" t="n">
        <f aca="false">+K204</f>
        <v>0</v>
      </c>
      <c r="W47" s="18" t="n">
        <f aca="false">+K205</f>
        <v>0</v>
      </c>
      <c r="X47" s="18" t="n">
        <f aca="false">+K206</f>
        <v>0</v>
      </c>
      <c r="Y47" s="18" t="n">
        <f aca="false">+K207</f>
        <v>0</v>
      </c>
      <c r="Z47" s="18" t="n">
        <f aca="false">+K208</f>
        <v>0</v>
      </c>
      <c r="AA47" s="3" t="n">
        <f aca="false">+K209</f>
        <v>0</v>
      </c>
      <c r="AD47" s="21" t="n">
        <v>2022</v>
      </c>
      <c r="AE47" s="22"/>
      <c r="AF47" s="22"/>
      <c r="AG47" s="22"/>
      <c r="AH47" s="22"/>
      <c r="AI47" s="22"/>
      <c r="AJ47" s="22"/>
      <c r="AK47" s="22"/>
      <c r="AL47" s="22"/>
      <c r="AM47" s="22"/>
      <c r="AN47" s="22"/>
      <c r="AO47" s="22"/>
      <c r="AP47" s="22"/>
      <c r="AQ47" s="23"/>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0</v>
      </c>
      <c r="Q48" s="3" t="n">
        <f aca="false">+K211</f>
        <v>0</v>
      </c>
      <c r="R48" s="3" t="n">
        <f aca="false">+K212</f>
        <v>0</v>
      </c>
      <c r="S48" s="3" t="n">
        <f aca="false">+K213</f>
        <v>0</v>
      </c>
      <c r="T48" s="18" t="n">
        <f aca="false">+K214</f>
        <v>0</v>
      </c>
      <c r="U48" s="3" t="n">
        <f aca="false">+K215</f>
        <v>0</v>
      </c>
      <c r="V48" s="3" t="n">
        <f aca="false">+K216</f>
        <v>0</v>
      </c>
      <c r="W48" s="18" t="n">
        <f aca="false">+K217</f>
        <v>0</v>
      </c>
      <c r="X48" s="18" t="n">
        <f aca="false">+K218</f>
        <v>0</v>
      </c>
      <c r="Y48" s="3" t="n">
        <f aca="false">+K219</f>
        <v>0</v>
      </c>
      <c r="Z48" s="18" t="n">
        <f aca="false">+K220</f>
        <v>0</v>
      </c>
      <c r="AA48" s="3" t="n">
        <f aca="false">+K221</f>
        <v>0</v>
      </c>
      <c r="AD48" s="21" t="n">
        <v>2023</v>
      </c>
      <c r="AE48" s="22"/>
      <c r="AF48" s="22"/>
      <c r="AG48" s="22"/>
      <c r="AH48" s="22"/>
      <c r="AI48" s="22"/>
      <c r="AJ48" s="22"/>
      <c r="AK48" s="22"/>
      <c r="AL48" s="22"/>
      <c r="AM48" s="22"/>
      <c r="AN48" s="22"/>
      <c r="AO48" s="22"/>
      <c r="AP48" s="22"/>
      <c r="AQ48" s="23"/>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18" t="n">
        <f aca="false">+K222</f>
        <v>0</v>
      </c>
      <c r="Q49" s="3" t="n">
        <f aca="false">+K223</f>
        <v>0</v>
      </c>
      <c r="R49" s="18" t="n">
        <f aca="false">+K224</f>
        <v>0</v>
      </c>
      <c r="S49" s="3" t="n">
        <f aca="false">+K225</f>
        <v>0</v>
      </c>
      <c r="T49" s="3" t="n">
        <f aca="false">+K226</f>
        <v>0</v>
      </c>
      <c r="U49" s="3" t="n">
        <f aca="false">+K227</f>
        <v>0</v>
      </c>
      <c r="V49" s="3" t="n">
        <f aca="false">+K228</f>
        <v>5968.019</v>
      </c>
      <c r="W49" s="3" t="n">
        <f aca="false">+K229</f>
        <v>5989.669</v>
      </c>
      <c r="X49" s="3" t="n">
        <f aca="false">+K230</f>
        <v>6009.8868</v>
      </c>
      <c r="Y49" s="3" t="n">
        <f aca="false">+K231</f>
        <v>6030.3854</v>
      </c>
      <c r="Z49" s="3" t="n">
        <f aca="false">+K232</f>
        <v>6049.8055</v>
      </c>
      <c r="AA49" s="3" t="n">
        <f aca="false">+K233</f>
        <v>6069.3455</v>
      </c>
      <c r="AD49" s="21" t="n">
        <v>2024</v>
      </c>
      <c r="AE49" s="22"/>
      <c r="AF49" s="22"/>
      <c r="AG49" s="22"/>
      <c r="AH49" s="22"/>
      <c r="AI49" s="22"/>
      <c r="AJ49" s="22"/>
      <c r="AK49" s="22"/>
      <c r="AL49" s="22" t="n">
        <f aca="false">+(W49/V49-1)</f>
        <v>0.00362766941593184</v>
      </c>
      <c r="AM49" s="22" t="n">
        <f aca="false">+(X49/W49-1)</f>
        <v>0.0033754452875443</v>
      </c>
      <c r="AN49" s="22" t="n">
        <f aca="false">+(Y49/X49-1)</f>
        <v>0.00341081299567914</v>
      </c>
      <c r="AO49" s="22" t="n">
        <f aca="false">+(Z49/Y49-1)</f>
        <v>0.00322037460491331</v>
      </c>
      <c r="AP49" s="22" t="n">
        <f aca="false">+(AA49/Z49-1)</f>
        <v>0.003229855901979</v>
      </c>
      <c r="AQ49" s="23" t="n">
        <f aca="false">+(AA49/V49-1)/COUNTA(AE49:AP49)*12</f>
        <v>0.0407477925254595</v>
      </c>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3"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3"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3"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3" t="s">
        <v>3</v>
      </c>
      <c r="AE71" s="60"/>
      <c r="AF71" s="60"/>
      <c r="AG71" s="60"/>
      <c r="AH71" s="60"/>
      <c r="AI71" s="60"/>
      <c r="AJ71" s="60"/>
      <c r="AK71" s="60"/>
      <c r="AL71" s="60"/>
      <c r="AM71" s="60"/>
      <c r="AN71" s="60"/>
      <c r="AO71" s="60"/>
      <c r="AP71" s="60"/>
      <c r="AQ71" s="60"/>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3" t="s">
        <v>26</v>
      </c>
      <c r="AE72" s="60"/>
      <c r="AF72" s="60"/>
      <c r="AG72" s="60"/>
      <c r="AH72" s="60"/>
      <c r="AI72" s="60"/>
      <c r="AJ72" s="60"/>
      <c r="AK72" s="60"/>
      <c r="AL72" s="60"/>
      <c r="AM72" s="60"/>
      <c r="AN72" s="60"/>
      <c r="AO72" s="60"/>
      <c r="AP72" s="60"/>
      <c r="AQ72" s="60"/>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27</v>
      </c>
      <c r="AE73" s="60"/>
      <c r="AF73" s="60"/>
      <c r="AG73" s="60"/>
      <c r="AH73" s="60"/>
      <c r="AI73" s="60"/>
      <c r="AJ73" s="60"/>
      <c r="AK73" s="60"/>
      <c r="AL73" s="60"/>
      <c r="AM73" s="60"/>
      <c r="AN73" s="60"/>
      <c r="AO73" s="60"/>
      <c r="AP73" s="60"/>
      <c r="AQ73" s="60"/>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61" t="n">
        <v>2022</v>
      </c>
      <c r="AD74" s="53" t="s">
        <v>3</v>
      </c>
      <c r="AE74" s="60"/>
      <c r="AF74" s="60"/>
      <c r="AG74" s="60"/>
      <c r="AH74" s="60"/>
      <c r="AI74" s="60"/>
      <c r="AJ74" s="60"/>
      <c r="AK74" s="60"/>
      <c r="AL74" s="60"/>
      <c r="AM74" s="60"/>
      <c r="AN74" s="60"/>
      <c r="AO74" s="60"/>
      <c r="AP74" s="60"/>
      <c r="AQ74" s="60"/>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61"/>
      <c r="AD75" s="53" t="s">
        <v>26</v>
      </c>
      <c r="AE75" s="60"/>
      <c r="AF75" s="60"/>
      <c r="AG75" s="60"/>
      <c r="AH75" s="60"/>
      <c r="AI75" s="60"/>
      <c r="AJ75" s="60"/>
      <c r="AK75" s="60"/>
      <c r="AL75" s="60"/>
      <c r="AM75" s="60"/>
      <c r="AN75" s="60"/>
      <c r="AO75" s="60"/>
      <c r="AP75" s="60"/>
      <c r="AQ75" s="60"/>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61"/>
      <c r="AD76" s="53" t="s">
        <v>27</v>
      </c>
      <c r="AE76" s="60"/>
      <c r="AF76" s="60"/>
      <c r="AG76" s="60"/>
      <c r="AH76" s="60"/>
      <c r="AI76" s="60"/>
      <c r="AJ76" s="60"/>
      <c r="AK76" s="60"/>
      <c r="AL76" s="60"/>
      <c r="AM76" s="60"/>
      <c r="AN76" s="60"/>
      <c r="AO76" s="60"/>
      <c r="AP76" s="60"/>
      <c r="AQ76" s="60"/>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3" t="s">
        <v>3</v>
      </c>
      <c r="AE77" s="60"/>
      <c r="AF77" s="60"/>
      <c r="AG77" s="60"/>
      <c r="AH77" s="60"/>
      <c r="AI77" s="60"/>
      <c r="AJ77" s="60"/>
      <c r="AK77" s="60"/>
      <c r="AL77" s="60"/>
      <c r="AM77" s="60"/>
      <c r="AN77" s="60"/>
      <c r="AO77" s="60"/>
      <c r="AP77" s="60"/>
      <c r="AQ77" s="60"/>
    </row>
    <row r="78" s="4" customFormat="true" ht="15" hidden="false" customHeight="false" outlineLevel="0" collapsed="false">
      <c r="A78" s="17" t="n">
        <v>40939</v>
      </c>
      <c r="B78" s="20" t="n">
        <v>14236.38</v>
      </c>
      <c r="C78" s="25" t="n">
        <f aca="false">(B78/B77-1)/(A78-A77)*30</f>
        <v>0.00421697490162375</v>
      </c>
      <c r="D78" s="19"/>
      <c r="E78" s="19"/>
      <c r="F78" s="19"/>
      <c r="I78" s="5"/>
      <c r="AC78" s="61"/>
      <c r="AD78" s="53" t="s">
        <v>26</v>
      </c>
      <c r="AE78" s="60"/>
      <c r="AF78" s="60"/>
      <c r="AG78" s="60"/>
      <c r="AH78" s="60"/>
      <c r="AI78" s="60"/>
      <c r="AJ78" s="60"/>
      <c r="AK78" s="60"/>
      <c r="AL78" s="60"/>
      <c r="AM78" s="60"/>
      <c r="AN78" s="60"/>
      <c r="AO78" s="60"/>
      <c r="AP78" s="60"/>
      <c r="AQ78" s="60"/>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c r="AF79" s="60"/>
      <c r="AG79" s="60"/>
      <c r="AH79" s="60"/>
      <c r="AI79" s="60"/>
      <c r="AJ79" s="60"/>
      <c r="AK79" s="60"/>
      <c r="AL79" s="60"/>
      <c r="AM79" s="60"/>
      <c r="AN79" s="60"/>
      <c r="AO79" s="60"/>
      <c r="AP79" s="60"/>
      <c r="AQ79" s="60"/>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3" t="s">
        <v>3</v>
      </c>
      <c r="AE80" s="60"/>
      <c r="AF80" s="60"/>
      <c r="AG80" s="60"/>
      <c r="AH80" s="60"/>
      <c r="AI80" s="60"/>
      <c r="AJ80" s="60"/>
      <c r="AK80" s="60"/>
      <c r="AL80" s="22" t="n">
        <f aca="false">+AL20</f>
        <v>0.00480235203759283</v>
      </c>
      <c r="AM80" s="22" t="n">
        <f aca="false">+AM20</f>
        <v>0.00478104349541386</v>
      </c>
      <c r="AN80" s="22" t="n">
        <f aca="false">+AN20</f>
        <v>0.00451044051641847</v>
      </c>
      <c r="AO80" s="22" t="n">
        <f aca="false">+AO20</f>
        <v>0.0043843255475724</v>
      </c>
      <c r="AP80" s="22" t="n">
        <f aca="false">+AP20</f>
        <v>0.00444626417327787</v>
      </c>
      <c r="AQ80" s="22" t="n">
        <f aca="false">+AQ20</f>
        <v>0.0555252649965111</v>
      </c>
    </row>
    <row r="81" s="4" customFormat="true" ht="15" hidden="false" customHeight="false" outlineLevel="0" collapsed="false">
      <c r="A81" s="17" t="n">
        <v>41029</v>
      </c>
      <c r="B81" s="20" t="n">
        <v>14415.21</v>
      </c>
      <c r="C81" s="25" t="n">
        <f aca="false">(B81/B80-1)/(A81-A80)*30</f>
        <v>0.00417144675374423</v>
      </c>
      <c r="D81" s="19"/>
      <c r="E81" s="19"/>
      <c r="F81" s="19"/>
      <c r="I81" s="5"/>
      <c r="AC81" s="61"/>
      <c r="AD81" s="53" t="s">
        <v>26</v>
      </c>
      <c r="AE81" s="60"/>
      <c r="AF81" s="60"/>
      <c r="AG81" s="60"/>
      <c r="AH81" s="60"/>
      <c r="AI81" s="60"/>
      <c r="AJ81" s="60"/>
      <c r="AK81" s="60"/>
      <c r="AL81" s="22" t="n">
        <f aca="false">+AL49</f>
        <v>0.00362766941593184</v>
      </c>
      <c r="AM81" s="22" t="n">
        <f aca="false">+AM49</f>
        <v>0.0033754452875443</v>
      </c>
      <c r="AN81" s="22" t="n">
        <f aca="false">+AN49</f>
        <v>0.00341081299567914</v>
      </c>
      <c r="AO81" s="22" t="n">
        <f aca="false">+AO49</f>
        <v>0.00322037460491331</v>
      </c>
      <c r="AP81" s="22" t="n">
        <f aca="false">+AP49</f>
        <v>0.003229855901979</v>
      </c>
      <c r="AQ81" s="22" t="n">
        <f aca="false">+AQ49</f>
        <v>0.0407477925254595</v>
      </c>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c r="AF82" s="60"/>
      <c r="AG82" s="60"/>
      <c r="AH82" s="60"/>
      <c r="AI82" s="60"/>
      <c r="AJ82" s="60"/>
      <c r="AK82" s="60"/>
      <c r="AL82" s="22" t="n">
        <f aca="false">+AL36</f>
        <v>0.00183925995987466</v>
      </c>
      <c r="AM82" s="22" t="n">
        <f aca="false">+AM36</f>
        <v>0.00564001075656728</v>
      </c>
      <c r="AN82" s="22" t="n">
        <f aca="false">+AN36</f>
        <v>0.00516548203357203</v>
      </c>
      <c r="AO82" s="22" t="n">
        <f aca="false">+AO36</f>
        <v>0.00532804271677145</v>
      </c>
      <c r="AP82" s="22" t="n">
        <f aca="false">+AP36</f>
        <v>0.00514686663203201</v>
      </c>
      <c r="AQ82" s="22" t="n">
        <f aca="false">+AQ36</f>
        <v>0.055990705296993</v>
      </c>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3" t="s">
        <v>3</v>
      </c>
      <c r="AE83" s="22" t="n">
        <f aca="false">+AE21</f>
        <v>0.00445443017437541</v>
      </c>
      <c r="AF83" s="22" t="n">
        <f aca="false">+AF21</f>
        <v>0.00389626305099444</v>
      </c>
      <c r="AG83" s="22" t="n">
        <f aca="false">+AG21</f>
        <v>0.0043138020854181</v>
      </c>
      <c r="AH83" s="22" t="n">
        <f aca="false">+AH21</f>
        <v>0.00417571644342774</v>
      </c>
      <c r="AI83" s="22" t="n">
        <f aca="false">+AI21</f>
        <v>0.00417422694650416</v>
      </c>
      <c r="AJ83" s="22" t="n">
        <f aca="false">+AJ21</f>
        <v>0.00431456613652492</v>
      </c>
      <c r="AK83" s="22" t="n">
        <f aca="false">+AK21</f>
        <v>0.00430626208344687</v>
      </c>
      <c r="AL83" s="22" t="n">
        <f aca="false">+AL21</f>
        <v>0.00383327468941586</v>
      </c>
      <c r="AM83" s="22" t="n">
        <f aca="false">+AM21</f>
        <v>0.00423004876441735</v>
      </c>
      <c r="AN83" s="22" t="n">
        <f aca="false">+AN21</f>
        <v>0.00396619021077105</v>
      </c>
      <c r="AO83" s="22" t="n">
        <f aca="false">+AO21</f>
        <v>0.00383243965233548</v>
      </c>
      <c r="AP83" s="22" t="n">
        <f aca="false">+AP21</f>
        <v>0.00413946203577598</v>
      </c>
      <c r="AQ83" s="22"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1"/>
      <c r="AD84" s="53" t="s">
        <v>26</v>
      </c>
      <c r="AE84" s="22" t="n">
        <f aca="false">+AE50</f>
        <v>0.00302021033404665</v>
      </c>
      <c r="AF84" s="22" t="n">
        <f aca="false">+AF50</f>
        <v>0.00276213771028111</v>
      </c>
      <c r="AG84" s="22" t="n">
        <f aca="false">+AG50</f>
        <v>0.00306282692323312</v>
      </c>
      <c r="AH84" s="22" t="n">
        <f aca="false">+AH50</f>
        <v>0.00297594968581905</v>
      </c>
      <c r="AI84" s="22" t="n">
        <f aca="false">+AI50</f>
        <v>0.00308976252279503</v>
      </c>
      <c r="AJ84" s="22" t="n">
        <f aca="false">+AJ50</f>
        <v>0.00299705245742721</v>
      </c>
      <c r="AK84" s="22" t="n">
        <f aca="false">+AK50</f>
        <v>0.00295054952791363</v>
      </c>
      <c r="AL84" s="22" t="n">
        <f aca="false">+AL50</f>
        <v>0.00300054219083834</v>
      </c>
      <c r="AM84" s="22" t="n">
        <f aca="false">+AM50</f>
        <v>0.00276161496613736</v>
      </c>
      <c r="AN84" s="22" t="n">
        <f aca="false">+AN50</f>
        <v>0.00286519472447866</v>
      </c>
      <c r="AO84" s="22" t="n">
        <f aca="false">+AO50</f>
        <v>0.00279501576319907</v>
      </c>
      <c r="AP84" s="22" t="n">
        <f aca="false">+AP50</f>
        <v>0.00283776649927603</v>
      </c>
      <c r="AQ84" s="22"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22" t="n">
        <f aca="false">+AE37</f>
        <v>0.0044102581843124</v>
      </c>
      <c r="AF85" s="22" t="n">
        <f aca="false">+AF37</f>
        <v>0.00447437174860577</v>
      </c>
      <c r="AG85" s="22" t="n">
        <f aca="false">+AG37</f>
        <v>0.00599578906748</v>
      </c>
      <c r="AH85" s="22" t="n">
        <f aca="false">+AH37</f>
        <v>0.00698354897660125</v>
      </c>
      <c r="AI85" s="22" t="n">
        <f aca="false">+AI37</f>
        <v>0.00651106070453023</v>
      </c>
      <c r="AJ85" s="22" t="n">
        <f aca="false">+AJ37</f>
        <v>0.00560683988677457</v>
      </c>
      <c r="AK85" s="22" t="n">
        <f aca="false">+AK37</f>
        <v>0.00574571485036124</v>
      </c>
      <c r="AL85" s="22" t="n">
        <f aca="false">+AL37</f>
        <v>0.00576680489740711</v>
      </c>
      <c r="AM85" s="22" t="n">
        <f aca="false">+AM37</f>
        <v>0.00524054978003985</v>
      </c>
      <c r="AN85" s="22" t="n">
        <f aca="false">+AN37</f>
        <v>0.00578337286803632</v>
      </c>
      <c r="AO85" s="22" t="n">
        <f aca="false">+AO37</f>
        <v>0.00595730011962625</v>
      </c>
      <c r="AP85" s="22" t="n">
        <f aca="false">+AP37</f>
        <v>0.00628701090874895</v>
      </c>
      <c r="AQ85" s="22" t="n">
        <f aca="false">+AQ37</f>
        <v>0.0662659048261005</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3" t="s">
        <v>3</v>
      </c>
      <c r="AE86" s="22" t="n">
        <f aca="false">+AE22</f>
        <v>0.00388234363273376</v>
      </c>
      <c r="AF86" s="22" t="n">
        <f aca="false">+AF22</f>
        <v>0.00363126461056962</v>
      </c>
      <c r="AG86" s="22" t="n">
        <f aca="false">+AG22</f>
        <v>0.0038819280865483</v>
      </c>
      <c r="AH86" s="22" t="n">
        <f aca="false">+AH22</f>
        <v>-0.243672722859896</v>
      </c>
      <c r="AI86" s="22"/>
      <c r="AJ86" s="22"/>
      <c r="AK86" s="22"/>
      <c r="AL86" s="22"/>
      <c r="AM86" s="22"/>
      <c r="AN86" s="22"/>
      <c r="AO86" s="22"/>
      <c r="AP86" s="22"/>
      <c r="AQ86" s="22" t="n">
        <f aca="false">+AQ22</f>
        <v>-0.71393888658704</v>
      </c>
    </row>
    <row r="87" s="4" customFormat="true" ht="15" hidden="false" customHeight="false" outlineLevel="0" collapsed="false">
      <c r="A87" s="17" t="n">
        <v>41213</v>
      </c>
      <c r="B87" s="20" t="n">
        <v>14788.56</v>
      </c>
      <c r="C87" s="25" t="n">
        <f aca="false">(B87/B86-1)/(A87-A86)*30</f>
        <v>0.0041920000237142</v>
      </c>
      <c r="D87" s="19"/>
      <c r="E87" s="19"/>
      <c r="F87" s="19"/>
      <c r="I87" s="5"/>
      <c r="AC87" s="61"/>
      <c r="AD87" s="53" t="s">
        <v>26</v>
      </c>
      <c r="AE87" s="22" t="n">
        <f aca="false">+AE51</f>
        <v>0.00272443815472734</v>
      </c>
      <c r="AF87" s="22" t="n">
        <f aca="false">+AF51</f>
        <v>0.00244521636660222</v>
      </c>
      <c r="AG87" s="22" t="n">
        <f aca="false">+AG51</f>
        <v>0.00268777625151762</v>
      </c>
      <c r="AH87" s="22" t="n">
        <f aca="false">+AH51</f>
        <v>-1</v>
      </c>
      <c r="AI87" s="22"/>
      <c r="AJ87" s="22"/>
      <c r="AK87" s="22"/>
      <c r="AL87" s="22"/>
      <c r="AM87" s="22"/>
      <c r="AN87" s="22"/>
      <c r="AO87" s="22"/>
      <c r="AP87" s="22"/>
      <c r="AQ87" s="22"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22" t="n">
        <f aca="false">+AE38</f>
        <v>0.00552130825870334</v>
      </c>
      <c r="AF88" s="22" t="n">
        <f aca="false">+AF38</f>
        <v>0.00508943675078988</v>
      </c>
      <c r="AG88" s="22" t="n">
        <f aca="false">+AG38</f>
        <v>0.00568574413465206</v>
      </c>
      <c r="AH88" s="22" t="n">
        <f aca="false">+AH38</f>
        <v>0.00539477292998458</v>
      </c>
      <c r="AI88" s="22"/>
      <c r="AJ88" s="22"/>
      <c r="AK88" s="22"/>
      <c r="AL88" s="22"/>
      <c r="AM88" s="22"/>
      <c r="AN88" s="22"/>
      <c r="AO88" s="22"/>
      <c r="AP88" s="22"/>
      <c r="AQ88" s="22" t="n">
        <f aca="false">+AQ38</f>
        <v>0.0487715304436502</v>
      </c>
    </row>
    <row r="89" s="4" customFormat="true" ht="15" hidden="false" customHeight="false" outlineLevel="0" collapsed="false">
      <c r="A89" s="17" t="n">
        <v>41274</v>
      </c>
      <c r="B89" s="20" t="n">
        <v>14908.2</v>
      </c>
      <c r="C89" s="25" t="n">
        <f aca="false">(B89/B88-1)/(A89-A88)*30</f>
        <v>0.00376790618891083</v>
      </c>
      <c r="D89" s="19"/>
      <c r="E89" s="19"/>
      <c r="F89" s="19"/>
      <c r="I89" s="5"/>
      <c r="AC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C97" s="3"/>
      <c r="AD97" s="17" t="n">
        <v>43008</v>
      </c>
      <c r="AE97" s="62" t="n">
        <v>0.00311210000000006</v>
      </c>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C98" s="3"/>
      <c r="AD98" s="17" t="n">
        <v>43039</v>
      </c>
      <c r="AE98" s="62" t="n">
        <v>0.00266354947734888</v>
      </c>
      <c r="AF98" s="3"/>
      <c r="AG98" s="3"/>
      <c r="AH98" s="3"/>
      <c r="AI98" s="3"/>
      <c r="AJ98" s="3"/>
      <c r="AK98" s="3"/>
      <c r="AL98" s="3"/>
      <c r="AM98" s="3"/>
      <c r="AN98" s="3"/>
      <c r="AO98" s="3"/>
      <c r="AP98" s="3"/>
      <c r="AQ98" s="3"/>
    </row>
    <row r="99" s="4" customFormat="true" ht="15" hidden="false" customHeight="false" outlineLevel="0" collapsed="false">
      <c r="A99" s="17" t="n">
        <v>41578</v>
      </c>
      <c r="B99" s="20" t="n">
        <v>15554.36</v>
      </c>
      <c r="C99" s="25" t="n">
        <f aca="false">(B99/B98-1)/(A99-A98)*30</f>
        <v>0.00395880485699199</v>
      </c>
      <c r="D99" s="19"/>
      <c r="E99" s="19"/>
      <c r="F99" s="19"/>
      <c r="I99" s="5"/>
      <c r="AD99" s="17" t="n">
        <v>43069</v>
      </c>
      <c r="AE99" s="62" t="n">
        <v>0.00270401929468234</v>
      </c>
      <c r="AF99" s="3"/>
      <c r="AG99" s="3"/>
      <c r="AH99" s="3"/>
      <c r="AI99" s="3"/>
      <c r="AJ99" s="3"/>
      <c r="AK99" s="3"/>
      <c r="AL99" s="3"/>
      <c r="AM99" s="3"/>
      <c r="AN99" s="3"/>
      <c r="AO99" s="3"/>
      <c r="AP99" s="3"/>
      <c r="AQ99" s="3"/>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43100</v>
      </c>
      <c r="AE100" s="62" t="n">
        <v>0.00300965446914445</v>
      </c>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43131</v>
      </c>
      <c r="AE101" s="62" t="n">
        <v>0.00473727239934226</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43159</v>
      </c>
      <c r="AE102" s="62" t="n">
        <v>0.00378152301954046</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43190</v>
      </c>
      <c r="AE103" s="62" t="n">
        <v>0.00300527511908573</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43220</v>
      </c>
      <c r="AE104" s="62" t="n">
        <v>0.00316130254575997</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43251</v>
      </c>
      <c r="AE105" s="62" t="n">
        <v>0.00310067866389014</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43281</v>
      </c>
      <c r="AE106" s="62" t="n">
        <v>0.00287709140845549</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43312</v>
      </c>
      <c r="AE107" s="62" t="n">
        <v>0.00279025405786912</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43343</v>
      </c>
      <c r="AE108" s="62" t="n">
        <v>0.00269722002207049</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43373</v>
      </c>
      <c r="AE109" s="62" t="n">
        <v>0.00294678677406712</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43404</v>
      </c>
      <c r="AE110" s="62" t="n">
        <v>0.00273411579812808</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43434</v>
      </c>
      <c r="AE111" s="62" t="n">
        <v>0.00284409288655185</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43465</v>
      </c>
      <c r="AE112" s="62" t="n">
        <v>0.00262659891580654</v>
      </c>
    </row>
    <row r="113" s="4" customFormat="true" ht="15" hidden="false" customHeight="false" outlineLevel="0" collapsed="false">
      <c r="A113" s="17" t="n">
        <v>42004</v>
      </c>
      <c r="B113" s="20" t="n">
        <v>16283.49</v>
      </c>
      <c r="C113" s="25" t="n">
        <f aca="false">(B113/B112-1)/(A113-A112)*30</f>
        <v>0.00242833106649904</v>
      </c>
      <c r="D113" s="19"/>
      <c r="E113" s="19"/>
      <c r="F113" s="19"/>
      <c r="I113" s="5"/>
      <c r="AD113" s="17" t="n">
        <v>43496</v>
      </c>
      <c r="AE113" s="62" t="n">
        <v>0.00281430328228941</v>
      </c>
    </row>
    <row r="114" s="4" customFormat="true" ht="15" hidden="false" customHeight="false" outlineLevel="0" collapsed="false">
      <c r="A114" s="17" t="n">
        <v>42034</v>
      </c>
      <c r="B114" s="20" t="n">
        <v>16325.65</v>
      </c>
      <c r="C114" s="25" t="n">
        <f aca="false">(B114/B113-1)/(A114-A113)*30</f>
        <v>0.00258912554986668</v>
      </c>
      <c r="D114" s="19"/>
      <c r="E114" s="19"/>
      <c r="F114" s="19"/>
      <c r="I114" s="5"/>
      <c r="AD114" s="17" t="n">
        <v>43524</v>
      </c>
      <c r="AE114" s="62" t="n">
        <v>0.00282360638687196</v>
      </c>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17" t="n">
        <v>43555</v>
      </c>
      <c r="AE115" s="62" t="n">
        <v>0.00286536279403882</v>
      </c>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17" t="n">
        <v>43585</v>
      </c>
      <c r="AE116" s="62" t="n">
        <v>0.00293240905161363</v>
      </c>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3"/>
      <c r="H130" s="63"/>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3"/>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4" t="n">
        <v>17149.23</v>
      </c>
      <c r="C132" s="25" t="n">
        <f aca="false">(B132/B131-1)/(A132-A131)*30</f>
        <v>0.00289846803993268</v>
      </c>
      <c r="D132" s="19"/>
      <c r="F132" s="17" t="n">
        <f aca="false">+A132</f>
        <v>42582</v>
      </c>
      <c r="H132" s="63"/>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3"/>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3"/>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3"/>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3"/>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3"/>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C145" s="4"/>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c r="AC146" s="4"/>
      <c r="AD146" s="4"/>
      <c r="AE146" s="4"/>
      <c r="AF146" s="4"/>
      <c r="AG146" s="4"/>
      <c r="AH146" s="4"/>
      <c r="AI146" s="4"/>
      <c r="AJ146" s="4"/>
      <c r="AK146" s="4"/>
      <c r="AL146" s="4"/>
      <c r="AM146" s="4"/>
      <c r="AN146" s="4"/>
      <c r="AO146" s="4"/>
      <c r="AP146" s="4"/>
      <c r="AQ146" s="4"/>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41</v>
      </c>
      <c r="AD147" s="4"/>
      <c r="AE147" s="4"/>
      <c r="AF147" s="4"/>
      <c r="AG147" s="4"/>
      <c r="AH147" s="4"/>
      <c r="AI147" s="4"/>
      <c r="AJ147" s="4"/>
      <c r="AK147" s="4"/>
      <c r="AL147" s="4"/>
      <c r="AM147" s="4"/>
      <c r="AN147" s="4"/>
      <c r="AO147" s="4"/>
      <c r="AP147" s="4"/>
      <c r="AQ147" s="4"/>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t="n">
        <v>1063.8688</v>
      </c>
      <c r="L148" s="25" t="n">
        <f aca="false">+(K148/K147-1)/(F148-F147)*30</f>
        <v>0.00195678792184273</v>
      </c>
      <c r="M148" s="19"/>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t="n">
        <v>1066.0204</v>
      </c>
      <c r="L149" s="25" t="n">
        <f aca="false">+(K149/K148-1)/(F149-F148)*30</f>
        <v>0.00195719016140636</v>
      </c>
      <c r="M149" s="19"/>
      <c r="Q149" s="4" t="n">
        <f aca="false">+G137+S148</f>
        <v>0</v>
      </c>
      <c r="S149" s="3" t="s">
        <v>42</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t="n">
        <v>1068.2126</v>
      </c>
      <c r="L150" s="25" t="n">
        <f aca="false">+(K150/K149-1)/(F150-F149)*30</f>
        <v>0.0019900968789787</v>
      </c>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t="n">
        <v>1070.2119</v>
      </c>
      <c r="L151" s="25" t="n">
        <f aca="false">+(K151/K150-1)/(F151-F150)*30</f>
        <v>0.00200531911237248</v>
      </c>
      <c r="M151" s="19"/>
      <c r="S151" s="3" t="s">
        <v>43</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t="n">
        <v>1072.548</v>
      </c>
      <c r="L152" s="25" t="n">
        <f aca="false">+(K152/K151-1)/(F152-F151)*30</f>
        <v>0.00211242459132052</v>
      </c>
      <c r="M152" s="19"/>
    </row>
    <row r="153" customFormat="false" ht="15" hidden="false" customHeight="false" outlineLevel="0" collapsed="false">
      <c r="A153" s="17" t="n">
        <v>43220</v>
      </c>
      <c r="B153" s="3" t="n">
        <v>18044.25</v>
      </c>
      <c r="C153" s="25" t="n">
        <f aca="false">(B153/B152-1)/(A153-A152)*30</f>
        <v>0.00207810036525014</v>
      </c>
      <c r="D153" s="19"/>
      <c r="F153" s="17" t="n">
        <v>43220</v>
      </c>
      <c r="I153" s="25"/>
      <c r="J153" s="18"/>
      <c r="K153" s="4" t="n">
        <v>1074.6551</v>
      </c>
      <c r="L153" s="25" t="n">
        <f aca="false">+(K153/K152-1)/(F153-F152)*30</f>
        <v>0.0019645740796681</v>
      </c>
      <c r="M153" s="19"/>
      <c r="S153" s="3" t="s">
        <v>43</v>
      </c>
    </row>
    <row r="154" customFormat="false" ht="15" hidden="false" customHeight="false" outlineLevel="0" collapsed="false">
      <c r="A154" s="17" t="n">
        <v>43251</v>
      </c>
      <c r="B154" s="18" t="n">
        <v>18082.87</v>
      </c>
      <c r="C154" s="25" t="n">
        <f aca="false">(B154/B153-1)/(A154-A153)*30</f>
        <v>0.00207125225755497</v>
      </c>
      <c r="D154" s="19"/>
      <c r="F154" s="17" t="n">
        <v>43251</v>
      </c>
      <c r="I154" s="25"/>
      <c r="J154" s="18"/>
      <c r="K154" s="4" t="n">
        <v>1076.9917</v>
      </c>
      <c r="L154" s="25" t="n">
        <f aca="false">+(K154/K153-1)/(F154-F153)*30</f>
        <v>0.002104140953178</v>
      </c>
      <c r="M154" s="19"/>
    </row>
    <row r="155" customFormat="false" ht="15" hidden="false" customHeight="false" outlineLevel="0" collapsed="false">
      <c r="A155" s="17" t="n">
        <v>43281</v>
      </c>
      <c r="B155" s="19" t="n">
        <v>18120.6225</v>
      </c>
      <c r="C155" s="25" t="n">
        <f aca="false">(B155/B154-1)/(A155-A154)*30</f>
        <v>0.00208774934509859</v>
      </c>
      <c r="D155" s="19"/>
      <c r="F155" s="17" t="n">
        <v>43281</v>
      </c>
      <c r="I155" s="25"/>
      <c r="J155" s="18"/>
      <c r="K155" s="3" t="n">
        <v>1079.3907</v>
      </c>
      <c r="L155" s="25" t="n">
        <f aca="false">+(K155/K154-1)/(F155-F154)*30</f>
        <v>0.00222750091760204</v>
      </c>
      <c r="M155" s="19"/>
      <c r="S155" s="3" t="s">
        <v>44</v>
      </c>
    </row>
    <row r="156" customFormat="false" ht="15" hidden="false" customHeight="false" outlineLevel="0" collapsed="false">
      <c r="A156" s="17" t="n">
        <v>43312</v>
      </c>
      <c r="B156" s="18" t="n">
        <v>18159.66</v>
      </c>
      <c r="C156" s="25" t="n">
        <f aca="false">(B156/B155-1)/(A156-A155)*30</f>
        <v>0.00208481942639947</v>
      </c>
      <c r="D156" s="19"/>
      <c r="F156" s="17" t="n">
        <v>43312</v>
      </c>
      <c r="I156" s="25"/>
      <c r="J156" s="18"/>
      <c r="K156" s="3" t="n">
        <v>1081.8116</v>
      </c>
      <c r="L156" s="25" t="n">
        <f aca="false">+(K156/K155-1)/(F156-F155)*30</f>
        <v>0.00217048975094272</v>
      </c>
      <c r="M156" s="19"/>
      <c r="S156" s="3" t="n">
        <v>0</v>
      </c>
    </row>
    <row r="157" customFormat="false" ht="15" hidden="false" customHeight="false" outlineLevel="0" collapsed="false">
      <c r="A157" s="17" t="n">
        <v>43343</v>
      </c>
      <c r="B157" s="18" t="n">
        <v>18198.62</v>
      </c>
      <c r="C157" s="25" t="n">
        <f aca="false">(B157/B156-1)/(A157-A156)*30</f>
        <v>0.00207620769367104</v>
      </c>
      <c r="D157" s="19"/>
      <c r="F157" s="17" t="n">
        <v>43343</v>
      </c>
      <c r="I157" s="25"/>
      <c r="J157" s="18"/>
      <c r="K157" s="3" t="n">
        <v>1084.2472</v>
      </c>
      <c r="L157" s="25" t="n">
        <f aca="false">+(K157/K156-1)/(F157-F156)*30</f>
        <v>0.00217878256996366</v>
      </c>
      <c r="M157" s="19"/>
      <c r="S157" s="3" t="s">
        <v>45</v>
      </c>
      <c r="AR157" s="65"/>
    </row>
    <row r="158" customFormat="false" ht="15" hidden="false" customHeight="false" outlineLevel="0" collapsed="false">
      <c r="A158" s="17" t="n">
        <v>43373</v>
      </c>
      <c r="B158" s="35" t="n">
        <v>18235.9</v>
      </c>
      <c r="C158" s="25" t="n">
        <f aca="false">(B158/B157-1)/(A158-A157)*30</f>
        <v>0.00204850697470471</v>
      </c>
      <c r="D158" s="19"/>
      <c r="F158" s="17" t="n">
        <v>43373</v>
      </c>
      <c r="I158" s="25"/>
      <c r="J158" s="18"/>
      <c r="K158" s="3" t="n">
        <v>1086.6424</v>
      </c>
      <c r="L158" s="25" t="n">
        <f aca="false">+(K158/K157-1)/(F158-F157)*30</f>
        <v>0.00220909032552719</v>
      </c>
      <c r="M158" s="19"/>
      <c r="S158" s="3" t="n">
        <v>0</v>
      </c>
    </row>
    <row r="159" customFormat="false" ht="15" hidden="false" customHeight="false" outlineLevel="0" collapsed="false">
      <c r="A159" s="17" t="n">
        <v>43404</v>
      </c>
      <c r="B159" s="3" t="n">
        <v>18277.4</v>
      </c>
      <c r="C159" s="25" t="n">
        <f aca="false">(B159/B158-1)/(A159-A158)*30</f>
        <v>0.00220232016640697</v>
      </c>
      <c r="D159" s="19"/>
      <c r="F159" s="17" t="n">
        <v>43404</v>
      </c>
      <c r="I159" s="25"/>
      <c r="J159" s="18"/>
      <c r="K159" s="3" t="n">
        <v>4807.6121</v>
      </c>
      <c r="L159" s="25" t="n">
        <f aca="false">+(K159/K158-1)/(F159-F158)*30</f>
        <v>3.31382101356881</v>
      </c>
      <c r="M159" s="19"/>
      <c r="S159" s="3" t="s">
        <v>46</v>
      </c>
    </row>
    <row r="160" customFormat="false" ht="15" hidden="false" customHeight="false" outlineLevel="0" collapsed="false">
      <c r="A160" s="17" t="n">
        <v>43434</v>
      </c>
      <c r="B160" s="19" t="n">
        <v>18319.31</v>
      </c>
      <c r="C160" s="25" t="n">
        <f aca="false">(B160/B159-1)/(A160-A159)*30</f>
        <v>0.00229299572149211</v>
      </c>
      <c r="D160" s="19"/>
      <c r="F160" s="17" t="n">
        <v>43434</v>
      </c>
      <c r="I160" s="25"/>
      <c r="J160" s="18"/>
      <c r="K160" s="18" t="n">
        <v>4812.5415</v>
      </c>
      <c r="L160" s="25" t="n">
        <f aca="false">+(K160/K159-1)/(F160-F159)*30</f>
        <v>0.00102533230582402</v>
      </c>
      <c r="M160" s="19"/>
      <c r="S160" s="3" t="n">
        <v>0</v>
      </c>
    </row>
    <row r="161" customFormat="false" ht="15" hidden="false" customHeight="false" outlineLevel="0" collapsed="false">
      <c r="A161" s="17" t="n">
        <v>43465</v>
      </c>
      <c r="B161" s="3" t="n">
        <v>18362.684</v>
      </c>
      <c r="C161" s="25" t="n">
        <f aca="false">(B161/B160-1)/(A161-A160)*30</f>
        <v>0.00229128928489532</v>
      </c>
      <c r="D161" s="19"/>
      <c r="F161" s="17" t="n">
        <v>43465</v>
      </c>
      <c r="I161" s="25"/>
      <c r="J161" s="18"/>
      <c r="K161" s="18" t="n">
        <v>4819.2415</v>
      </c>
      <c r="L161" s="25" t="n">
        <f aca="false">+(K161/K160-1)/(F161-F160)*30</f>
        <v>0.00134728624527007</v>
      </c>
      <c r="M161" s="19"/>
    </row>
    <row r="162" customFormat="false" ht="15" hidden="false" customHeight="false" outlineLevel="0" collapsed="false">
      <c r="A162" s="17" t="n">
        <v>43496</v>
      </c>
      <c r="B162" s="3" t="n">
        <v>18407.69</v>
      </c>
      <c r="C162" s="25" t="n">
        <f aca="false">(B162/B161-1)/(A162-A161)*30</f>
        <v>0.00237188602430805</v>
      </c>
      <c r="D162" s="19"/>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3" t="n">
        <v>18449.16</v>
      </c>
      <c r="C163" s="25" t="n">
        <f aca="false">(B163/B162-1)/(A163-A162)*30</f>
        <v>0.00241378156939547</v>
      </c>
      <c r="D163" s="19"/>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c r="F164" s="17" t="n">
        <v>43555</v>
      </c>
      <c r="I164" s="25"/>
      <c r="J164" s="18"/>
      <c r="K164" s="18" t="n">
        <v>4839.1073</v>
      </c>
      <c r="L164" s="25" t="n">
        <f aca="false">+(K164/K163-1)/(F164-F163)*30</f>
        <v>0.00140221374318611</v>
      </c>
      <c r="M164" s="19"/>
    </row>
    <row r="165" customFormat="false" ht="15" hidden="false" customHeight="false" outlineLevel="0" collapsed="false">
      <c r="A165" s="17" t="n">
        <v>43585</v>
      </c>
      <c r="B165" s="3" t="n">
        <v>18543.07</v>
      </c>
      <c r="C165" s="25" t="n">
        <f aca="false">(B165/B164-1)/(A165-A164)*30</f>
        <v>0.00250042980360954</v>
      </c>
      <c r="D165" s="19"/>
      <c r="F165" s="17" t="n">
        <v>43585</v>
      </c>
      <c r="I165" s="25"/>
      <c r="J165" s="18"/>
      <c r="K165" s="18"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c r="F166" s="17" t="n">
        <v>43616</v>
      </c>
      <c r="I166" s="25"/>
      <c r="J166" s="18"/>
      <c r="K166" s="18" t="n">
        <v>4852.5891</v>
      </c>
      <c r="L166" s="25" t="n">
        <f aca="false">+(K166/K165-1)/(F166-F165)*30</f>
        <v>0.001323276436851</v>
      </c>
      <c r="M166" s="19"/>
    </row>
    <row r="167" customFormat="false" ht="15" hidden="false" customHeight="false" outlineLevel="0" collapsed="false">
      <c r="A167" s="17" t="n">
        <v>43646</v>
      </c>
      <c r="B167" s="19" t="n">
        <v>18632.31</v>
      </c>
      <c r="C167" s="25" t="n">
        <f aca="false">(B167/B166-1)/(A167-A166)*30</f>
        <v>0.00222096474534483</v>
      </c>
      <c r="D167" s="19"/>
      <c r="F167" s="17" t="n">
        <v>43646</v>
      </c>
      <c r="I167" s="25"/>
      <c r="J167" s="18"/>
      <c r="K167" s="3" t="n">
        <v>4858.4077</v>
      </c>
      <c r="L167" s="25" t="n">
        <f aca="false">+(K167/K166-1)/(F167-F166)*30</f>
        <v>0.00119907123395202</v>
      </c>
      <c r="M167" s="19"/>
    </row>
    <row r="168" customFormat="false" ht="15" hidden="false" customHeight="false" outlineLevel="0" collapsed="false">
      <c r="A168" s="17" t="n">
        <v>43677</v>
      </c>
      <c r="B168" s="3" t="n">
        <v>18672.31</v>
      </c>
      <c r="C168" s="25" t="n">
        <f aca="false">(B168/B167-1)/(A168-A167)*30</f>
        <v>0.00207755653589669</v>
      </c>
      <c r="D168" s="19"/>
      <c r="F168" s="17" t="n">
        <v>43677</v>
      </c>
      <c r="I168" s="25"/>
      <c r="J168" s="18"/>
      <c r="K168" s="3" t="n">
        <v>4863.4466</v>
      </c>
      <c r="L168" s="25" t="n">
        <f aca="false">+(K168/K167-1)/(F168-F167)*30</f>
        <v>0.00100369403718635</v>
      </c>
      <c r="M168" s="19"/>
    </row>
    <row r="169" customFormat="false" ht="15" hidden="false" customHeight="false" outlineLevel="0" collapsed="false">
      <c r="A169" s="17" t="n">
        <v>43708</v>
      </c>
      <c r="B169" s="19" t="n">
        <v>18712.55</v>
      </c>
      <c r="C169" s="25" t="n">
        <f aca="false">(B169/B168-1)/(A169-A168)*30</f>
        <v>0.00208554461038137</v>
      </c>
      <c r="D169" s="19"/>
      <c r="F169" s="17" t="n">
        <v>43708</v>
      </c>
      <c r="I169" s="25"/>
      <c r="J169" s="18"/>
      <c r="K169" s="3" t="n">
        <v>4868.1253</v>
      </c>
      <c r="L169" s="25" t="n">
        <f aca="false">+(K169/K168-1)/(F169-F168)*30</f>
        <v>0.000930980550613598</v>
      </c>
      <c r="M169" s="19"/>
    </row>
    <row r="170" customFormat="false" ht="15" hidden="false" customHeight="false" outlineLevel="0" collapsed="false">
      <c r="A170" s="17" t="n">
        <v>43738</v>
      </c>
      <c r="B170" s="3" t="n">
        <v>18744.77</v>
      </c>
      <c r="C170" s="25" t="n">
        <f aca="false">(B170/B169-1)/(A170-A169)*30</f>
        <v>0.00172183908660228</v>
      </c>
      <c r="D170" s="19"/>
      <c r="F170" s="17" t="n">
        <v>43738</v>
      </c>
      <c r="I170" s="25"/>
      <c r="J170" s="18"/>
      <c r="K170" s="3" t="n">
        <v>4873.326</v>
      </c>
      <c r="L170" s="25" t="n">
        <f aca="false">+(K170/K169-1)/(F170-F169)*30</f>
        <v>0.00106831679127084</v>
      </c>
      <c r="M170" s="19"/>
    </row>
    <row r="171" customFormat="false" ht="15" hidden="false" customHeight="false" outlineLevel="0" collapsed="false">
      <c r="A171" s="17" t="n">
        <v>43769</v>
      </c>
      <c r="B171" s="19" t="n">
        <v>18776.102</v>
      </c>
      <c r="C171" s="25" t="n">
        <f aca="false">(B171/B170-1)/(A171-A170)*30</f>
        <v>0.00161758668271631</v>
      </c>
      <c r="D171" s="19"/>
      <c r="F171" s="17" t="n">
        <v>43769</v>
      </c>
      <c r="I171" s="25"/>
      <c r="J171" s="18"/>
      <c r="K171" s="3" t="n">
        <v>4876.4951</v>
      </c>
      <c r="L171" s="25" t="n">
        <f aca="false">+(K171/K170-1)/(F171-F170)*30</f>
        <v>0.000629317835035443</v>
      </c>
      <c r="M171" s="19"/>
    </row>
    <row r="172" customFormat="false" ht="15" hidden="false" customHeight="false" outlineLevel="0" collapsed="false">
      <c r="A172" s="17" t="n">
        <v>43799</v>
      </c>
      <c r="C172" s="25"/>
      <c r="D172" s="19"/>
      <c r="F172" s="17" t="n">
        <v>43799</v>
      </c>
      <c r="I172" s="25"/>
      <c r="J172" s="18"/>
      <c r="K172" s="3" t="n">
        <v>4879.8683</v>
      </c>
      <c r="L172" s="25" t="n">
        <f aca="false">+(K172/K171-1)/(F172-F171)*30</f>
        <v>0.000691726317945118</v>
      </c>
      <c r="M172" s="19"/>
    </row>
    <row r="173" customFormat="false" ht="15" hidden="false" customHeight="false" outlineLevel="0" collapsed="false">
      <c r="A173" s="17" t="n">
        <v>43830</v>
      </c>
      <c r="B173" s="19"/>
      <c r="C173" s="25"/>
      <c r="D173" s="19"/>
      <c r="F173" s="17" t="n">
        <v>43830</v>
      </c>
      <c r="I173" s="25"/>
      <c r="J173" s="18"/>
      <c r="K173" s="3" t="n">
        <v>4882.8959</v>
      </c>
      <c r="L173" s="25" t="n">
        <f aca="false">+(K173/K172-1)/(F173-F172)*30</f>
        <v>0.000600412819311486</v>
      </c>
      <c r="M173" s="19"/>
    </row>
    <row r="174" customFormat="false" ht="15" hidden="false" customHeight="false" outlineLevel="0" collapsed="false">
      <c r="A174" s="17" t="n">
        <v>43861</v>
      </c>
      <c r="C174" s="25"/>
      <c r="D174" s="19"/>
      <c r="F174" s="17" t="n">
        <v>43861</v>
      </c>
      <c r="I174" s="25"/>
      <c r="J174" s="18"/>
      <c r="K174" s="3" t="n">
        <v>4885.3887</v>
      </c>
      <c r="L174" s="25" t="n">
        <f aca="false">+(K174/K173-1)/(F174-F173)*30</f>
        <v>0.000494048438913942</v>
      </c>
      <c r="M174" s="19"/>
    </row>
    <row r="175" customFormat="false" ht="15" hidden="false" customHeight="false" outlineLevel="0" collapsed="false">
      <c r="A175" s="17" t="n">
        <v>43890</v>
      </c>
      <c r="B175" s="19"/>
      <c r="C175" s="25"/>
      <c r="D175" s="19"/>
      <c r="F175" s="17" t="n">
        <v>43890</v>
      </c>
      <c r="I175" s="25"/>
      <c r="J175" s="18"/>
      <c r="K175" s="3" t="n">
        <v>4887.7164</v>
      </c>
      <c r="L175" s="25" t="n">
        <f aca="false">+(K175/K174-1)/(F175-F174)*30</f>
        <v>0.000492891285649559</v>
      </c>
      <c r="M175" s="19"/>
    </row>
    <row r="176" customFormat="false" ht="15" hidden="false" customHeight="false" outlineLevel="0" collapsed="false">
      <c r="A176" s="17" t="n">
        <v>43921</v>
      </c>
      <c r="C176" s="25"/>
      <c r="D176" s="19"/>
      <c r="F176" s="17" t="n">
        <v>43921</v>
      </c>
      <c r="I176" s="25"/>
      <c r="J176" s="18"/>
      <c r="K176" s="3" t="n">
        <v>4892.3528</v>
      </c>
      <c r="L176" s="25" t="n">
        <f aca="false">+(K176/K175-1)/(F176-F175)*30</f>
        <v>0.000917982620611394</v>
      </c>
      <c r="M176" s="19"/>
    </row>
    <row r="177" customFormat="false" ht="15" hidden="false" customHeight="false" outlineLevel="0" collapsed="false">
      <c r="A177" s="17" t="n">
        <v>43951</v>
      </c>
      <c r="B177" s="19"/>
      <c r="C177" s="25"/>
      <c r="D177" s="19"/>
      <c r="F177" s="17" t="n">
        <v>43951</v>
      </c>
      <c r="I177" s="25"/>
      <c r="J177" s="18"/>
      <c r="K177" s="3" t="n">
        <v>4903.1164</v>
      </c>
      <c r="L177" s="25" t="n">
        <f aca="false">+(K177/K176-1)/(F177-F176)*30</f>
        <v>0.00220008663316351</v>
      </c>
      <c r="M177" s="19"/>
    </row>
    <row r="178" customFormat="false" ht="15" hidden="false" customHeight="false" outlineLevel="0" collapsed="false">
      <c r="A178" s="17" t="n">
        <v>43982</v>
      </c>
      <c r="B178" s="19"/>
      <c r="C178" s="25"/>
      <c r="D178" s="19"/>
      <c r="F178" s="17" t="n">
        <v>43982</v>
      </c>
      <c r="I178" s="25"/>
      <c r="J178" s="18"/>
      <c r="K178" s="3" t="n">
        <v>4903.90225</v>
      </c>
      <c r="L178" s="25" t="n">
        <f aca="false">+(K178/K177-1)/(F178-F177)*30</f>
        <v>0.000155105434576301</v>
      </c>
      <c r="M178" s="19"/>
    </row>
    <row r="179" customFormat="false" ht="15" hidden="false" customHeight="false" outlineLevel="0" collapsed="false">
      <c r="A179" s="17" t="n">
        <v>44012</v>
      </c>
      <c r="B179" s="19"/>
      <c r="C179" s="25"/>
      <c r="D179" s="19"/>
      <c r="F179" s="17" t="n">
        <v>44012</v>
      </c>
      <c r="I179" s="25"/>
      <c r="J179" s="18"/>
      <c r="K179" s="3" t="n">
        <v>4904.6881</v>
      </c>
      <c r="L179" s="25" t="n">
        <f aca="false">+(K179/K178-1)/(F179-F178)*30</f>
        <v>0.000160249931572487</v>
      </c>
      <c r="M179" s="19"/>
    </row>
    <row r="180" customFormat="false" ht="15" hidden="false" customHeight="false" outlineLevel="0" collapsed="false">
      <c r="A180" s="17" t="n">
        <v>44043</v>
      </c>
      <c r="C180" s="25"/>
      <c r="D180" s="19"/>
      <c r="F180" s="17" t="n">
        <v>44043</v>
      </c>
      <c r="I180" s="25"/>
      <c r="J180" s="18"/>
      <c r="K180" s="3" t="n">
        <v>4905.1791</v>
      </c>
      <c r="L180" s="25" t="n">
        <f aca="false">+(K180/K179-1)/(F180-F179)*30</f>
        <v>9.68790024226441E-005</v>
      </c>
      <c r="M180" s="19"/>
      <c r="AD180" s="65"/>
      <c r="AE180" s="65"/>
      <c r="AF180" s="65"/>
      <c r="AG180" s="65"/>
      <c r="AH180" s="65"/>
      <c r="AI180" s="65"/>
      <c r="AJ180" s="65"/>
      <c r="AK180" s="65"/>
      <c r="AL180" s="65"/>
      <c r="AM180" s="65"/>
      <c r="AN180" s="65"/>
      <c r="AO180" s="65"/>
      <c r="AP180" s="65"/>
      <c r="AQ180" s="65"/>
    </row>
    <row r="181" customFormat="false" ht="15" hidden="false" customHeight="false" outlineLevel="0" collapsed="false">
      <c r="A181" s="17" t="n">
        <v>44074</v>
      </c>
      <c r="C181" s="25"/>
      <c r="D181" s="19"/>
      <c r="F181" s="17" t="n">
        <v>44074</v>
      </c>
      <c r="I181" s="25"/>
      <c r="J181" s="18"/>
      <c r="K181" s="3" t="n">
        <v>4906.1183</v>
      </c>
      <c r="L181" s="25" t="n">
        <f aca="false">+(K181/K180-1)/(F181-F180)*30</f>
        <v>0.000185294605411322</v>
      </c>
      <c r="M181" s="19"/>
    </row>
    <row r="182" customFormat="false" ht="15" hidden="false" customHeight="false" outlineLevel="0" collapsed="false">
      <c r="A182" s="17" t="n">
        <v>44104</v>
      </c>
      <c r="C182" s="25"/>
      <c r="D182" s="19"/>
      <c r="F182" s="17" t="n">
        <v>44104</v>
      </c>
      <c r="I182" s="25"/>
      <c r="J182" s="18"/>
      <c r="K182" s="3" t="n">
        <v>4906.466</v>
      </c>
      <c r="L182" s="25" t="n">
        <f aca="false">+(K182/K181-1)/(F182-F181)*30</f>
        <v>7.08706922130098E-005</v>
      </c>
      <c r="M182" s="19"/>
    </row>
    <row r="183" customFormat="false" ht="15" hidden="false" customHeight="false" outlineLevel="0" collapsed="false">
      <c r="A183" s="17" t="n">
        <v>44135</v>
      </c>
      <c r="C183" s="25"/>
      <c r="D183" s="19"/>
      <c r="F183" s="17" t="n">
        <v>44135</v>
      </c>
      <c r="I183" s="25"/>
      <c r="J183" s="18"/>
      <c r="K183" s="3" t="n">
        <v>4906.7963</v>
      </c>
      <c r="L183" s="25" t="n">
        <f aca="false">+(K183/K182-1)/(F183-F182)*30</f>
        <v>6.51477379625694E-005</v>
      </c>
      <c r="M183" s="19"/>
    </row>
    <row r="184" customFormat="false" ht="15" hidden="false" customHeight="false" outlineLevel="0" collapsed="false">
      <c r="A184" s="17" t="n">
        <v>44165</v>
      </c>
      <c r="C184" s="25"/>
      <c r="D184" s="19"/>
      <c r="F184" s="17" t="n">
        <v>44165</v>
      </c>
      <c r="I184" s="25"/>
      <c r="J184" s="18"/>
      <c r="L184" s="25"/>
      <c r="M184" s="19"/>
    </row>
    <row r="185" customFormat="false" ht="15" hidden="false" customHeight="false" outlineLevel="0" collapsed="false">
      <c r="A185" s="17" t="n">
        <v>44196</v>
      </c>
      <c r="C185" s="25"/>
      <c r="D185" s="19"/>
      <c r="F185" s="17" t="n">
        <v>44196</v>
      </c>
      <c r="I185" s="25"/>
      <c r="J185" s="18"/>
      <c r="L185" s="25"/>
      <c r="M185" s="19"/>
    </row>
    <row r="186" customFormat="false" ht="15" hidden="false" customHeight="false" outlineLevel="0" collapsed="false">
      <c r="A186" s="17" t="n">
        <v>44246</v>
      </c>
      <c r="C186" s="25"/>
      <c r="D186" s="19" t="n">
        <v>100</v>
      </c>
      <c r="F186" s="17" t="n">
        <v>44246</v>
      </c>
      <c r="I186" s="25"/>
      <c r="J186" s="18"/>
      <c r="L186" s="25"/>
      <c r="M186" s="19"/>
    </row>
    <row r="187" customFormat="false" ht="15" hidden="false" customHeight="false" outlineLevel="0" collapsed="false">
      <c r="A187" s="17" t="n">
        <v>44255</v>
      </c>
      <c r="C187" s="25"/>
      <c r="D187" s="19" t="n">
        <f aca="false">+D186*(1+C187)</f>
        <v>100</v>
      </c>
      <c r="F187" s="17" t="n">
        <v>44255</v>
      </c>
      <c r="I187" s="25"/>
      <c r="J187" s="18"/>
      <c r="L187" s="25"/>
      <c r="M187" s="19" t="n">
        <v>100</v>
      </c>
      <c r="Q187" s="17"/>
    </row>
    <row r="188" customFormat="false" ht="15" hidden="false" customHeight="false" outlineLevel="0" collapsed="false">
      <c r="A188" s="17" t="n">
        <v>44286</v>
      </c>
      <c r="B188" s="19"/>
      <c r="C188" s="25"/>
      <c r="D188" s="19" t="n">
        <f aca="false">+D187*(1+C188)</f>
        <v>100</v>
      </c>
      <c r="F188" s="17" t="n">
        <v>44286</v>
      </c>
      <c r="I188" s="25"/>
      <c r="J188" s="18"/>
      <c r="L188" s="25"/>
      <c r="M188" s="19" t="n">
        <f aca="false">+M187*(1+L188)</f>
        <v>100</v>
      </c>
      <c r="Q188" s="17"/>
      <c r="R188" s="66"/>
    </row>
    <row r="189" customFormat="false" ht="15" hidden="false" customHeight="false" outlineLevel="0" collapsed="false">
      <c r="A189" s="17" t="n">
        <v>44316</v>
      </c>
      <c r="C189" s="25"/>
      <c r="D189" s="19" t="n">
        <f aca="false">+D188*(1+C189)</f>
        <v>100</v>
      </c>
      <c r="F189" s="17" t="n">
        <v>44316</v>
      </c>
      <c r="I189" s="25"/>
      <c r="J189" s="18"/>
      <c r="L189" s="25"/>
      <c r="M189" s="19" t="n">
        <f aca="false">+M188*(1+L189)</f>
        <v>100</v>
      </c>
      <c r="Q189" s="67"/>
    </row>
    <row r="190" customFormat="false" ht="15" hidden="false" customHeight="false" outlineLevel="0" collapsed="false">
      <c r="A190" s="17" t="n">
        <v>44347</v>
      </c>
      <c r="C190" s="25"/>
      <c r="D190" s="19" t="n">
        <f aca="false">+D189*(1+C190)</f>
        <v>100</v>
      </c>
      <c r="F190" s="17" t="n">
        <v>44347</v>
      </c>
      <c r="I190" s="25"/>
      <c r="J190" s="18"/>
      <c r="L190" s="25"/>
      <c r="M190" s="19" t="n">
        <v>100</v>
      </c>
      <c r="Q190" s="67"/>
    </row>
    <row r="191" customFormat="false" ht="15" hidden="false" customHeight="false" outlineLevel="0" collapsed="false">
      <c r="A191" s="17" t="n">
        <v>44377</v>
      </c>
      <c r="C191" s="25"/>
      <c r="D191" s="19" t="n">
        <f aca="false">+D190*(1+C191)</f>
        <v>100</v>
      </c>
      <c r="F191" s="17" t="n">
        <v>44377</v>
      </c>
      <c r="I191" s="25"/>
      <c r="J191" s="18"/>
      <c r="L191" s="25"/>
      <c r="M191" s="19" t="n">
        <f aca="false">+M190*(1+L191)</f>
        <v>100</v>
      </c>
    </row>
    <row r="192" customFormat="false" ht="15" hidden="false" customHeight="false" outlineLevel="0" collapsed="false">
      <c r="A192" s="17" t="n">
        <v>44408</v>
      </c>
      <c r="C192" s="25"/>
      <c r="D192" s="19" t="n">
        <f aca="false">+D191*(1+C192)</f>
        <v>100</v>
      </c>
      <c r="F192" s="17" t="n">
        <v>44408</v>
      </c>
      <c r="I192" s="25"/>
      <c r="J192" s="18"/>
      <c r="L192" s="25"/>
      <c r="M192" s="19" t="n">
        <f aca="false">+M191*(1+L192)</f>
        <v>100</v>
      </c>
    </row>
    <row r="193" customFormat="false" ht="15" hidden="false" customHeight="false" outlineLevel="0" collapsed="false">
      <c r="A193" s="17" t="n">
        <v>44439</v>
      </c>
      <c r="C193" s="25"/>
      <c r="D193" s="19" t="n">
        <f aca="false">+D192*(1+C193)</f>
        <v>100</v>
      </c>
      <c r="F193" s="17" t="n">
        <v>44439</v>
      </c>
      <c r="I193" s="25"/>
      <c r="J193" s="18"/>
      <c r="L193" s="25"/>
      <c r="M193" s="19" t="n">
        <f aca="false">+M192*(1+L193)</f>
        <v>100</v>
      </c>
    </row>
    <row r="194" customFormat="false" ht="15" hidden="false" customHeight="false" outlineLevel="0" collapsed="false">
      <c r="A194" s="17" t="n">
        <v>44469</v>
      </c>
      <c r="C194" s="25"/>
      <c r="D194" s="19" t="n">
        <f aca="false">+D193*(1+C194)</f>
        <v>100</v>
      </c>
      <c r="F194" s="17" t="n">
        <v>44469</v>
      </c>
      <c r="I194" s="25"/>
      <c r="J194" s="18"/>
      <c r="K194" s="18"/>
      <c r="L194" s="25"/>
      <c r="M194" s="19" t="n">
        <f aca="false">+M193*(1+L194)</f>
        <v>100</v>
      </c>
    </row>
    <row r="195" customFormat="false" ht="15" hidden="false" customHeight="false" outlineLevel="0" collapsed="false">
      <c r="A195" s="17" t="n">
        <v>44500</v>
      </c>
      <c r="C195" s="25"/>
      <c r="D195" s="19" t="n">
        <f aca="false">+D194*(1+C195)</f>
        <v>100</v>
      </c>
      <c r="F195" s="17" t="n">
        <v>44500</v>
      </c>
      <c r="I195" s="25"/>
      <c r="J195" s="18"/>
      <c r="L195" s="25"/>
      <c r="M195" s="19" t="n">
        <f aca="false">+M194*(1+L195)</f>
        <v>100</v>
      </c>
    </row>
    <row r="196" customFormat="false" ht="15" hidden="false" customHeight="false" outlineLevel="0" collapsed="false">
      <c r="A196" s="17" t="n">
        <v>44530</v>
      </c>
      <c r="C196" s="25"/>
      <c r="D196" s="19" t="n">
        <f aca="false">+D195*(1+C196)</f>
        <v>100</v>
      </c>
      <c r="F196" s="17" t="n">
        <v>44530</v>
      </c>
      <c r="I196" s="25"/>
      <c r="J196" s="18"/>
      <c r="K196" s="18"/>
      <c r="L196" s="25"/>
      <c r="M196" s="19" t="n">
        <f aca="false">+M195*(1+L196)</f>
        <v>100</v>
      </c>
    </row>
    <row r="197" customFormat="false" ht="15" hidden="false" customHeight="false" outlineLevel="0" collapsed="false">
      <c r="A197" s="17" t="n">
        <v>44561</v>
      </c>
      <c r="C197" s="25"/>
      <c r="D197" s="19" t="n">
        <f aca="false">+D196*(1+C197)</f>
        <v>100</v>
      </c>
      <c r="F197" s="17" t="n">
        <v>44561</v>
      </c>
      <c r="I197" s="25"/>
      <c r="J197" s="18"/>
      <c r="L197" s="25"/>
      <c r="M197" s="19" t="n">
        <f aca="false">+M196*(1+L197)</f>
        <v>100</v>
      </c>
    </row>
    <row r="198" customFormat="false" ht="15" hidden="false" customHeight="false" outlineLevel="0" collapsed="false">
      <c r="A198" s="17" t="n">
        <v>44592</v>
      </c>
      <c r="C198" s="25"/>
      <c r="D198" s="19" t="n">
        <f aca="false">+D197*(1+C198)</f>
        <v>100</v>
      </c>
      <c r="F198" s="17" t="n">
        <v>44592</v>
      </c>
      <c r="I198" s="25"/>
      <c r="J198" s="18"/>
      <c r="L198" s="25"/>
      <c r="M198" s="19" t="n">
        <f aca="false">+M197*(1+L198)</f>
        <v>100</v>
      </c>
    </row>
    <row r="199" customFormat="false" ht="15" hidden="false" customHeight="false" outlineLevel="0" collapsed="false">
      <c r="A199" s="17" t="n">
        <v>44620</v>
      </c>
      <c r="B199" s="19"/>
      <c r="C199" s="25"/>
      <c r="D199" s="19" t="n">
        <f aca="false">+D198*(1+C199)</f>
        <v>100</v>
      </c>
      <c r="F199" s="17" t="n">
        <v>44620</v>
      </c>
      <c r="I199" s="25"/>
      <c r="J199" s="18"/>
      <c r="L199" s="25"/>
      <c r="M199" s="19" t="n">
        <f aca="false">+M198*(1+L199)</f>
        <v>100</v>
      </c>
    </row>
    <row r="200" customFormat="false" ht="15" hidden="false" customHeight="false" outlineLevel="0" collapsed="false">
      <c r="A200" s="17" t="n">
        <v>44651</v>
      </c>
      <c r="C200" s="25"/>
      <c r="D200" s="19" t="n">
        <f aca="false">+D199*(1+C200)</f>
        <v>100</v>
      </c>
      <c r="F200" s="17" t="n">
        <v>44651</v>
      </c>
      <c r="I200" s="25"/>
      <c r="J200" s="18"/>
      <c r="L200" s="25"/>
      <c r="M200" s="19" t="n">
        <f aca="false">+M199*(1+L200)</f>
        <v>100</v>
      </c>
    </row>
    <row r="201" customFormat="false" ht="15" hidden="false" customHeight="false" outlineLevel="0" collapsed="false">
      <c r="A201" s="17" t="n">
        <v>44681</v>
      </c>
      <c r="C201" s="25"/>
      <c r="D201" s="19" t="n">
        <f aca="false">+D200*(1+C201)</f>
        <v>100</v>
      </c>
      <c r="F201" s="17" t="n">
        <v>44681</v>
      </c>
      <c r="I201" s="25"/>
      <c r="J201" s="18"/>
      <c r="L201" s="25"/>
      <c r="M201" s="19" t="n">
        <f aca="false">+M200*(1+L201)</f>
        <v>100</v>
      </c>
    </row>
    <row r="202" customFormat="false" ht="15" hidden="false" customHeight="false" outlineLevel="0" collapsed="false">
      <c r="A202" s="17" t="n">
        <v>44712</v>
      </c>
      <c r="C202" s="25"/>
      <c r="D202" s="19" t="n">
        <f aca="false">+D201*(1+C202)</f>
        <v>100</v>
      </c>
      <c r="F202" s="17" t="n">
        <v>44735</v>
      </c>
      <c r="I202" s="25"/>
      <c r="J202" s="18"/>
      <c r="L202" s="25"/>
      <c r="M202" s="19" t="n">
        <f aca="false">+M201*(1+L202)</f>
        <v>100</v>
      </c>
    </row>
    <row r="203" customFormat="false" ht="15" hidden="false" customHeight="false" outlineLevel="0" collapsed="false">
      <c r="A203" s="17" t="n">
        <v>44742</v>
      </c>
      <c r="C203" s="25"/>
      <c r="D203" s="19" t="n">
        <f aca="false">+D202*(1+C203)</f>
        <v>100</v>
      </c>
      <c r="F203" s="17" t="n">
        <v>44742</v>
      </c>
      <c r="I203" s="25"/>
      <c r="J203" s="18"/>
      <c r="K203" s="18"/>
      <c r="L203" s="68"/>
      <c r="M203" s="19" t="n">
        <f aca="false">+M202*(1+L203)</f>
        <v>100</v>
      </c>
    </row>
    <row r="204" customFormat="false" ht="15" hidden="false" customHeight="false" outlineLevel="0" collapsed="false">
      <c r="A204" s="17" t="n">
        <v>44773</v>
      </c>
      <c r="C204" s="25"/>
      <c r="D204" s="19" t="n">
        <f aca="false">+D203*(1+C204)</f>
        <v>100</v>
      </c>
      <c r="F204" s="17" t="n">
        <v>44773</v>
      </c>
      <c r="I204" s="25"/>
      <c r="J204" s="18"/>
      <c r="L204" s="68"/>
      <c r="M204" s="19" t="n">
        <f aca="false">+M203*(1+L204)</f>
        <v>100</v>
      </c>
    </row>
    <row r="205" customFormat="false" ht="15" hidden="false" customHeight="false" outlineLevel="0" collapsed="false">
      <c r="A205" s="17" t="n">
        <v>44804</v>
      </c>
      <c r="C205" s="25"/>
      <c r="D205" s="19" t="n">
        <f aca="false">+D204*(1+C205)</f>
        <v>100</v>
      </c>
      <c r="F205" s="17" t="n">
        <v>44804</v>
      </c>
      <c r="I205" s="25"/>
      <c r="J205" s="18"/>
      <c r="K205" s="18"/>
      <c r="L205" s="68"/>
      <c r="M205" s="19" t="n">
        <f aca="false">+M204*(1+L205)</f>
        <v>100</v>
      </c>
    </row>
    <row r="206" customFormat="false" ht="15" hidden="false" customHeight="false" outlineLevel="0" collapsed="false">
      <c r="A206" s="17"/>
      <c r="C206" s="25"/>
      <c r="D206" s="19" t="n">
        <f aca="false">+D205*(1+C206)</f>
        <v>100</v>
      </c>
      <c r="F206" s="17" t="n">
        <v>44834</v>
      </c>
      <c r="I206" s="25"/>
      <c r="J206" s="18"/>
      <c r="K206" s="18"/>
      <c r="L206" s="68"/>
      <c r="M206" s="19" t="n">
        <f aca="false">+M205*(1+L206)</f>
        <v>100</v>
      </c>
    </row>
    <row r="207" customFormat="false" ht="15" hidden="false" customHeight="false" outlineLevel="0" collapsed="false">
      <c r="A207" s="17"/>
      <c r="C207" s="25"/>
      <c r="D207" s="19" t="n">
        <f aca="false">+D206*(1+C207)</f>
        <v>100</v>
      </c>
      <c r="F207" s="17"/>
      <c r="I207" s="25"/>
      <c r="J207" s="18"/>
      <c r="K207" s="18"/>
      <c r="L207" s="68"/>
      <c r="M207" s="19" t="n">
        <f aca="false">+M206*(1+L207)</f>
        <v>100</v>
      </c>
    </row>
    <row r="208" customFormat="false" ht="15" hidden="false" customHeight="false" outlineLevel="0" collapsed="false">
      <c r="A208" s="17"/>
      <c r="C208" s="25"/>
      <c r="D208" s="19" t="n">
        <f aca="false">+D207*(1+C208)</f>
        <v>100</v>
      </c>
      <c r="F208" s="17"/>
      <c r="I208" s="25"/>
      <c r="J208" s="18"/>
      <c r="L208" s="68"/>
      <c r="M208" s="19" t="n">
        <f aca="false">+M207*(1+L208)</f>
        <v>100</v>
      </c>
    </row>
    <row r="209" customFormat="false" ht="15" hidden="false" customHeight="false" outlineLevel="0" collapsed="false">
      <c r="A209" s="17"/>
      <c r="C209" s="25"/>
      <c r="D209" s="19" t="n">
        <f aca="false">+D208*(1+C209)</f>
        <v>100</v>
      </c>
      <c r="F209" s="17"/>
      <c r="I209" s="25"/>
      <c r="J209" s="18"/>
      <c r="L209" s="68"/>
      <c r="M209" s="19" t="n">
        <f aca="false">+M208*(1+L209)</f>
        <v>100</v>
      </c>
    </row>
    <row r="210" customFormat="false" ht="15" hidden="false" customHeight="false" outlineLevel="0" collapsed="false">
      <c r="A210" s="17"/>
      <c r="C210" s="25"/>
      <c r="D210" s="19" t="n">
        <f aca="false">+D209*(1+C210)</f>
        <v>100</v>
      </c>
      <c r="F210" s="17"/>
      <c r="I210" s="25"/>
      <c r="J210" s="18"/>
      <c r="L210" s="68"/>
      <c r="M210" s="19" t="n">
        <f aca="false">+M209*(1+L210)</f>
        <v>100</v>
      </c>
    </row>
    <row r="211" customFormat="false" ht="15" hidden="false" customHeight="false" outlineLevel="0" collapsed="false">
      <c r="A211" s="17"/>
      <c r="C211" s="25"/>
      <c r="D211" s="19" t="n">
        <f aca="false">+D210*(1+C211)</f>
        <v>100</v>
      </c>
      <c r="F211" s="17"/>
      <c r="I211" s="25"/>
      <c r="J211" s="18"/>
      <c r="L211" s="68"/>
      <c r="M211" s="19" t="n">
        <f aca="false">+M210*(1+L211)</f>
        <v>100</v>
      </c>
    </row>
    <row r="212" customFormat="false" ht="15" hidden="false" customHeight="false" outlineLevel="0" collapsed="false">
      <c r="A212" s="17"/>
      <c r="C212" s="25"/>
      <c r="D212" s="19" t="n">
        <f aca="false">+D211*(1+C212)</f>
        <v>100</v>
      </c>
      <c r="F212" s="17"/>
      <c r="I212" s="25"/>
      <c r="J212" s="18"/>
      <c r="L212" s="68"/>
      <c r="M212" s="19" t="n">
        <f aca="false">+M211*(1+L212)</f>
        <v>100</v>
      </c>
    </row>
    <row r="213" customFormat="false" ht="15" hidden="false" customHeight="false" outlineLevel="0" collapsed="false">
      <c r="A213" s="17"/>
      <c r="C213" s="25"/>
      <c r="D213" s="19" t="n">
        <f aca="false">+D212*(1+C213)</f>
        <v>100</v>
      </c>
      <c r="F213" s="17"/>
      <c r="I213" s="25"/>
      <c r="J213" s="18"/>
      <c r="L213" s="68"/>
      <c r="M213" s="19" t="n">
        <f aca="false">+M212*(1+L213)</f>
        <v>100</v>
      </c>
    </row>
    <row r="214" customFormat="false" ht="15" hidden="false" customHeight="false" outlineLevel="0" collapsed="false">
      <c r="A214" s="17"/>
      <c r="C214" s="25"/>
      <c r="D214" s="19" t="n">
        <f aca="false">+D213*(1+C214)</f>
        <v>100</v>
      </c>
      <c r="F214" s="17"/>
      <c r="I214" s="25"/>
      <c r="J214" s="18"/>
      <c r="K214" s="18"/>
      <c r="L214" s="68"/>
      <c r="M214" s="19" t="n">
        <f aca="false">+M213*(1+L214)</f>
        <v>100</v>
      </c>
    </row>
    <row r="215" customFormat="false" ht="15" hidden="false" customHeight="false" outlineLevel="0" collapsed="false">
      <c r="A215" s="17"/>
      <c r="C215" s="25"/>
      <c r="D215" s="19" t="n">
        <f aca="false">+D214*(1+C215)</f>
        <v>100</v>
      </c>
      <c r="F215" s="17"/>
      <c r="I215" s="25"/>
      <c r="J215" s="18"/>
      <c r="L215" s="68"/>
      <c r="M215" s="19" t="n">
        <f aca="false">+M214*(1+L215)</f>
        <v>100</v>
      </c>
    </row>
    <row r="216" customFormat="false" ht="15" hidden="false" customHeight="false" outlineLevel="0" collapsed="false">
      <c r="A216" s="17"/>
      <c r="C216" s="25"/>
      <c r="D216" s="19" t="n">
        <f aca="false">+D215*(1+C216)</f>
        <v>100</v>
      </c>
      <c r="F216" s="17"/>
      <c r="I216" s="25"/>
      <c r="J216" s="18"/>
      <c r="L216" s="68"/>
      <c r="M216" s="19" t="n">
        <f aca="false">+M215*(1+L216)</f>
        <v>100</v>
      </c>
    </row>
    <row r="217" customFormat="false" ht="15" hidden="false" customHeight="false" outlineLevel="0" collapsed="false">
      <c r="A217" s="17"/>
      <c r="C217" s="25"/>
      <c r="D217" s="19" t="n">
        <f aca="false">+D216*(1+C217)</f>
        <v>100</v>
      </c>
      <c r="F217" s="17"/>
      <c r="I217" s="25"/>
      <c r="J217" s="18"/>
      <c r="K217" s="18"/>
      <c r="L217" s="68"/>
      <c r="M217" s="19" t="n">
        <v>100</v>
      </c>
    </row>
    <row r="218" customFormat="false" ht="15" hidden="false" customHeight="false" outlineLevel="0" collapsed="false">
      <c r="A218" s="17"/>
      <c r="C218" s="25"/>
      <c r="D218" s="19" t="n">
        <v>100</v>
      </c>
      <c r="F218" s="17"/>
      <c r="I218" s="25"/>
      <c r="J218" s="18"/>
      <c r="K218" s="18"/>
      <c r="L218" s="68"/>
      <c r="M218" s="19" t="n">
        <v>100</v>
      </c>
    </row>
    <row r="219" customFormat="false" ht="15" hidden="false" customHeight="false" outlineLevel="0" collapsed="false">
      <c r="A219" s="17"/>
      <c r="B219" s="19"/>
      <c r="C219" s="25"/>
      <c r="D219" s="19" t="n">
        <f aca="false">+D218*(1+C219)</f>
        <v>100</v>
      </c>
      <c r="F219" s="17"/>
      <c r="I219" s="25"/>
      <c r="J219" s="18"/>
      <c r="L219" s="68"/>
      <c r="M219" s="19" t="n">
        <f aca="false">+M218*(1+L219)</f>
        <v>100</v>
      </c>
    </row>
    <row r="220" customFormat="false" ht="15" hidden="false" customHeight="false" outlineLevel="0" collapsed="false">
      <c r="A220" s="17"/>
      <c r="C220" s="25"/>
      <c r="D220" s="19" t="n">
        <f aca="false">+D219*(1+C220)</f>
        <v>100</v>
      </c>
      <c r="F220" s="17"/>
      <c r="I220" s="25"/>
      <c r="J220" s="18"/>
      <c r="K220" s="18"/>
      <c r="L220" s="68"/>
      <c r="M220" s="19" t="n">
        <f aca="false">+M219*(1+L220)</f>
        <v>100</v>
      </c>
    </row>
    <row r="221" customFormat="false" ht="15" hidden="false" customHeight="false" outlineLevel="0" collapsed="false">
      <c r="A221" s="17"/>
      <c r="C221" s="25"/>
      <c r="D221" s="19" t="n">
        <f aca="false">+D220*(1+C221)</f>
        <v>100</v>
      </c>
      <c r="F221" s="17"/>
      <c r="I221" s="25"/>
      <c r="J221" s="18"/>
      <c r="L221" s="25"/>
      <c r="M221" s="19" t="n">
        <f aca="false">+M220*(1+L221)</f>
        <v>100</v>
      </c>
    </row>
    <row r="222" customFormat="false" ht="15" hidden="false" customHeight="false" outlineLevel="0" collapsed="false">
      <c r="A222" s="17"/>
      <c r="C222" s="25"/>
      <c r="D222" s="19" t="n">
        <f aca="false">+D221*(1+C222)</f>
        <v>100</v>
      </c>
      <c r="F222" s="17"/>
      <c r="I222" s="25"/>
      <c r="J222" s="18"/>
      <c r="K222" s="18"/>
      <c r="L222" s="25"/>
      <c r="M222" s="19" t="n">
        <f aca="false">+M221*(1+L222)</f>
        <v>100</v>
      </c>
    </row>
    <row r="223" customFormat="false" ht="15" hidden="false" customHeight="false" outlineLevel="0" collapsed="false">
      <c r="A223" s="17"/>
      <c r="C223" s="25"/>
      <c r="D223" s="19" t="n">
        <f aca="false">+D222*(1+C223)</f>
        <v>100</v>
      </c>
      <c r="F223" s="17"/>
      <c r="I223" s="25"/>
      <c r="J223" s="18"/>
      <c r="L223" s="25"/>
      <c r="M223" s="19" t="n">
        <f aca="false">+M222*(1+L223)</f>
        <v>100</v>
      </c>
    </row>
    <row r="224" customFormat="false" ht="15" hidden="false" customHeight="false" outlineLevel="0" collapsed="false">
      <c r="A224" s="17"/>
      <c r="C224" s="25"/>
      <c r="D224" s="19" t="n">
        <f aca="false">+D223*(1+C224)</f>
        <v>100</v>
      </c>
      <c r="F224" s="17"/>
      <c r="I224" s="25"/>
      <c r="J224" s="18"/>
      <c r="K224" s="18"/>
      <c r="L224" s="25"/>
      <c r="M224" s="19" t="n">
        <v>100</v>
      </c>
    </row>
    <row r="225" customFormat="false" ht="15" hidden="false" customHeight="false" outlineLevel="0" collapsed="false">
      <c r="A225" s="17"/>
      <c r="C225" s="25"/>
      <c r="D225" s="19" t="n">
        <f aca="false">+D224*(1+C225)</f>
        <v>100</v>
      </c>
      <c r="F225" s="17"/>
      <c r="I225" s="25"/>
      <c r="J225" s="18"/>
      <c r="L225" s="25"/>
      <c r="M225" s="19" t="n">
        <f aca="false">+M224*(1+L225)</f>
        <v>100</v>
      </c>
    </row>
    <row r="226" customFormat="false" ht="15" hidden="false" customHeight="false" outlineLevel="0" collapsed="false">
      <c r="A226" s="17"/>
      <c r="C226" s="25"/>
      <c r="D226" s="19" t="n">
        <f aca="false">+D225*(1+C226)</f>
        <v>100</v>
      </c>
      <c r="F226" s="17"/>
      <c r="I226" s="25"/>
      <c r="J226" s="18"/>
      <c r="L226" s="25"/>
      <c r="M226" s="19" t="n">
        <f aca="false">+M225*(1+L226)</f>
        <v>100</v>
      </c>
    </row>
    <row r="227" customFormat="false" ht="15" hidden="false" customHeight="false" outlineLevel="0" collapsed="false">
      <c r="A227" s="17"/>
      <c r="B227" s="19"/>
      <c r="C227" s="25"/>
      <c r="D227" s="19" t="n">
        <f aca="false">+D226*(1+C227)</f>
        <v>100</v>
      </c>
      <c r="F227" s="17"/>
      <c r="I227" s="25"/>
      <c r="J227" s="18"/>
      <c r="L227" s="25"/>
      <c r="M227" s="19" t="n">
        <v>100</v>
      </c>
    </row>
    <row r="228" customFormat="false" ht="15" hidden="false" customHeight="false" outlineLevel="0" collapsed="false">
      <c r="A228" s="17" t="n">
        <v>45526</v>
      </c>
      <c r="B228" s="3" t="n">
        <v>24217.3</v>
      </c>
      <c r="C228" s="25" t="n">
        <v>0</v>
      </c>
      <c r="D228" s="19" t="n">
        <v>100</v>
      </c>
      <c r="F228" s="17" t="n">
        <v>45526</v>
      </c>
      <c r="G228" s="4" t="n">
        <v>999.9674</v>
      </c>
      <c r="H228" s="4" t="n">
        <f aca="false">+G228+$S$148+$S$150+$S$152+$S$154+$S$156+$S$158</f>
        <v>999.9674</v>
      </c>
      <c r="I228" s="25" t="n">
        <v>0</v>
      </c>
      <c r="J228" s="18" t="n">
        <v>100</v>
      </c>
      <c r="K228" s="3" t="n">
        <v>5968.019</v>
      </c>
      <c r="L228" s="25" t="n">
        <v>0</v>
      </c>
      <c r="M228" s="19" t="n">
        <f aca="false">+M227*(1+L228)</f>
        <v>100</v>
      </c>
    </row>
    <row r="229" customFormat="false" ht="15" hidden="false" customHeight="false" outlineLevel="0" collapsed="false">
      <c r="A229" s="17" t="n">
        <v>45535</v>
      </c>
      <c r="B229" s="3" t="n">
        <v>24333.6</v>
      </c>
      <c r="C229" s="25" t="n">
        <f aca="false">(B229/B228-1)/(A229-A228)*8</f>
        <v>0.00426875736674918</v>
      </c>
      <c r="D229" s="19" t="n">
        <f aca="false">+D228*(1+C229)</f>
        <v>100.426875736675</v>
      </c>
      <c r="F229" s="17" t="n">
        <v>45535</v>
      </c>
      <c r="G229" s="4" t="n">
        <v>1001.8066</v>
      </c>
      <c r="H229" s="4" t="n">
        <f aca="false">+G229+$S$148+$S$150+$S$152+$S$154+$S$156+$S$158</f>
        <v>1001.8066</v>
      </c>
      <c r="I229" s="25" t="n">
        <f aca="false">+(H229/H228-1)/(F229-F228)*8</f>
        <v>0.00163489774211081</v>
      </c>
      <c r="J229" s="18" t="n">
        <f aca="false">+J228*(1+I229)</f>
        <v>100.163489774211</v>
      </c>
      <c r="K229" s="3" t="n">
        <v>5989.669</v>
      </c>
      <c r="L229" s="25" t="n">
        <f aca="false">+(K229/K228-1)/(F229-F228)*8</f>
        <v>0.00322459503638386</v>
      </c>
      <c r="M229" s="19" t="n">
        <f aca="false">+M228*(1+L229)</f>
        <v>100.322459503638</v>
      </c>
    </row>
    <row r="230" customFormat="false" ht="15" hidden="false" customHeight="false" outlineLevel="0" collapsed="false">
      <c r="A230" s="17" t="n">
        <v>45565</v>
      </c>
      <c r="B230" s="3" t="n">
        <v>24449.94</v>
      </c>
      <c r="C230" s="25" t="n">
        <f aca="false">(B230/B229-1)/(A230-A229)*30</f>
        <v>0.00478104349541386</v>
      </c>
      <c r="D230" s="19" t="n">
        <f aca="false">+D229*(1+C230)</f>
        <v>100.90702099768</v>
      </c>
      <c r="F230" s="17" t="n">
        <v>45565</v>
      </c>
      <c r="G230" s="4" t="n">
        <v>1007.4568</v>
      </c>
      <c r="H230" s="4" t="n">
        <f aca="false">+G230+$S$148+$S$150+$S$152+$S$154+$S$156+$S$158</f>
        <v>1007.4568</v>
      </c>
      <c r="I230" s="25" t="n">
        <f aca="false">+(H230/H229-1)/(F230-F229)*30</f>
        <v>0.00564001075656728</v>
      </c>
      <c r="J230" s="18" t="n">
        <f aca="false">+J229*(1+I230)</f>
        <v>100.728412933953</v>
      </c>
      <c r="K230" s="3" t="n">
        <v>6009.8868</v>
      </c>
      <c r="L230" s="25" t="n">
        <f aca="false">+(K230/K229-1)/(F230-F229)*30</f>
        <v>0.0033754452875443</v>
      </c>
      <c r="M230" s="19" t="n">
        <f aca="false">+M229*(1+L230)</f>
        <v>100.661092476805</v>
      </c>
    </row>
    <row r="231" customFormat="false" ht="15" hidden="false" customHeight="false" outlineLevel="0" collapsed="false">
      <c r="A231" s="17" t="n">
        <v>45596</v>
      </c>
      <c r="B231" s="3" t="n">
        <v>24560.22</v>
      </c>
      <c r="C231" s="25" t="n">
        <f aca="false">(B231/B230-1)/(A231-A230)*30</f>
        <v>0.00436494243524368</v>
      </c>
      <c r="D231" s="19" t="n">
        <f aca="false">+D230*(1+C231)</f>
        <v>101.347474335647</v>
      </c>
      <c r="F231" s="17" t="n">
        <v>45596</v>
      </c>
      <c r="G231" s="4" t="n">
        <v>1012.6608</v>
      </c>
      <c r="H231" s="4" t="n">
        <f aca="false">+G231+$S$148+$S$150+$S$152+$S$154+$S$156+$S$158</f>
        <v>1012.6608</v>
      </c>
      <c r="I231" s="25" t="n">
        <f aca="false">+(H231/H230-1)/(F231-F230)*30</f>
        <v>0.00499885358087616</v>
      </c>
      <c r="J231" s="18" t="n">
        <f aca="false">+J230*(1+I231)</f>
        <v>101.231939521644</v>
      </c>
      <c r="K231" s="3" t="n">
        <v>6030.3854</v>
      </c>
      <c r="L231" s="25" t="n">
        <f aca="false">+(K231/K230-1)/(F231-F230)*30</f>
        <v>0.00330078677001207</v>
      </c>
      <c r="M231" s="19" t="n">
        <f aca="false">+M230*(1+L231)</f>
        <v>100.993353279107</v>
      </c>
    </row>
    <row r="232" customFormat="false" ht="15" hidden="false" customHeight="false" outlineLevel="0" collapsed="false">
      <c r="A232" s="17" t="n">
        <v>45626</v>
      </c>
      <c r="B232" s="3" t="n">
        <v>24667.9</v>
      </c>
      <c r="C232" s="25" t="n">
        <f aca="false">(B232/B231-1)/(A232-A231)*30</f>
        <v>0.0043843255475724</v>
      </c>
      <c r="D232" s="19" t="n">
        <f aca="false">+D231*(1+C232)</f>
        <v>101.791814656559</v>
      </c>
      <c r="F232" s="17" t="n">
        <v>45626</v>
      </c>
      <c r="G232" s="4" t="n">
        <v>1018.0563</v>
      </c>
      <c r="H232" s="4" t="n">
        <f aca="false">+G232+$S$148+$S$150+$S$152+$S$154+$S$156+$S$158</f>
        <v>1018.0563</v>
      </c>
      <c r="I232" s="25" t="n">
        <f aca="false">+(H232/H231-1)/(F232-F231)*30</f>
        <v>0.00532804271677145</v>
      </c>
      <c r="J232" s="18" t="n">
        <f aca="false">+J231*(1+I232)</f>
        <v>101.771307619717</v>
      </c>
      <c r="K232" s="3" t="n">
        <v>6049.8055</v>
      </c>
      <c r="L232" s="25" t="n">
        <f aca="false">+(K232/K231-1)/(F232-F231)*30</f>
        <v>0.00322037460491331</v>
      </c>
      <c r="M232" s="19" t="n">
        <f aca="false">+M231*(1+L232)</f>
        <v>101.318589709272</v>
      </c>
    </row>
    <row r="233" customFormat="false" ht="15" hidden="false" customHeight="false" outlineLevel="0" collapsed="false">
      <c r="A233" s="17" t="n">
        <v>45657</v>
      </c>
      <c r="B233" s="3" t="n">
        <v>24777.58</v>
      </c>
      <c r="C233" s="25" t="n">
        <f aca="false">(B233/B232-1)/(A233-A232)*30</f>
        <v>0.00430283629672052</v>
      </c>
      <c r="D233" s="19" t="n">
        <f aca="false">+D232*(1+C233)</f>
        <v>102.229808171372</v>
      </c>
      <c r="F233" s="17" t="n">
        <v>45657</v>
      </c>
      <c r="G233" s="4" t="n">
        <v>1023.2961</v>
      </c>
      <c r="H233" s="4" t="n">
        <f aca="false">+G233+$S$148+$S$150+$S$152+$S$154+$S$156+$S$158</f>
        <v>1023.2961</v>
      </c>
      <c r="I233" s="25" t="n">
        <f aca="false">+(H233/H232-1)/(F233-F232)*30</f>
        <v>0.00498083867616001</v>
      </c>
      <c r="J233" s="18" t="n">
        <f aca="false">+J232*(1+I233)</f>
        <v>102.278214084832</v>
      </c>
      <c r="K233" s="3" t="n">
        <v>6069.3455</v>
      </c>
      <c r="L233" s="25" t="n">
        <f aca="false">+(K233/K232-1)/(F233-F232)*30</f>
        <v>0.00312566700191516</v>
      </c>
      <c r="M233" s="19" t="n">
        <f aca="false">+M232*(1+L233)</f>
        <v>101.635277881807</v>
      </c>
    </row>
    <row r="234" customFormat="false" ht="15" hidden="false" customHeight="false" outlineLevel="0" collapsed="false">
      <c r="A234" s="17" t="n">
        <v>45688</v>
      </c>
      <c r="B234" s="3" t="n">
        <v>24887.95</v>
      </c>
      <c r="C234" s="25" t="n">
        <f aca="false">(B234/B233-1)/(A234-A233)*30</f>
        <v>0.00431073887842782</v>
      </c>
      <c r="D234" s="19" t="n">
        <f aca="false">+D233*(1+C234)</f>
        <v>102.670494179991</v>
      </c>
      <c r="F234" s="17" t="n">
        <v>45688</v>
      </c>
      <c r="G234" s="4" t="n">
        <v>1027.8091</v>
      </c>
      <c r="H234" s="4" t="n">
        <f aca="false">+G234+$S$148+$S$150+$S$152+$S$154+$S$156+$S$158</f>
        <v>1027.8091</v>
      </c>
      <c r="I234" s="25" t="n">
        <f aca="false">+(H234/H233-1)/(F234-F233)*30</f>
        <v>0.00426799179127006</v>
      </c>
      <c r="J234" s="18" t="n">
        <f aca="false">+J233*(1+I234)</f>
        <v>102.714736662972</v>
      </c>
      <c r="K234" s="3" t="n">
        <v>6087.6762</v>
      </c>
      <c r="L234" s="25" t="n">
        <f aca="false">+(K234/K233-1)/(F234-F233)*30</f>
        <v>0.00292278419423869</v>
      </c>
      <c r="M234" s="19" t="n">
        <f aca="false">+M233*(1+L234)</f>
        <v>101.932335865577</v>
      </c>
    </row>
    <row r="235" customFormat="false" ht="15" hidden="false" customHeight="false" outlineLevel="0" collapsed="false">
      <c r="A235" s="17" t="n">
        <v>45716</v>
      </c>
      <c r="B235" s="3" t="n">
        <v>24984.92</v>
      </c>
      <c r="C235" s="25" t="n">
        <f aca="false">(B235/B234-1)/(A235-A234)*30</f>
        <v>0.0041745675546369</v>
      </c>
      <c r="D235" s="19" t="n">
        <f aca="false">+D234*(1+C235)</f>
        <v>103.099099093813</v>
      </c>
      <c r="F235" s="17" t="n">
        <v>45716</v>
      </c>
      <c r="G235" s="4" t="n">
        <v>1032.4079</v>
      </c>
      <c r="H235" s="4" t="n">
        <f aca="false">+G235+$S$148+$S$150+$S$152+$S$154+$S$156+$S$158</f>
        <v>1032.4079</v>
      </c>
      <c r="I235" s="25" t="n">
        <f aca="false">+(H235/H234-1)/(F235-F234)*30</f>
        <v>0.00479396973064903</v>
      </c>
      <c r="J235" s="18" t="n">
        <f aca="false">+J234*(1+I235)</f>
        <v>103.207148001426</v>
      </c>
      <c r="K235" s="3" t="n">
        <v>6104.4912</v>
      </c>
      <c r="L235" s="25" t="n">
        <f aca="false">+(K235/K234-1)/(F235-F234)*30</f>
        <v>0.00295943326101547</v>
      </c>
      <c r="M235" s="19" t="n">
        <f aca="false">+M234*(1+L235)</f>
        <v>102.233997810711</v>
      </c>
    </row>
    <row r="236" customFormat="false" ht="15" hidden="false" customHeight="false" outlineLevel="0" collapsed="false">
      <c r="A236" s="17" t="n">
        <v>45747</v>
      </c>
      <c r="B236" s="3" t="n">
        <v>25092.7</v>
      </c>
      <c r="C236" s="25" t="n">
        <f aca="false">(B236/B235-1)/(A236-A235)*30</f>
        <v>0.00417464717943687</v>
      </c>
      <c r="D236" s="19" t="n">
        <f aca="false">+D235*(1+C236)</f>
        <v>103.529501457048</v>
      </c>
      <c r="F236" s="17" t="n">
        <v>45747</v>
      </c>
      <c r="G236" s="4" t="n">
        <v>1038.598</v>
      </c>
      <c r="H236" s="4" t="n">
        <f aca="false">+G236+$S$148+$S$150+$S$152+$S$154+$S$156+$S$158</f>
        <v>1038.598</v>
      </c>
      <c r="I236" s="25" t="n">
        <f aca="false">+(H236/H235-1)/(F236-F235)*30</f>
        <v>0.00580237651691612</v>
      </c>
      <c r="J236" s="18" t="n">
        <f aca="false">+J235*(1+I236)</f>
        <v>103.805994733367</v>
      </c>
      <c r="K236" s="3" t="n">
        <v>6123.1882</v>
      </c>
      <c r="L236" s="25" t="n">
        <f aca="false">+(K236/K235-1)/(F236-F235)*30</f>
        <v>0.00296402605474173</v>
      </c>
      <c r="M236" s="19" t="n">
        <f aca="false">+M235*(1+L236)</f>
        <v>102.537022043902</v>
      </c>
    </row>
    <row r="237" customFormat="false" ht="15" hidden="false" customHeight="false" outlineLevel="0" collapsed="false">
      <c r="A237" s="17" t="n">
        <v>45777</v>
      </c>
      <c r="B237" s="3" t="n">
        <v>25197.48</v>
      </c>
      <c r="C237" s="25" t="n">
        <f aca="false">(B237/B236-1)/(A237-A236)*30</f>
        <v>0.00417571644342774</v>
      </c>
      <c r="D237" s="19" t="n">
        <f aca="false">+D236*(1+C237)</f>
        <v>103.961811298662</v>
      </c>
      <c r="F237" s="17" t="n">
        <v>45777</v>
      </c>
      <c r="G237" s="4" t="n">
        <v>1045.8511</v>
      </c>
      <c r="H237" s="4" t="n">
        <f aca="false">+G237+$S$148+$S$150+$S$152+$S$154+$S$156+$S$158</f>
        <v>1045.8511</v>
      </c>
      <c r="I237" s="25" t="n">
        <f aca="false">+(H237/H236-1)/(F237-F236)*30</f>
        <v>0.00698354897660125</v>
      </c>
      <c r="J237" s="18" t="n">
        <f aca="false">+J236*(1+I237)</f>
        <v>104.530928981653</v>
      </c>
      <c r="K237" s="3" t="n">
        <v>6141.4105</v>
      </c>
      <c r="L237" s="25" t="n">
        <f aca="false">+(K237/K236-1)/(F237-F236)*30</f>
        <v>0.00297594968581905</v>
      </c>
      <c r="M237" s="19" t="n">
        <f aca="false">+M236*(1+L237)</f>
        <v>102.842167062438</v>
      </c>
    </row>
    <row r="238" customFormat="false" ht="15" hidden="false" customHeight="false" outlineLevel="0" collapsed="false">
      <c r="A238" s="17" t="n">
        <v>45808</v>
      </c>
      <c r="B238" s="3" t="n">
        <v>25302.66</v>
      </c>
      <c r="C238" s="25" t="n">
        <f aca="false">(B238/B237-1)/(A238-A237)*30</f>
        <v>0.00403957446435886</v>
      </c>
      <c r="D238" s="19" t="n">
        <f aca="false">+D237*(1+C238)</f>
        <v>104.381772776852</v>
      </c>
      <c r="F238" s="17" t="n">
        <v>45808</v>
      </c>
      <c r="G238" s="4" t="n">
        <v>1052.6607</v>
      </c>
      <c r="H238" s="4" t="n">
        <f aca="false">+G238+$S$148+$S$150+$S$152+$S$154+$S$156+$S$158</f>
        <v>1052.6607</v>
      </c>
      <c r="I238" s="25" t="n">
        <f aca="false">+(H238/H237-1)/(F238-F237)*30</f>
        <v>0.00630102648825506</v>
      </c>
      <c r="J238" s="18" t="n">
        <f aca="false">+J237*(1+I238)</f>
        <v>105.189581134008</v>
      </c>
      <c r="K238" s="3" t="n">
        <v>6160.386</v>
      </c>
      <c r="L238" s="25" t="n">
        <f aca="false">+(K238/K237-1)/(F238-F237)*30</f>
        <v>0.00299009276399519</v>
      </c>
      <c r="M238" s="19" t="n">
        <f aca="false">+M237*(1+L238)</f>
        <v>103.149674682005</v>
      </c>
    </row>
    <row r="239" customFormat="false" ht="15" hidden="false" customHeight="false" outlineLevel="0" collapsed="false">
      <c r="A239" s="17" t="n">
        <v>45838</v>
      </c>
      <c r="B239" s="3" t="n">
        <v>25411.83</v>
      </c>
      <c r="C239" s="25" t="n">
        <f aca="false">(B239/B238-1)/(A239-A238)*30</f>
        <v>0.00431456613652492</v>
      </c>
      <c r="D239" s="19" t="n">
        <f aca="false">+D238*(1+C239)</f>
        <v>104.832134838946</v>
      </c>
      <c r="F239" s="17" t="n">
        <v>45838</v>
      </c>
      <c r="G239" s="4" t="n">
        <v>1058.5628</v>
      </c>
      <c r="H239" s="4" t="n">
        <f aca="false">+G239+$S$148+$S$150+$S$152+$S$154+$S$156+$S$158</f>
        <v>1058.5628</v>
      </c>
      <c r="I239" s="25" t="n">
        <f aca="false">+(H239/H238-1)/(F239-F238)*30</f>
        <v>0.00560683988677457</v>
      </c>
      <c r="J239" s="18" t="n">
        <f aca="false">+J238*(1+I239)</f>
        <v>105.779362273183</v>
      </c>
      <c r="K239" s="3" t="n">
        <v>6178.849</v>
      </c>
      <c r="L239" s="25" t="n">
        <f aca="false">+(K239/K238-1)/(F239-F238)*30</f>
        <v>0.00299705245742721</v>
      </c>
      <c r="M239" s="19" t="n">
        <f aca="false">+M238*(1+L239)</f>
        <v>103.458819667994</v>
      </c>
    </row>
    <row r="240" customFormat="false" ht="15" hidden="false" customHeight="false" outlineLevel="0" collapsed="false">
      <c r="A240" s="17" t="n">
        <v>45869</v>
      </c>
      <c r="B240" s="3" t="n">
        <v>25521.26</v>
      </c>
      <c r="C240" s="25" t="n">
        <f aca="false">(B240/B239-1)/(A240-A239)*30</f>
        <v>0.00416735040333568</v>
      </c>
      <c r="D240" s="19" t="n">
        <f aca="false">+D239*(1+C240)</f>
        <v>105.269007078349</v>
      </c>
      <c r="F240" s="17" t="n">
        <v>45869</v>
      </c>
      <c r="G240" s="4" t="n">
        <v>1064.645</v>
      </c>
      <c r="H240" s="4" t="n">
        <f aca="false">+G240+$S$148+$S$150+$S$152+$S$154+$S$156+$S$158</f>
        <v>1064.645</v>
      </c>
      <c r="I240" s="25" t="n">
        <f aca="false">+(H240/H239-1)/(F240-F239)*30</f>
        <v>0.00556036921002701</v>
      </c>
      <c r="J240" s="18" t="n">
        <f aca="false">+J239*(1+I240)</f>
        <v>106.367534582223</v>
      </c>
      <c r="K240" s="3" t="n">
        <v>6197.08</v>
      </c>
      <c r="L240" s="25" t="n">
        <f aca="false">+(K240/K239-1)/(F240-F239)*30</f>
        <v>0.00285537051088415</v>
      </c>
      <c r="M240" s="19" t="n">
        <f aca="false">+M239*(1+L240)</f>
        <v>103.754232930765</v>
      </c>
    </row>
    <row r="241" customFormat="false" ht="15" hidden="false" customHeight="false" outlineLevel="0" collapsed="false">
      <c r="A241" s="17" t="n">
        <v>45900</v>
      </c>
      <c r="B241" s="3" t="n">
        <v>25619.09</v>
      </c>
      <c r="C241" s="25" t="n">
        <f aca="false">(B241/B240-1)/(A241-A240)*30</f>
        <v>0.00370962066717663</v>
      </c>
      <c r="D241" s="19" t="n">
        <f aca="false">+D240*(1+C241)</f>
        <v>105.65951516262</v>
      </c>
      <c r="F241" s="17" t="n">
        <v>45900</v>
      </c>
      <c r="G241" s="4" t="n">
        <v>1070.7846</v>
      </c>
      <c r="H241" s="4" t="n">
        <f aca="false">+G241+$S$148+$S$150+$S$152+$S$154+$S$156+$S$158</f>
        <v>1070.7846</v>
      </c>
      <c r="I241" s="25" t="n">
        <f aca="false">+(H241/H240-1)/(F241-F240)*30</f>
        <v>0.00558077893297462</v>
      </c>
      <c r="J241" s="18" t="n">
        <f aca="false">+J240*(1+I241)</f>
        <v>106.961148278372</v>
      </c>
      <c r="K241" s="3" t="n">
        <v>6215.6746</v>
      </c>
      <c r="L241" s="25" t="n">
        <f aca="false">+(K241/K240-1)/(F241-F240)*30</f>
        <v>0.00290375050726291</v>
      </c>
      <c r="M241" s="19" t="n">
        <f aca="false">+M240*(1+L241)</f>
        <v>104.055509337268</v>
      </c>
    </row>
    <row r="242" customFormat="false" ht="15" hidden="false" customHeight="false" outlineLevel="0" collapsed="false">
      <c r="A242" s="17" t="n">
        <v>45930</v>
      </c>
      <c r="B242" s="3" t="n">
        <v>25727.46</v>
      </c>
      <c r="C242" s="25" t="n">
        <f aca="false">(B242/B241-1)/(A242-A241)*30</f>
        <v>0.00423004876441735</v>
      </c>
      <c r="D242" s="19" t="n">
        <f aca="false">+D241*(1+C242)</f>
        <v>106.106460064183</v>
      </c>
      <c r="F242" s="17" t="n">
        <v>45930</v>
      </c>
      <c r="G242" s="4" t="n">
        <v>1076.3961</v>
      </c>
      <c r="H242" s="4" t="n">
        <f aca="false">+G242+$S$148+$S$150+$S$152+$S$154+$S$156+$S$158</f>
        <v>1076.3961</v>
      </c>
      <c r="I242" s="25" t="n">
        <f aca="false">+(H242/H241-1)/(F242-F241)*30</f>
        <v>0.00524054978003985</v>
      </c>
      <c r="J242" s="18" t="n">
        <f aca="false">+J241*(1+I242)</f>
        <v>107.521683500455</v>
      </c>
      <c r="K242" s="3" t="n">
        <v>6232.8399</v>
      </c>
      <c r="L242" s="25" t="n">
        <f aca="false">+(K242/K241-1)/(F242-F241)*30</f>
        <v>0.00276161496613736</v>
      </c>
      <c r="M242" s="19" t="n">
        <f aca="false">+M241*(1+L242)</f>
        <v>104.342870589163</v>
      </c>
    </row>
    <row r="243" customFormat="false" ht="15" hidden="false" customHeight="false" outlineLevel="0" collapsed="false">
      <c r="A243" s="17" t="n">
        <v>45961</v>
      </c>
      <c r="B243" s="3" t="n">
        <v>25829.5</v>
      </c>
      <c r="C243" s="25" t="n">
        <f aca="false">(B243/B242-1)/(A243-A242)*30</f>
        <v>0.00383824859106876</v>
      </c>
      <c r="D243" s="19" t="n">
        <f aca="false">+D242*(1+C243)</f>
        <v>106.513723035028</v>
      </c>
      <c r="F243" s="17" t="n">
        <v>45961</v>
      </c>
      <c r="G243" s="4" t="n">
        <v>1082.6213</v>
      </c>
      <c r="H243" s="4" t="n">
        <f aca="false">+G243+$S$148+$S$150+$S$152+$S$154+$S$156+$S$158</f>
        <v>1082.6213</v>
      </c>
      <c r="I243" s="25" t="n">
        <f aca="false">+(H243/H242-1)/(F243-F242)*30</f>
        <v>0.00559681245293837</v>
      </c>
      <c r="J243" s="18" t="n">
        <f aca="false">+J242*(1+I243)</f>
        <v>108.123462197632</v>
      </c>
      <c r="K243" s="3" t="n">
        <v>6250.6982</v>
      </c>
      <c r="L243" s="25" t="n">
        <f aca="false">+(K243/K242-1)/(F243-F242)*30</f>
        <v>0.00277276908820515</v>
      </c>
      <c r="M243" s="19" t="n">
        <f aca="false">+M242*(1+L243)</f>
        <v>104.632189275307</v>
      </c>
    </row>
    <row r="244" customFormat="false" ht="15" hidden="false" customHeight="false" outlineLevel="0" collapsed="false">
      <c r="A244" s="17" t="n">
        <v>45991</v>
      </c>
      <c r="B244" s="3" t="n">
        <v>25928.49</v>
      </c>
      <c r="C244" s="25" t="n">
        <f aca="false">(B244/B243-1)/(A244-A243)*30</f>
        <v>0.00383243965233548</v>
      </c>
      <c r="D244" s="19" t="n">
        <f aca="false">+D243*(1+C244)</f>
        <v>106.921930450705</v>
      </c>
      <c r="F244" s="17" t="n">
        <v>45991</v>
      </c>
      <c r="G244" s="4" t="n">
        <v>1089.0708</v>
      </c>
      <c r="H244" s="4" t="n">
        <f aca="false">+G244+$S$148+$S$150+$S$152+$S$154+$S$156+$S$158</f>
        <v>1089.0708</v>
      </c>
      <c r="I244" s="25" t="n">
        <f aca="false">+(H244/H243-1)/(F244-F243)*30</f>
        <v>0.00595730011962625</v>
      </c>
      <c r="J244" s="18" t="n">
        <f aca="false">+J243*(1+I244)</f>
        <v>108.767586111916</v>
      </c>
      <c r="K244" s="3" t="n">
        <v>6268.169</v>
      </c>
      <c r="L244" s="25" t="n">
        <f aca="false">+(K244/K243-1)/(F244-F243)*30</f>
        <v>0.00279501576319907</v>
      </c>
      <c r="M244" s="19" t="n">
        <f aca="false">+M243*(1+L244)</f>
        <v>104.92463789367</v>
      </c>
    </row>
    <row r="245" customFormat="false" ht="15" hidden="false" customHeight="false" outlineLevel="0" collapsed="false">
      <c r="A245" s="17" t="n">
        <v>46022</v>
      </c>
      <c r="B245" s="3" t="n">
        <v>26035.82</v>
      </c>
      <c r="C245" s="25" t="n">
        <f aca="false">(B245/B244-1)/(A245-A244)*30</f>
        <v>0.00400593100236385</v>
      </c>
      <c r="D245" s="19" t="n">
        <f aca="false">+D244*(1+C245)</f>
        <v>107.35025232673</v>
      </c>
      <c r="F245" s="17" t="n">
        <v>46022</v>
      </c>
      <c r="G245" s="69" t="n">
        <v>1095.9178</v>
      </c>
      <c r="H245" s="4" t="n">
        <f aca="false">+G245+$S$148+$S$150+$S$152+$S$154+$S$156+$S$158</f>
        <v>1095.9178</v>
      </c>
      <c r="I245" s="25" t="n">
        <f aca="false">+(H245/H244-1)/(F245-F244)*30</f>
        <v>0.00608420410524092</v>
      </c>
      <c r="J245" s="18" t="n">
        <f aca="false">+J244*(1+I245)</f>
        <v>109.429350305855</v>
      </c>
      <c r="K245" s="3" t="n">
        <v>6285.9566</v>
      </c>
      <c r="L245" s="25" t="n">
        <f aca="false">+(K245/K244-1)/(F245-F244)*30</f>
        <v>0.00274622564446067</v>
      </c>
      <c r="M245" s="19" t="n">
        <f aca="false">+M244*(1+L245)</f>
        <v>105.212784624989</v>
      </c>
    </row>
    <row r="246" customFormat="false" ht="15.75" hidden="false" customHeight="true" outlineLevel="0" collapsed="false">
      <c r="A246" s="17" t="n">
        <v>46053</v>
      </c>
      <c r="B246" s="3" t="n">
        <v>26136.9</v>
      </c>
      <c r="C246" s="25" t="n">
        <f aca="false">(B246/B245-1)/(A246-A245)*30</f>
        <v>0.00375710674135526</v>
      </c>
      <c r="D246" s="19" t="n">
        <f aca="false">+D245*(1+C246)</f>
        <v>107.753578683433</v>
      </c>
      <c r="F246" s="17" t="n">
        <v>46053</v>
      </c>
      <c r="G246" s="4" t="n">
        <v>1101.9687</v>
      </c>
      <c r="H246" s="4" t="n">
        <f aca="false">+G246+$S$148+$S$150+$S$152+$S$154+$S$156+$S$158</f>
        <v>1101.9687</v>
      </c>
      <c r="I246" s="25" t="n">
        <f aca="false">+(H246/H245-1)/(F246-F245)*30</f>
        <v>0.00534320154068065</v>
      </c>
      <c r="J246" s="18" t="n">
        <f aca="false">+J245*(1+I246)</f>
        <v>110.014053379005</v>
      </c>
      <c r="K246" s="3" t="n">
        <v>6303.0823</v>
      </c>
      <c r="L246" s="25" t="n">
        <f aca="false">+(K246/K245-1)/(F246-F245)*30</f>
        <v>0.00263655305296194</v>
      </c>
      <c r="M246" s="19" t="n">
        <f aca="false">+M245*(1+L246)</f>
        <v>105.490183713503</v>
      </c>
    </row>
    <row r="247" customFormat="false" ht="16.5" hidden="false" customHeight="true" outlineLevel="0" collapsed="false">
      <c r="A247" s="70" t="n">
        <v>46081</v>
      </c>
      <c r="B247" s="71" t="n">
        <v>26231.81</v>
      </c>
      <c r="C247" s="25" t="n">
        <f aca="false">(B247/B246-1)/(A247-A246)*30</f>
        <v>0.00389064065418173</v>
      </c>
      <c r="D247" s="19" t="n">
        <f aca="false">+D246*(1+C247)</f>
        <v>108.172809137292</v>
      </c>
      <c r="F247" s="70" t="n">
        <v>46081</v>
      </c>
      <c r="G247" s="69" t="n">
        <v>1107.5771</v>
      </c>
      <c r="H247" s="4" t="n">
        <f aca="false">+G247+$S$148+$S$150+$S$152+$S$154+$S$156+$S$158</f>
        <v>1107.5771</v>
      </c>
      <c r="I247" s="25" t="n">
        <f aca="false">+(H247/H246-1)/(F247-F246)*30</f>
        <v>0.00545296794727487</v>
      </c>
      <c r="J247" s="18" t="n">
        <f aca="false">+J246*(1+I247)</f>
        <v>110.613956485831</v>
      </c>
      <c r="K247" s="72" t="n">
        <v>6318.4947</v>
      </c>
      <c r="L247" s="25" t="n">
        <f aca="false">+(K247/K246-1)/(F247-F246)*30</f>
        <v>0.00261987467850238</v>
      </c>
      <c r="M247" s="19" t="n">
        <f aca="false">+M246*(1+L247)</f>
        <v>105.766554774644</v>
      </c>
    </row>
    <row r="248" customFormat="false" ht="16.5" hidden="false" customHeight="true" outlineLevel="0" collapsed="false">
      <c r="A248" s="70" t="n">
        <v>46112</v>
      </c>
      <c r="B248" s="71" t="n">
        <v>26333.64</v>
      </c>
      <c r="C248" s="25" t="n">
        <f aca="false">(B248/B247-1)/(A248-A247)*30</f>
        <v>0.00375670459988545</v>
      </c>
      <c r="D248" s="19" t="n">
        <f aca="false">+D247*(1+C248)</f>
        <v>108.579182426961</v>
      </c>
      <c r="F248" s="70" t="n">
        <v>46112</v>
      </c>
      <c r="G248" s="73" t="n">
        <v>1113.8745</v>
      </c>
      <c r="H248" s="4" t="n">
        <f aca="false">+G248+$S$148+$S$150+$S$152+$S$154+$S$156+$S$158</f>
        <v>1113.8745</v>
      </c>
      <c r="I248" s="25" t="n">
        <f aca="false">+(H248/H247-1)/(F248-F247)*30</f>
        <v>0.00550233303353425</v>
      </c>
      <c r="J248" s="18" t="n">
        <f aca="false">+J247*(1+I248)</f>
        <v>111.222591312573</v>
      </c>
      <c r="K248" s="74" t="n">
        <v>6335.4774</v>
      </c>
      <c r="L248" s="25" t="n">
        <f aca="false">+(K248/K247-1)/(F248-F247)*30</f>
        <v>0.00260107379179124</v>
      </c>
      <c r="M248" s="19" t="n">
        <f aca="false">+M247*(1+L248)</f>
        <v>106.041661388317</v>
      </c>
    </row>
    <row r="249" customFormat="false" ht="15" hidden="false" customHeight="false" outlineLevel="0" collapsed="false">
      <c r="A249" s="17" t="n">
        <v>46142</v>
      </c>
      <c r="B249" s="3" t="n">
        <v>19916.8502383877</v>
      </c>
      <c r="C249" s="25" t="n">
        <f aca="false">(B249/B248-1)/(A249-A248)*30</f>
        <v>-0.243672722859896</v>
      </c>
      <c r="D249" s="19" t="n">
        <f aca="false">+D248*(1+C249)</f>
        <v>82.121397399082</v>
      </c>
      <c r="F249" s="17" t="n">
        <v>46142</v>
      </c>
      <c r="G249" s="75" t="n">
        <v>1119.8836</v>
      </c>
      <c r="H249" s="4" t="n">
        <f aca="false">+G249+$S$148+$S$150+$S$152+$S$154+$S$156+$S$158</f>
        <v>1119.8836</v>
      </c>
      <c r="I249" s="25" t="n">
        <f aca="false">+(H249/H248-1)/(F249-F248)*30</f>
        <v>0.00539477292998458</v>
      </c>
      <c r="J249" s="18" t="n">
        <f aca="false">+J248*(1+I249)</f>
        <v>111.822611937388</v>
      </c>
      <c r="L249" s="25" t="n">
        <f aca="false">+(K249/K248-1)/(F249-F248)*30</f>
        <v>-1</v>
      </c>
      <c r="M249" s="19" t="n">
        <f aca="false">+M248*(1+L249)</f>
        <v>0</v>
      </c>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A1" colorId="64" zoomScale="80" zoomScaleNormal="80" zoomScalePageLayoutView="100" workbookViewId="0">
      <selection pane="topLeft" activeCell="H36" activeCellId="0" sqref="H36"/>
    </sheetView>
  </sheetViews>
  <sheetFormatPr defaultColWidth="11.42578125" defaultRowHeight="15" zeroHeight="false" outlineLevelRow="0" outlineLevelCol="0"/>
  <cols>
    <col collapsed="false" customWidth="true" hidden="false" outlineLevel="0" max="3" min="3" style="76" width="6.29"/>
    <col collapsed="false" customWidth="true" hidden="false" outlineLevel="0" max="4" min="4" style="0" width="23.29"/>
    <col collapsed="false" customWidth="true" hidden="false" outlineLevel="0" max="5" min="5" style="0" width="6.57"/>
    <col collapsed="false" customWidth="true" hidden="false" outlineLevel="0" max="6" min="6" style="0" width="5.14"/>
    <col collapsed="false" customWidth="true" hidden="false" outlineLevel="0" max="7" min="7" style="0" width="4.86"/>
    <col collapsed="false" customWidth="true" hidden="false" outlineLevel="0" max="8" min="8" style="0" width="5.14"/>
    <col collapsed="false" customWidth="true" hidden="false" outlineLevel="0" max="9" min="9" style="0" width="5.29"/>
    <col collapsed="false" customWidth="true" hidden="false" outlineLevel="0" max="10" min="10" style="0" width="5"/>
    <col collapsed="false" customWidth="true" hidden="false" outlineLevel="0" max="11" min="11" style="0" width="4.29"/>
    <col collapsed="false" customWidth="true" hidden="false" outlineLevel="0" max="12" min="12" style="0" width="5.42"/>
    <col collapsed="false" customWidth="true" hidden="false" outlineLevel="0" max="13" min="13" style="0" width="5.57"/>
    <col collapsed="false" customWidth="true" hidden="false" outlineLevel="0" max="14" min="14" style="0" width="5"/>
    <col collapsed="false" customWidth="true" hidden="false" outlineLevel="0" max="15" min="15" style="0" width="5.14"/>
    <col collapsed="false" customWidth="true" hidden="false" outlineLevel="0" max="16" min="16" style="0" width="5"/>
    <col collapsed="false" customWidth="true" hidden="false" outlineLevel="0" max="17" min="17" style="0" width="7.57"/>
    <col collapsed="false" customWidth="true" hidden="false" outlineLevel="0" max="19" min="19" style="0" width="23.42"/>
    <col collapsed="false" customWidth="true" hidden="false" outlineLevel="0" max="20" min="20" style="0" width="9.57"/>
    <col collapsed="false" customWidth="true" hidden="false" outlineLevel="0" max="21" min="21" style="0" width="11"/>
    <col collapsed="false" customWidth="true" hidden="false" outlineLevel="0" max="22" min="22" style="0" width="11.14"/>
    <col collapsed="false" customWidth="true" hidden="false" outlineLevel="0" max="23" min="23" style="0" width="7.15"/>
    <col collapsed="false" customWidth="true" hidden="false" outlineLevel="0" max="24" min="24" style="0" width="9.14"/>
  </cols>
  <sheetData>
    <row r="1" customFormat="false" ht="24" hidden="false" customHeight="true" outlineLevel="0" collapsed="false">
      <c r="S1" s="77" t="s">
        <v>31</v>
      </c>
      <c r="T1" s="78" t="s">
        <v>32</v>
      </c>
      <c r="U1" s="78" t="s">
        <v>33</v>
      </c>
      <c r="V1" s="78" t="s">
        <v>34</v>
      </c>
      <c r="W1" s="78" t="s">
        <v>35</v>
      </c>
      <c r="X1" s="79" t="s">
        <v>47</v>
      </c>
    </row>
    <row r="2" customFormat="false" ht="15" hidden="false" customHeight="false" outlineLevel="0" collapsed="false">
      <c r="S2" s="80" t="s">
        <v>48</v>
      </c>
      <c r="T2" s="81" t="n">
        <f aca="false">+'Datos ICP (2)'!AX29</f>
        <v>-0.243672722859896</v>
      </c>
      <c r="U2" s="81" t="n">
        <f aca="false">+'Datos ICP (2)'!AY29</f>
        <v>-0.237979628862347</v>
      </c>
      <c r="V2" s="81" t="n">
        <f aca="false">+'Datos ICP (2)'!AZ29</f>
        <v>-0.228910732364632</v>
      </c>
      <c r="W2" s="81" t="n">
        <f aca="false">+'Datos ICP (2)'!BA29</f>
        <v>-0.209569757039683</v>
      </c>
      <c r="X2" s="81" t="n">
        <f aca="false">+'Datos ICP (2)'!BB29</f>
        <v>-0.71393888658704</v>
      </c>
    </row>
    <row r="3" customFormat="false" ht="15" hidden="false" customHeight="false" outlineLevel="0" collapsed="false">
      <c r="S3" s="80" t="s">
        <v>26</v>
      </c>
      <c r="T3" s="81" t="n">
        <f aca="false">+'Datos ICP (2)'!AX30</f>
        <v>-1</v>
      </c>
      <c r="U3" s="81" t="n">
        <f aca="false">+'Datos ICP (2)'!AY30</f>
        <v>-1</v>
      </c>
      <c r="V3" s="81" t="n">
        <f aca="false">+'Datos ICP (2)'!AZ30</f>
        <v>-1</v>
      </c>
      <c r="W3" s="81" t="n">
        <f aca="false">+'Datos ICP (2)'!BA30</f>
        <v>-1</v>
      </c>
      <c r="X3" s="81" t="n">
        <f aca="false">+'Datos ICP (2)'!BB30</f>
        <v>-3</v>
      </c>
    </row>
    <row r="4" customFormat="false" ht="15" hidden="false" customHeight="false" outlineLevel="0" collapsed="false">
      <c r="S4" s="82" t="s">
        <v>38</v>
      </c>
      <c r="T4" s="81" t="n">
        <f aca="false">+'Datos ICP (2)'!AX31</f>
        <v>0.00539477292998458</v>
      </c>
      <c r="U4" s="81" t="n">
        <f aca="false">+'Datos ICP (2)'!AY31</f>
        <v>0.0162571768145501</v>
      </c>
      <c r="V4" s="81" t="n">
        <f aca="false">+'Datos ICP (2)'!AZ31</f>
        <v>0.0344185912470039</v>
      </c>
      <c r="W4" s="81" t="n">
        <f aca="false">+'Datos ICP (2)'!BA31</f>
        <v>0.070786845278453</v>
      </c>
      <c r="X4" s="81" t="n">
        <f aca="false">+'Datos ICP (2)'!BB31</f>
        <v>0.0487715304436502</v>
      </c>
    </row>
    <row r="5" customFormat="false" ht="15" hidden="false" customHeight="false" outlineLevel="0" collapsed="false">
      <c r="B5" s="83"/>
      <c r="C5" s="84"/>
      <c r="D5" s="83"/>
      <c r="E5" s="83"/>
      <c r="F5" s="83"/>
      <c r="G5" s="83"/>
      <c r="H5" s="83"/>
      <c r="I5" s="83"/>
      <c r="J5" s="83"/>
      <c r="K5" s="83"/>
      <c r="L5" s="83"/>
      <c r="M5" s="83"/>
      <c r="N5" s="83"/>
      <c r="O5" s="83"/>
      <c r="P5" s="83"/>
      <c r="Q5" s="83"/>
      <c r="R5" s="83"/>
    </row>
    <row r="6" customFormat="false" ht="47.25" hidden="false" customHeight="true" outlineLevel="0" collapsed="false">
      <c r="B6" s="83"/>
      <c r="C6" s="85" t="s">
        <v>39</v>
      </c>
      <c r="D6" s="86" t="s">
        <v>40</v>
      </c>
      <c r="E6" s="87" t="s">
        <v>4</v>
      </c>
      <c r="F6" s="87" t="s">
        <v>5</v>
      </c>
      <c r="G6" s="87" t="s">
        <v>6</v>
      </c>
      <c r="H6" s="87" t="s">
        <v>7</v>
      </c>
      <c r="I6" s="87" t="s">
        <v>8</v>
      </c>
      <c r="J6" s="87" t="s">
        <v>9</v>
      </c>
      <c r="K6" s="87" t="s">
        <v>10</v>
      </c>
      <c r="L6" s="87" t="s">
        <v>11</v>
      </c>
      <c r="M6" s="87" t="s">
        <v>12</v>
      </c>
      <c r="N6" s="87" t="s">
        <v>13</v>
      </c>
      <c r="O6" s="87" t="s">
        <v>14</v>
      </c>
      <c r="P6" s="87" t="s">
        <v>15</v>
      </c>
      <c r="Q6" s="88" t="s">
        <v>49</v>
      </c>
      <c r="R6" s="89"/>
    </row>
    <row r="7" customFormat="false" ht="9" hidden="false" customHeight="true" outlineLevel="0" collapsed="false">
      <c r="B7" s="83"/>
      <c r="C7" s="84"/>
      <c r="D7" s="83"/>
      <c r="E7" s="90"/>
      <c r="F7" s="90"/>
      <c r="G7" s="90"/>
      <c r="H7" s="90"/>
      <c r="I7" s="90"/>
      <c r="J7" s="90"/>
      <c r="K7" s="90"/>
      <c r="L7" s="90"/>
      <c r="M7" s="90"/>
      <c r="N7" s="90"/>
      <c r="O7" s="90"/>
      <c r="P7" s="90"/>
      <c r="Q7" s="90"/>
      <c r="R7" s="91"/>
    </row>
    <row r="8" customFormat="false" ht="16.5" hidden="true" customHeight="true" outlineLevel="0" collapsed="false">
      <c r="B8" s="83"/>
      <c r="C8" s="92" t="n">
        <v>2013</v>
      </c>
      <c r="D8" s="93" t="s">
        <v>3</v>
      </c>
      <c r="E8" s="94"/>
      <c r="F8" s="94"/>
      <c r="G8" s="94"/>
      <c r="H8" s="94"/>
      <c r="I8" s="94"/>
      <c r="J8" s="94"/>
      <c r="K8" s="94"/>
      <c r="L8" s="94"/>
      <c r="M8" s="94"/>
      <c r="N8" s="94"/>
      <c r="O8" s="94"/>
      <c r="P8" s="94"/>
      <c r="Q8" s="95"/>
      <c r="R8" s="83"/>
    </row>
    <row r="9" customFormat="false" ht="16.5" hidden="true" customHeight="true" outlineLevel="0" collapsed="false">
      <c r="B9" s="83"/>
      <c r="C9" s="92" t="n">
        <v>2014</v>
      </c>
      <c r="D9" s="93" t="s">
        <v>3</v>
      </c>
      <c r="E9" s="94"/>
      <c r="F9" s="94"/>
      <c r="G9" s="94"/>
      <c r="H9" s="94"/>
      <c r="I9" s="94"/>
      <c r="J9" s="94"/>
      <c r="K9" s="94"/>
      <c r="L9" s="94"/>
      <c r="M9" s="94"/>
      <c r="N9" s="94"/>
      <c r="O9" s="94"/>
      <c r="P9" s="94"/>
      <c r="Q9" s="95"/>
      <c r="R9" s="83"/>
    </row>
    <row r="10" customFormat="false" ht="16.5" hidden="true" customHeight="true" outlineLevel="0" collapsed="false">
      <c r="B10" s="83"/>
      <c r="C10" s="92" t="n">
        <v>2015</v>
      </c>
      <c r="D10" s="93" t="s">
        <v>3</v>
      </c>
      <c r="E10" s="94"/>
      <c r="F10" s="94"/>
      <c r="G10" s="94"/>
      <c r="H10" s="94"/>
      <c r="I10" s="94"/>
      <c r="J10" s="94"/>
      <c r="K10" s="94"/>
      <c r="L10" s="94"/>
      <c r="M10" s="94"/>
      <c r="N10" s="94"/>
      <c r="O10" s="94"/>
      <c r="P10" s="94"/>
      <c r="Q10" s="95"/>
      <c r="R10" s="83"/>
    </row>
    <row r="11" customFormat="false" ht="16.5" hidden="true" customHeight="true" outlineLevel="0" collapsed="false">
      <c r="B11" s="83"/>
      <c r="C11" s="92" t="n">
        <v>2016</v>
      </c>
      <c r="D11" s="93" t="s">
        <v>3</v>
      </c>
      <c r="E11" s="94"/>
      <c r="F11" s="94"/>
      <c r="G11" s="94"/>
      <c r="H11" s="94"/>
      <c r="I11" s="94"/>
      <c r="J11" s="94"/>
      <c r="K11" s="94"/>
      <c r="L11" s="94"/>
      <c r="M11" s="94"/>
      <c r="N11" s="94"/>
      <c r="O11" s="94"/>
      <c r="P11" s="94"/>
      <c r="Q11" s="95"/>
      <c r="R11" s="83"/>
    </row>
    <row r="12" customFormat="false" ht="16.5" hidden="true" customHeight="true" outlineLevel="0" collapsed="false">
      <c r="B12" s="83"/>
      <c r="C12" s="92" t="n">
        <v>2017</v>
      </c>
      <c r="D12" s="93" t="s">
        <v>3</v>
      </c>
      <c r="E12" s="94"/>
      <c r="F12" s="94"/>
      <c r="G12" s="94"/>
      <c r="H12" s="94"/>
      <c r="I12" s="94"/>
      <c r="J12" s="94"/>
      <c r="K12" s="94"/>
      <c r="L12" s="94"/>
      <c r="M12" s="94"/>
      <c r="N12" s="94"/>
      <c r="O12" s="94"/>
      <c r="P12" s="94"/>
      <c r="Q12" s="95"/>
      <c r="R12" s="83"/>
    </row>
    <row r="13" customFormat="false" ht="16.5" hidden="true" customHeight="true" outlineLevel="0" collapsed="false">
      <c r="B13" s="83"/>
      <c r="C13" s="92"/>
      <c r="D13" s="93" t="s">
        <v>26</v>
      </c>
      <c r="E13" s="94"/>
      <c r="F13" s="94"/>
      <c r="G13" s="94"/>
      <c r="H13" s="94"/>
      <c r="I13" s="94"/>
      <c r="J13" s="94"/>
      <c r="K13" s="94"/>
      <c r="L13" s="94"/>
      <c r="M13" s="94"/>
      <c r="N13" s="94"/>
      <c r="O13" s="94"/>
      <c r="P13" s="94"/>
      <c r="Q13" s="95"/>
      <c r="R13" s="83"/>
    </row>
    <row r="14" customFormat="false" ht="16.5" hidden="true" customHeight="true" outlineLevel="0" collapsed="false">
      <c r="B14" s="83"/>
      <c r="C14" s="92"/>
      <c r="D14" s="82" t="s">
        <v>38</v>
      </c>
      <c r="E14" s="94"/>
      <c r="F14" s="94"/>
      <c r="G14" s="94"/>
      <c r="H14" s="94"/>
      <c r="I14" s="94"/>
      <c r="J14" s="94"/>
      <c r="K14" s="94"/>
      <c r="L14" s="94"/>
      <c r="M14" s="94"/>
      <c r="N14" s="94"/>
      <c r="O14" s="94"/>
      <c r="P14" s="94"/>
      <c r="Q14" s="95"/>
      <c r="R14" s="83"/>
    </row>
    <row r="15" customFormat="false" ht="16.5" hidden="true" customHeight="true" outlineLevel="0" collapsed="false">
      <c r="B15" s="83"/>
      <c r="C15" s="92" t="n">
        <v>2018</v>
      </c>
      <c r="D15" s="93" t="s">
        <v>3</v>
      </c>
      <c r="E15" s="94"/>
      <c r="F15" s="94"/>
      <c r="G15" s="94"/>
      <c r="H15" s="94"/>
      <c r="I15" s="94"/>
      <c r="J15" s="94"/>
      <c r="K15" s="94"/>
      <c r="L15" s="94"/>
      <c r="M15" s="94"/>
      <c r="N15" s="94"/>
      <c r="O15" s="94"/>
      <c r="P15" s="94"/>
      <c r="Q15" s="95"/>
      <c r="R15" s="83"/>
    </row>
    <row r="16" customFormat="false" ht="16.5" hidden="true" customHeight="true" outlineLevel="0" collapsed="false">
      <c r="B16" s="83"/>
      <c r="C16" s="92"/>
      <c r="D16" s="93" t="s">
        <v>26</v>
      </c>
      <c r="E16" s="94"/>
      <c r="F16" s="94"/>
      <c r="G16" s="94"/>
      <c r="H16" s="94"/>
      <c r="I16" s="94"/>
      <c r="J16" s="94"/>
      <c r="K16" s="94"/>
      <c r="L16" s="94"/>
      <c r="M16" s="94"/>
      <c r="N16" s="94"/>
      <c r="O16" s="94"/>
      <c r="P16" s="94"/>
      <c r="Q16" s="95"/>
      <c r="R16" s="83"/>
    </row>
    <row r="17" customFormat="false" ht="16.5" hidden="true" customHeight="true" outlineLevel="0" collapsed="false">
      <c r="B17" s="83"/>
      <c r="C17" s="92"/>
      <c r="D17" s="82" t="s">
        <v>38</v>
      </c>
      <c r="E17" s="94"/>
      <c r="F17" s="94"/>
      <c r="G17" s="94"/>
      <c r="H17" s="94"/>
      <c r="I17" s="94"/>
      <c r="J17" s="94"/>
      <c r="K17" s="94"/>
      <c r="L17" s="94"/>
      <c r="M17" s="94"/>
      <c r="N17" s="94"/>
      <c r="O17" s="94"/>
      <c r="P17" s="94"/>
      <c r="Q17" s="95"/>
      <c r="R17" s="83"/>
    </row>
    <row r="18" customFormat="false" ht="16.5" hidden="true" customHeight="true" outlineLevel="0" collapsed="false">
      <c r="B18" s="83"/>
      <c r="C18" s="92" t="n">
        <v>2019</v>
      </c>
      <c r="D18" s="93" t="s">
        <v>3</v>
      </c>
      <c r="E18" s="94"/>
      <c r="F18" s="94"/>
      <c r="G18" s="94"/>
      <c r="H18" s="94"/>
      <c r="I18" s="94"/>
      <c r="J18" s="94"/>
      <c r="K18" s="94"/>
      <c r="L18" s="94"/>
      <c r="M18" s="94"/>
      <c r="N18" s="94"/>
      <c r="O18" s="94"/>
      <c r="P18" s="94"/>
      <c r="Q18" s="95"/>
      <c r="R18" s="83"/>
    </row>
    <row r="19" customFormat="false" ht="16.5" hidden="true" customHeight="true" outlineLevel="0" collapsed="false">
      <c r="B19" s="83"/>
      <c r="C19" s="92"/>
      <c r="D19" s="93" t="s">
        <v>26</v>
      </c>
      <c r="E19" s="94"/>
      <c r="F19" s="94"/>
      <c r="G19" s="94"/>
      <c r="H19" s="94"/>
      <c r="I19" s="94"/>
      <c r="J19" s="94"/>
      <c r="K19" s="94"/>
      <c r="L19" s="94"/>
      <c r="M19" s="94"/>
      <c r="N19" s="94"/>
      <c r="O19" s="94"/>
      <c r="P19" s="94"/>
      <c r="Q19" s="95"/>
      <c r="R19" s="83"/>
    </row>
    <row r="20" customFormat="false" ht="16.5" hidden="true" customHeight="true" outlineLevel="0" collapsed="false">
      <c r="B20" s="83"/>
      <c r="C20" s="92"/>
      <c r="D20" s="82" t="s">
        <v>38</v>
      </c>
      <c r="E20" s="94"/>
      <c r="F20" s="94"/>
      <c r="G20" s="94"/>
      <c r="H20" s="94"/>
      <c r="I20" s="94"/>
      <c r="J20" s="94"/>
      <c r="K20" s="94"/>
      <c r="L20" s="94"/>
      <c r="M20" s="94"/>
      <c r="N20" s="94"/>
      <c r="O20" s="94"/>
      <c r="P20" s="94"/>
      <c r="Q20" s="95"/>
      <c r="R20" s="83"/>
    </row>
    <row r="21" customFormat="false" ht="16.5" hidden="true" customHeight="true" outlineLevel="0" collapsed="false">
      <c r="B21" s="83"/>
      <c r="C21" s="92" t="n">
        <v>2020</v>
      </c>
      <c r="D21" s="93" t="s">
        <v>3</v>
      </c>
      <c r="E21" s="94"/>
      <c r="F21" s="94"/>
      <c r="G21" s="94"/>
      <c r="H21" s="94"/>
      <c r="I21" s="94"/>
      <c r="J21" s="94"/>
      <c r="K21" s="94"/>
      <c r="L21" s="94"/>
      <c r="M21" s="94"/>
      <c r="N21" s="94"/>
      <c r="O21" s="94"/>
      <c r="P21" s="94"/>
      <c r="Q21" s="95"/>
      <c r="R21" s="83"/>
    </row>
    <row r="22" customFormat="false" ht="16.5" hidden="true" customHeight="true" outlineLevel="0" collapsed="false">
      <c r="B22" s="83"/>
      <c r="C22" s="92"/>
      <c r="D22" s="93" t="s">
        <v>26</v>
      </c>
      <c r="E22" s="94"/>
      <c r="F22" s="94"/>
      <c r="G22" s="94"/>
      <c r="H22" s="94"/>
      <c r="I22" s="94"/>
      <c r="J22" s="94"/>
      <c r="K22" s="94"/>
      <c r="L22" s="94"/>
      <c r="M22" s="94"/>
      <c r="N22" s="94"/>
      <c r="O22" s="94"/>
      <c r="P22" s="94"/>
      <c r="Q22" s="95"/>
      <c r="R22" s="83"/>
    </row>
    <row r="23" customFormat="false" ht="16.5" hidden="true" customHeight="true" outlineLevel="0" collapsed="false">
      <c r="B23" s="83"/>
      <c r="C23" s="92"/>
      <c r="D23" s="82" t="s">
        <v>38</v>
      </c>
      <c r="E23" s="94"/>
      <c r="F23" s="94"/>
      <c r="G23" s="94"/>
      <c r="H23" s="94"/>
      <c r="I23" s="94"/>
      <c r="J23" s="94"/>
      <c r="K23" s="94"/>
      <c r="L23" s="94"/>
      <c r="M23" s="94"/>
      <c r="N23" s="94"/>
      <c r="O23" s="94"/>
      <c r="P23" s="94"/>
      <c r="Q23" s="95"/>
      <c r="R23" s="83"/>
    </row>
    <row r="24" customFormat="false" ht="16.5" hidden="true" customHeight="true" outlineLevel="0" collapsed="false">
      <c r="B24" s="83"/>
      <c r="C24" s="92" t="n">
        <v>2021</v>
      </c>
      <c r="D24" s="93" t="s">
        <v>3</v>
      </c>
      <c r="E24" s="94"/>
      <c r="F24" s="94"/>
      <c r="G24" s="94"/>
      <c r="H24" s="94"/>
      <c r="I24" s="94"/>
      <c r="J24" s="94"/>
      <c r="K24" s="94"/>
      <c r="L24" s="94"/>
      <c r="M24" s="94"/>
      <c r="N24" s="94"/>
      <c r="O24" s="94"/>
      <c r="P24" s="94"/>
      <c r="Q24" s="95"/>
      <c r="R24" s="83"/>
    </row>
    <row r="25" customFormat="false" ht="16.5" hidden="true" customHeight="true" outlineLevel="0" collapsed="false">
      <c r="B25" s="83"/>
      <c r="C25" s="92"/>
      <c r="D25" s="93" t="s">
        <v>26</v>
      </c>
      <c r="E25" s="94"/>
      <c r="F25" s="94"/>
      <c r="G25" s="94"/>
      <c r="H25" s="94"/>
      <c r="I25" s="94"/>
      <c r="J25" s="94"/>
      <c r="K25" s="94"/>
      <c r="L25" s="94"/>
      <c r="M25" s="94"/>
      <c r="N25" s="94"/>
      <c r="O25" s="94"/>
      <c r="P25" s="94"/>
      <c r="Q25" s="95"/>
      <c r="R25" s="83"/>
    </row>
    <row r="26" customFormat="false" ht="16.5" hidden="true" customHeight="true" outlineLevel="0" collapsed="false">
      <c r="B26" s="83"/>
      <c r="C26" s="92"/>
      <c r="D26" s="82" t="s">
        <v>38</v>
      </c>
      <c r="E26" s="94"/>
      <c r="F26" s="94"/>
      <c r="G26" s="94"/>
      <c r="H26" s="94"/>
      <c r="I26" s="94"/>
      <c r="J26" s="94"/>
      <c r="K26" s="94"/>
      <c r="L26" s="94"/>
      <c r="M26" s="94"/>
      <c r="N26" s="94"/>
      <c r="O26" s="94"/>
      <c r="P26" s="94"/>
      <c r="Q26" s="95"/>
      <c r="R26" s="83"/>
    </row>
    <row r="27" customFormat="false" ht="16.5" hidden="true" customHeight="true" outlineLevel="0" collapsed="false">
      <c r="B27" s="83"/>
      <c r="C27" s="92" t="n">
        <v>2022</v>
      </c>
      <c r="D27" s="93" t="s">
        <v>3</v>
      </c>
      <c r="E27" s="94"/>
      <c r="F27" s="94"/>
      <c r="G27" s="94"/>
      <c r="H27" s="94"/>
      <c r="I27" s="94"/>
      <c r="J27" s="94"/>
      <c r="K27" s="94"/>
      <c r="L27" s="94"/>
      <c r="M27" s="94"/>
      <c r="N27" s="94"/>
      <c r="O27" s="94"/>
      <c r="P27" s="94"/>
      <c r="Q27" s="95"/>
      <c r="R27" s="83"/>
    </row>
    <row r="28" customFormat="false" ht="16.5" hidden="true" customHeight="true" outlineLevel="0" collapsed="false">
      <c r="B28" s="83"/>
      <c r="C28" s="92"/>
      <c r="D28" s="93" t="s">
        <v>26</v>
      </c>
      <c r="E28" s="94"/>
      <c r="F28" s="94"/>
      <c r="G28" s="94"/>
      <c r="H28" s="94"/>
      <c r="I28" s="94"/>
      <c r="J28" s="94"/>
      <c r="K28" s="94"/>
      <c r="L28" s="94"/>
      <c r="M28" s="94"/>
      <c r="N28" s="94"/>
      <c r="O28" s="94"/>
      <c r="P28" s="94"/>
      <c r="Q28" s="95"/>
      <c r="R28" s="83"/>
    </row>
    <row r="29" customFormat="false" ht="16.5" hidden="true" customHeight="true" outlineLevel="0" collapsed="false">
      <c r="B29" s="83"/>
      <c r="C29" s="92"/>
      <c r="D29" s="82" t="s">
        <v>38</v>
      </c>
      <c r="E29" s="94"/>
      <c r="F29" s="94"/>
      <c r="G29" s="94"/>
      <c r="H29" s="94"/>
      <c r="I29" s="94"/>
      <c r="J29" s="94"/>
      <c r="K29" s="94"/>
      <c r="L29" s="94"/>
      <c r="M29" s="94"/>
      <c r="N29" s="94"/>
      <c r="O29" s="94"/>
      <c r="P29" s="94"/>
      <c r="Q29" s="95"/>
      <c r="R29" s="83"/>
    </row>
    <row r="30" customFormat="false" ht="16.5" hidden="true" customHeight="true" outlineLevel="0" collapsed="false">
      <c r="B30" s="83"/>
      <c r="C30" s="92" t="n">
        <v>2023</v>
      </c>
      <c r="D30" s="93" t="s">
        <v>3</v>
      </c>
      <c r="E30" s="94"/>
      <c r="F30" s="94"/>
      <c r="G30" s="94"/>
      <c r="H30" s="94"/>
      <c r="I30" s="94"/>
      <c r="J30" s="94"/>
      <c r="K30" s="94"/>
      <c r="L30" s="94"/>
      <c r="M30" s="94"/>
      <c r="N30" s="94"/>
      <c r="O30" s="94"/>
      <c r="P30" s="94"/>
      <c r="Q30" s="95"/>
      <c r="R30" s="83"/>
    </row>
    <row r="31" customFormat="false" ht="16.5" hidden="true" customHeight="true" outlineLevel="0" collapsed="false">
      <c r="B31" s="83"/>
      <c r="C31" s="92"/>
      <c r="D31" s="93" t="s">
        <v>26</v>
      </c>
      <c r="E31" s="94"/>
      <c r="F31" s="94"/>
      <c r="G31" s="94"/>
      <c r="H31" s="94"/>
      <c r="I31" s="94"/>
      <c r="J31" s="94"/>
      <c r="K31" s="94"/>
      <c r="L31" s="94"/>
      <c r="M31" s="94"/>
      <c r="N31" s="94"/>
      <c r="O31" s="94"/>
      <c r="P31" s="94"/>
      <c r="Q31" s="95"/>
      <c r="R31" s="83"/>
    </row>
    <row r="32" customFormat="false" ht="16.5" hidden="true" customHeight="true" outlineLevel="0" collapsed="false">
      <c r="B32" s="83"/>
      <c r="C32" s="92"/>
      <c r="D32" s="82" t="s">
        <v>38</v>
      </c>
      <c r="E32" s="94"/>
      <c r="F32" s="94"/>
      <c r="G32" s="94"/>
      <c r="H32" s="94"/>
      <c r="I32" s="94"/>
      <c r="J32" s="94"/>
      <c r="K32" s="94"/>
      <c r="L32" s="94"/>
      <c r="M32" s="94"/>
      <c r="N32" s="94"/>
      <c r="O32" s="94"/>
      <c r="P32" s="94"/>
      <c r="Q32" s="95"/>
      <c r="R32" s="83"/>
    </row>
    <row r="33" customFormat="false" ht="16.5" hidden="false" customHeight="true" outlineLevel="0" collapsed="false">
      <c r="B33" s="83"/>
      <c r="C33" s="92" t="n">
        <v>2024</v>
      </c>
      <c r="D33" s="93" t="s">
        <v>3</v>
      </c>
      <c r="E33" s="27"/>
      <c r="F33" s="27"/>
      <c r="G33" s="27"/>
      <c r="H33" s="27"/>
      <c r="I33" s="27"/>
      <c r="J33" s="27"/>
      <c r="K33" s="27"/>
      <c r="L33" s="27" t="n">
        <f aca="false">+'Datos ICP (2)'!AL80</f>
        <v>0.00480235203759283</v>
      </c>
      <c r="M33" s="27" t="n">
        <f aca="false">+'Datos ICP (2)'!AM80</f>
        <v>0.00478104349541386</v>
      </c>
      <c r="N33" s="27" t="n">
        <f aca="false">+'Datos ICP (2)'!AN80</f>
        <v>0.00451044051641847</v>
      </c>
      <c r="O33" s="27" t="n">
        <f aca="false">+'Datos ICP (2)'!AO80</f>
        <v>0.0043843255475724</v>
      </c>
      <c r="P33" s="27" t="n">
        <f aca="false">+'Datos ICP (2)'!AP80</f>
        <v>0.00444626417327787</v>
      </c>
      <c r="Q33" s="27" t="n">
        <f aca="false">+'Datos ICP (2)'!AQ80</f>
        <v>0.0555252649965111</v>
      </c>
      <c r="R33" s="83"/>
    </row>
    <row r="34" customFormat="false" ht="16.5" hidden="false" customHeight="true" outlineLevel="0" collapsed="false">
      <c r="B34" s="83"/>
      <c r="C34" s="92"/>
      <c r="D34" s="93" t="s">
        <v>26</v>
      </c>
      <c r="E34" s="27"/>
      <c r="F34" s="27"/>
      <c r="G34" s="27"/>
      <c r="H34" s="27"/>
      <c r="I34" s="27"/>
      <c r="J34" s="27"/>
      <c r="K34" s="27"/>
      <c r="L34" s="27" t="n">
        <f aca="false">+'Datos ICP (2)'!AL81</f>
        <v>0.00362766941593184</v>
      </c>
      <c r="M34" s="27" t="n">
        <f aca="false">+'Datos ICP (2)'!AM81</f>
        <v>0.0033754452875443</v>
      </c>
      <c r="N34" s="27" t="n">
        <f aca="false">+'Datos ICP (2)'!AN81</f>
        <v>0.00341081299567914</v>
      </c>
      <c r="O34" s="27" t="n">
        <f aca="false">+'Datos ICP (2)'!AO81</f>
        <v>0.00322037460491331</v>
      </c>
      <c r="P34" s="27" t="n">
        <f aca="false">+'Datos ICP (2)'!AP81</f>
        <v>0.003229855901979</v>
      </c>
      <c r="Q34" s="27" t="n">
        <f aca="false">+'Datos ICP (2)'!AQ81</f>
        <v>0.0407477925254595</v>
      </c>
      <c r="R34" s="83"/>
    </row>
    <row r="35" customFormat="false" ht="16.5" hidden="false" customHeight="true" outlineLevel="0" collapsed="false">
      <c r="B35" s="83"/>
      <c r="C35" s="92"/>
      <c r="D35" s="82" t="s">
        <v>38</v>
      </c>
      <c r="E35" s="27"/>
      <c r="F35" s="27"/>
      <c r="G35" s="27"/>
      <c r="H35" s="27"/>
      <c r="I35" s="27"/>
      <c r="J35" s="27"/>
      <c r="K35" s="27"/>
      <c r="L35" s="27" t="n">
        <f aca="false">+'Datos ICP (2)'!AL82</f>
        <v>0.00183925995987466</v>
      </c>
      <c r="M35" s="27" t="n">
        <f aca="false">+'Datos ICP (2)'!AM82</f>
        <v>0.00564001075656728</v>
      </c>
      <c r="N35" s="27" t="n">
        <f aca="false">+'Datos ICP (2)'!AN82</f>
        <v>0.00516548203357203</v>
      </c>
      <c r="O35" s="27" t="n">
        <f aca="false">+'Datos ICP (2)'!AO82</f>
        <v>0.00532804271677145</v>
      </c>
      <c r="P35" s="27" t="n">
        <f aca="false">+'Datos ICP (2)'!AP82</f>
        <v>0.00514686663203201</v>
      </c>
      <c r="Q35" s="27" t="n">
        <f aca="false">+'Datos ICP (2)'!AQ82</f>
        <v>0.055990705296993</v>
      </c>
      <c r="R35" s="83"/>
    </row>
    <row r="36" customFormat="false" ht="15" hidden="false" customHeight="false" outlineLevel="0" collapsed="false">
      <c r="C36" s="92" t="n">
        <v>2025</v>
      </c>
      <c r="D36" s="93" t="s">
        <v>3</v>
      </c>
      <c r="E36" s="27" t="n">
        <f aca="false">+'Datos ICP (2)'!AE83</f>
        <v>0.00445443017437541</v>
      </c>
      <c r="F36" s="27" t="n">
        <f aca="false">+'Datos ICP (2)'!AF83</f>
        <v>0.00389626305099444</v>
      </c>
      <c r="G36" s="27" t="n">
        <f aca="false">+'Datos ICP (2)'!AG83</f>
        <v>0.0043138020854181</v>
      </c>
      <c r="H36" s="27" t="n">
        <f aca="false">+'Datos ICP (2)'!AH83</f>
        <v>0.00417571644342774</v>
      </c>
      <c r="I36" s="27" t="n">
        <f aca="false">+'Datos ICP (2)'!AI83</f>
        <v>0.00417422694650416</v>
      </c>
      <c r="J36" s="27" t="n">
        <f aca="false">+'Datos ICP (2)'!AJ83</f>
        <v>0.00431456613652492</v>
      </c>
      <c r="K36" s="27" t="n">
        <f aca="false">+'Datos ICP (2)'!AK83</f>
        <v>0.00430626208344687</v>
      </c>
      <c r="L36" s="27" t="n">
        <f aca="false">+'Datos ICP (2)'!AL83</f>
        <v>0.00383327468941586</v>
      </c>
      <c r="M36" s="27" t="n">
        <f aca="false">+'Datos ICP (2)'!AM83</f>
        <v>0.00423004876441735</v>
      </c>
      <c r="N36" s="27" t="n">
        <f aca="false">+'Datos ICP (2)'!AN83</f>
        <v>0.00396619021077105</v>
      </c>
      <c r="O36" s="27" t="n">
        <f aca="false">+'Datos ICP (2)'!AO83</f>
        <v>0.00383243965233548</v>
      </c>
      <c r="P36" s="27" t="n">
        <f aca="false">+'Datos ICP (2)'!AP83</f>
        <v>0.00413946203577598</v>
      </c>
      <c r="Q36" s="27" t="n">
        <f aca="false">+'Datos ICP (2)'!AQ83</f>
        <v>0.0461215166375695</v>
      </c>
    </row>
    <row r="37" customFormat="false" ht="15" hidden="false" customHeight="false" outlineLevel="0" collapsed="false">
      <c r="C37" s="92"/>
      <c r="D37" s="93" t="s">
        <v>26</v>
      </c>
      <c r="E37" s="27" t="n">
        <f aca="false">+'Datos ICP (2)'!AE84</f>
        <v>0.00302021033404665</v>
      </c>
      <c r="F37" s="27" t="n">
        <f aca="false">+'Datos ICP (2)'!AF84</f>
        <v>0.00276213771028111</v>
      </c>
      <c r="G37" s="27" t="n">
        <f aca="false">+'Datos ICP (2)'!AG84</f>
        <v>0.00306282692323312</v>
      </c>
      <c r="H37" s="27" t="n">
        <f aca="false">+'Datos ICP (2)'!AH84</f>
        <v>0.00297594968581905</v>
      </c>
      <c r="I37" s="27" t="n">
        <f aca="false">+'Datos ICP (2)'!AI84</f>
        <v>0.00308976252279503</v>
      </c>
      <c r="J37" s="27" t="n">
        <f aca="false">+'Datos ICP (2)'!AJ84</f>
        <v>0.00299705245742721</v>
      </c>
      <c r="K37" s="27" t="n">
        <f aca="false">+'Datos ICP (2)'!AK84</f>
        <v>0.00295054952791363</v>
      </c>
      <c r="L37" s="27" t="n">
        <f aca="false">+'Datos ICP (2)'!AL84</f>
        <v>0.00300054219083834</v>
      </c>
      <c r="M37" s="27" t="n">
        <f aca="false">+'Datos ICP (2)'!AM84</f>
        <v>0.00276161496613736</v>
      </c>
      <c r="N37" s="27" t="n">
        <f aca="false">+'Datos ICP (2)'!AN84</f>
        <v>0.00286519472447866</v>
      </c>
      <c r="O37" s="27" t="n">
        <f aca="false">+'Datos ICP (2)'!AO84</f>
        <v>0.00279501576319907</v>
      </c>
      <c r="P37" s="27" t="n">
        <f aca="false">+'Datos ICP (2)'!AP84</f>
        <v>0.00283776649927603</v>
      </c>
      <c r="Q37" s="27" t="n">
        <f aca="false">+'Datos ICP (2)'!AQ84</f>
        <v>0.0325707862057447</v>
      </c>
    </row>
    <row r="38" customFormat="false" ht="15" hidden="false" customHeight="false" outlineLevel="0" collapsed="false">
      <c r="C38" s="92"/>
      <c r="D38" s="82" t="s">
        <v>38</v>
      </c>
      <c r="E38" s="27" t="n">
        <f aca="false">+'Datos ICP (2)'!AE85</f>
        <v>0.0044102581843124</v>
      </c>
      <c r="F38" s="27" t="n">
        <f aca="false">+'Datos ICP (2)'!AF85</f>
        <v>0.00447437174860577</v>
      </c>
      <c r="G38" s="27" t="n">
        <f aca="false">+'Datos ICP (2)'!AG85</f>
        <v>0.00599578906748</v>
      </c>
      <c r="H38" s="27" t="n">
        <f aca="false">+'Datos ICP (2)'!AH85</f>
        <v>0.00698354897660125</v>
      </c>
      <c r="I38" s="27" t="n">
        <f aca="false">+'Datos ICP (2)'!AI85</f>
        <v>0.00651106070453023</v>
      </c>
      <c r="J38" s="27" t="n">
        <f aca="false">+'Datos ICP (2)'!AJ85</f>
        <v>0.00560683988677457</v>
      </c>
      <c r="K38" s="27" t="n">
        <f aca="false">+'Datos ICP (2)'!AK85</f>
        <v>0.00574571485036124</v>
      </c>
      <c r="L38" s="27" t="n">
        <f aca="false">+'Datos ICP (2)'!AL85</f>
        <v>0.00576680489740711</v>
      </c>
      <c r="M38" s="27" t="n">
        <f aca="false">+'Datos ICP (2)'!AM85</f>
        <v>0.00524054978003985</v>
      </c>
      <c r="N38" s="27" t="n">
        <f aca="false">+'Datos ICP (2)'!AN85</f>
        <v>0.00578337286803632</v>
      </c>
      <c r="O38" s="27" t="n">
        <f aca="false">+'Datos ICP (2)'!AO85</f>
        <v>0.00595730011962625</v>
      </c>
      <c r="P38" s="27" t="n">
        <f aca="false">+'Datos ICP (2)'!AP85</f>
        <v>0.00628701090874895</v>
      </c>
      <c r="Q38" s="27" t="n">
        <f aca="false">+'Datos ICP (2)'!AQ85</f>
        <v>0.0662659048261005</v>
      </c>
    </row>
    <row r="39" customFormat="false" ht="15" hidden="false" customHeight="false" outlineLevel="0" collapsed="false">
      <c r="C39" s="92" t="n">
        <v>2026</v>
      </c>
      <c r="D39" s="93" t="s">
        <v>3</v>
      </c>
      <c r="E39" s="27" t="n">
        <f aca="false">+'Datos ICP (2)'!AE86</f>
        <v>0.00388234363273376</v>
      </c>
      <c r="F39" s="27" t="n">
        <f aca="false">+'Datos ICP (2)'!AF86</f>
        <v>0.00363126461056962</v>
      </c>
      <c r="G39" s="27" t="n">
        <f aca="false">+'Datos ICP (2)'!AG86</f>
        <v>0.0038819280865483</v>
      </c>
      <c r="H39" s="27" t="n">
        <f aca="false">+'Datos ICP (2)'!AH86</f>
        <v>-0.243672722859896</v>
      </c>
      <c r="I39" s="27"/>
      <c r="J39" s="27"/>
      <c r="K39" s="27"/>
      <c r="L39" s="27"/>
      <c r="M39" s="27"/>
      <c r="N39" s="27"/>
      <c r="O39" s="27"/>
      <c r="P39" s="27"/>
      <c r="Q39" s="27" t="n">
        <f aca="false">+'Datos ICP (2)'!AQ86</f>
        <v>-0.71393888658704</v>
      </c>
    </row>
    <row r="40" customFormat="false" ht="15" hidden="false" customHeight="false" outlineLevel="0" collapsed="false">
      <c r="C40" s="92"/>
      <c r="D40" s="93" t="s">
        <v>26</v>
      </c>
      <c r="E40" s="27" t="n">
        <f aca="false">+'Datos ICP (2)'!AE87</f>
        <v>0.00272443815472734</v>
      </c>
      <c r="F40" s="27" t="n">
        <f aca="false">+'Datos ICP (2)'!AF87</f>
        <v>0.00244521636660222</v>
      </c>
      <c r="G40" s="27" t="n">
        <f aca="false">+'Datos ICP (2)'!AG87</f>
        <v>0.00268777625151762</v>
      </c>
      <c r="H40" s="27" t="n">
        <f aca="false">+'Datos ICP (2)'!AH87</f>
        <v>-1</v>
      </c>
      <c r="I40" s="27"/>
      <c r="J40" s="27"/>
      <c r="K40" s="27"/>
      <c r="L40" s="27"/>
      <c r="M40" s="27"/>
      <c r="N40" s="27"/>
      <c r="O40" s="27"/>
      <c r="P40" s="27"/>
      <c r="Q40" s="27" t="n">
        <f aca="false">+'Datos ICP (2)'!AQ87</f>
        <v>-3</v>
      </c>
    </row>
    <row r="41" customFormat="false" ht="15" hidden="false" customHeight="false" outlineLevel="0" collapsed="false">
      <c r="C41" s="92"/>
      <c r="D41" s="82" t="s">
        <v>38</v>
      </c>
      <c r="E41" s="27" t="n">
        <f aca="false">+'Datos ICP (2)'!AE88</f>
        <v>0.00552130825870334</v>
      </c>
      <c r="F41" s="27" t="n">
        <f aca="false">+'Datos ICP (2)'!AF88</f>
        <v>0.00508943675078988</v>
      </c>
      <c r="G41" s="27" t="n">
        <f aca="false">+'Datos ICP (2)'!AG88</f>
        <v>0.00568574413465206</v>
      </c>
      <c r="H41" s="27" t="n">
        <f aca="false">+'Datos ICP (2)'!AH88</f>
        <v>0.00539477292998458</v>
      </c>
      <c r="I41" s="27"/>
      <c r="J41" s="27"/>
      <c r="K41" s="27"/>
      <c r="L41" s="27"/>
      <c r="M41" s="27"/>
      <c r="N41" s="27"/>
      <c r="O41" s="27"/>
      <c r="P41" s="27"/>
      <c r="Q41" s="27" t="n">
        <f aca="false">+'Datos ICP (2)'!AQ88</f>
        <v>0.0487715304436502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I1" colorId="64" zoomScale="100" zoomScaleNormal="100" zoomScalePageLayoutView="100" workbookViewId="0">
      <selection pane="topLeft" activeCell="P7" activeCellId="0" sqref="P7"/>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34.85"/>
    <col collapsed="false" customWidth="true" hidden="false" outlineLevel="0" max="16" min="16" style="0" width="8"/>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96"/>
      <c r="C1" s="97"/>
      <c r="J1" s="98" t="s">
        <v>50</v>
      </c>
      <c r="K1" s="96"/>
      <c r="L1" s="99"/>
      <c r="N1" s="98" t="s">
        <v>51</v>
      </c>
      <c r="O1" s="96"/>
      <c r="P1" s="99"/>
      <c r="R1" s="98" t="s">
        <v>52</v>
      </c>
      <c r="S1" s="96"/>
      <c r="T1" s="99"/>
    </row>
    <row r="2" customFormat="false" ht="15" hidden="false" customHeight="false" outlineLevel="0" collapsed="false">
      <c r="C2" s="97"/>
      <c r="O2" s="100" t="s">
        <v>53</v>
      </c>
      <c r="P2" s="101" t="n">
        <v>0</v>
      </c>
    </row>
    <row r="3" customFormat="false" ht="15" hidden="false" customHeight="false" outlineLevel="0" collapsed="false">
      <c r="C3" s="97"/>
      <c r="K3" s="100" t="s">
        <v>54</v>
      </c>
      <c r="L3" s="101" t="n">
        <v>0.2979</v>
      </c>
      <c r="O3" s="100" t="s">
        <v>55</v>
      </c>
      <c r="P3" s="101" t="n">
        <v>0</v>
      </c>
      <c r="S3" s="100" t="s">
        <v>56</v>
      </c>
      <c r="T3" s="101" t="n">
        <v>1</v>
      </c>
    </row>
    <row r="4" customFormat="false" ht="15" hidden="false" customHeight="false" outlineLevel="0" collapsed="false">
      <c r="C4" s="97"/>
      <c r="K4" s="100" t="s">
        <v>57</v>
      </c>
      <c r="L4" s="101" t="n">
        <v>0.1781</v>
      </c>
      <c r="O4" s="100" t="s">
        <v>58</v>
      </c>
      <c r="P4" s="101" t="n">
        <v>0</v>
      </c>
      <c r="S4" s="100" t="s">
        <v>59</v>
      </c>
      <c r="T4" s="101" t="n">
        <v>0</v>
      </c>
    </row>
    <row r="5" customFormat="false" ht="15" hidden="false" customHeight="false" outlineLevel="0" collapsed="false">
      <c r="A5" s="96"/>
      <c r="B5" s="96"/>
      <c r="C5" s="97"/>
      <c r="K5" s="100" t="s">
        <v>60</v>
      </c>
      <c r="L5" s="101" t="n">
        <v>0.524</v>
      </c>
      <c r="O5" s="100" t="s">
        <v>61</v>
      </c>
      <c r="P5" s="101" t="n">
        <v>0.0226</v>
      </c>
    </row>
    <row r="6" customFormat="false" ht="15" hidden="false" customHeight="false" outlineLevel="0" collapsed="false">
      <c r="A6" s="96"/>
      <c r="B6" s="96"/>
      <c r="C6" s="97"/>
      <c r="K6" s="100" t="s">
        <v>62</v>
      </c>
      <c r="L6" s="101" t="n">
        <v>0</v>
      </c>
      <c r="O6" s="100" t="s">
        <v>63</v>
      </c>
      <c r="P6" s="101" t="n">
        <v>0.9774</v>
      </c>
    </row>
    <row r="7" customFormat="false" ht="15" hidden="false" customHeight="false" outlineLevel="0" collapsed="false">
      <c r="B7" s="96"/>
      <c r="C7" s="97"/>
      <c r="L7" s="102" t="n">
        <f aca="false">SUM(L3:L6)</f>
        <v>1</v>
      </c>
      <c r="O7" s="100" t="s">
        <v>64</v>
      </c>
      <c r="P7" s="101" t="n">
        <v>0</v>
      </c>
      <c r="Q7" s="102"/>
    </row>
    <row r="8" customFormat="false" ht="15" hidden="false" customHeight="false" outlineLevel="0" collapsed="false">
      <c r="C8" s="97"/>
      <c r="O8" s="100" t="s">
        <v>65</v>
      </c>
      <c r="P8" s="101" t="n">
        <v>0</v>
      </c>
    </row>
    <row r="9" customFormat="false" ht="15" hidden="false" customHeight="false" outlineLevel="0" collapsed="false">
      <c r="C9" s="97"/>
      <c r="O9" s="100" t="s">
        <v>66</v>
      </c>
      <c r="P9" s="101" t="n">
        <v>0</v>
      </c>
    </row>
    <row r="10" customFormat="false" ht="15" hidden="false" customHeight="false" outlineLevel="0" collapsed="false">
      <c r="C10" s="97"/>
      <c r="O10" s="100" t="s">
        <v>67</v>
      </c>
      <c r="P10" s="101" t="n">
        <v>0</v>
      </c>
    </row>
    <row r="11" customFormat="false" ht="15" hidden="false" customHeight="false" outlineLevel="0" collapsed="false">
      <c r="C11" s="97"/>
      <c r="O11" s="100" t="s">
        <v>68</v>
      </c>
      <c r="P11" s="101" t="n">
        <v>0</v>
      </c>
    </row>
    <row r="12" customFormat="false" ht="15" hidden="true" customHeight="false" outlineLevel="0" collapsed="false">
      <c r="C12" s="97"/>
      <c r="O12" s="100"/>
      <c r="P12" s="103"/>
    </row>
    <row r="13" customFormat="false" ht="15" hidden="false" customHeight="false" outlineLevel="0" collapsed="false">
      <c r="C13" s="97"/>
      <c r="O13" s="100" t="s">
        <v>69</v>
      </c>
      <c r="P13" s="101" t="n">
        <v>0</v>
      </c>
    </row>
    <row r="14" customFormat="false" ht="15" hidden="true" customHeight="false" outlineLevel="0" collapsed="false">
      <c r="A14" s="96" t="s">
        <v>70</v>
      </c>
      <c r="B14" s="104" t="n">
        <v>0</v>
      </c>
      <c r="C14" s="97"/>
    </row>
    <row r="15" customFormat="false" ht="15" hidden="false" customHeight="false" outlineLevel="0" collapsed="false">
      <c r="A15" s="96"/>
      <c r="B15" s="104"/>
      <c r="C15" s="97"/>
      <c r="P15" s="102" t="n">
        <f aca="false">SUM(P2:P14)</f>
        <v>1</v>
      </c>
    </row>
    <row r="16" customFormat="false" ht="15" hidden="false" customHeight="false" outlineLevel="0" collapsed="false">
      <c r="B16" s="96"/>
      <c r="C16" s="97"/>
    </row>
    <row r="17" customFormat="false" ht="15" hidden="false" customHeight="false" outlineLevel="0" collapsed="false">
      <c r="C17" s="97"/>
    </row>
    <row r="18" customFormat="false" ht="15" hidden="false" customHeight="false" outlineLevel="0" collapsed="false">
      <c r="C18" s="97"/>
    </row>
    <row r="19" customFormat="false" ht="15" hidden="false" customHeight="false" outlineLevel="0" collapsed="false">
      <c r="C19" s="97"/>
    </row>
    <row r="20" customFormat="false" ht="15" hidden="false" customHeight="false" outlineLevel="0" collapsed="false">
      <c r="C20" s="97"/>
    </row>
    <row r="21" customFormat="false" ht="15" hidden="false" customHeight="false" outlineLevel="0" collapsed="false">
      <c r="C21" s="97"/>
      <c r="N21" s="105"/>
      <c r="O21" s="106"/>
    </row>
    <row r="22" customFormat="false" ht="15" hidden="false" customHeight="false" outlineLevel="0" collapsed="false">
      <c r="A22" s="97"/>
      <c r="B22" s="97"/>
      <c r="C22" s="97"/>
    </row>
    <row r="23" customFormat="false" ht="15" hidden="false" customHeight="false" outlineLevel="0" collapsed="false">
      <c r="A23" s="97"/>
      <c r="B23" s="97"/>
      <c r="C23" s="97"/>
    </row>
    <row r="24" customFormat="false" ht="15" hidden="false" customHeight="false" outlineLevel="0" collapsed="false">
      <c r="A24" s="97"/>
      <c r="B24" s="97"/>
      <c r="C24" s="97"/>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2026-05-19T14:22:24Z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